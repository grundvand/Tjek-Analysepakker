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enne_projektmappe"/>
  <bookViews>
    <workbookView xWindow="120" yWindow="45" windowWidth="12315" windowHeight="7170"/>
  </bookViews>
  <sheets>
    <sheet name="Analysepakker" sheetId="1" r:id="rId1"/>
    <sheet name="Rådata" sheetId="2" r:id="rId2"/>
    <sheet name="GEUS data" sheetId="3" r:id="rId3"/>
  </sheets>
  <functionGroups builtInGroupCount="17"/>
  <calcPr calcId="145621"/>
</workbook>
</file>

<file path=xl/calcChain.xml><?xml version="1.0" encoding="utf-8"?>
<calcChain xmlns="http://schemas.openxmlformats.org/spreadsheetml/2006/main">
  <c r="M146" i="1"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3" i="3"/>
  <c r="A2" i="3"/>
  <c r="R184" i="1" l="1"/>
  <c r="K280" i="1" l="1"/>
  <c r="L279" i="1" l="1"/>
  <c r="M279" i="1"/>
  <c r="L280" i="1"/>
  <c r="M280" i="1"/>
  <c r="L276" i="1"/>
  <c r="M276" i="1"/>
  <c r="L269" i="1"/>
  <c r="M269" i="1"/>
  <c r="K269" i="1"/>
  <c r="L200" i="1"/>
  <c r="M200" i="1"/>
  <c r="K200" i="1"/>
  <c r="L275" i="1"/>
  <c r="M275" i="1"/>
  <c r="K275" i="1"/>
  <c r="L271" i="1"/>
  <c r="M271" i="1"/>
  <c r="L272" i="1"/>
  <c r="M272" i="1"/>
  <c r="L273" i="1"/>
  <c r="M273" i="1"/>
  <c r="K272" i="1"/>
  <c r="K273" i="1"/>
  <c r="K271" i="1"/>
  <c r="L208" i="1"/>
  <c r="M208" i="1"/>
  <c r="L209" i="1"/>
  <c r="M209" i="1"/>
  <c r="K209" i="1"/>
  <c r="K208" i="1"/>
  <c r="L202" i="1"/>
  <c r="M202" i="1"/>
  <c r="K202" i="1"/>
  <c r="L286" i="1"/>
  <c r="M286" i="1"/>
  <c r="K286" i="1"/>
  <c r="L282" i="1"/>
  <c r="M282" i="1"/>
  <c r="K282" i="1"/>
  <c r="L154" i="1"/>
  <c r="M154" i="1"/>
  <c r="L155" i="1"/>
  <c r="M155" i="1"/>
  <c r="L156" i="1"/>
  <c r="M156" i="1"/>
  <c r="L157" i="1"/>
  <c r="M157" i="1"/>
  <c r="K157" i="1"/>
  <c r="K156" i="1"/>
  <c r="K155" i="1"/>
  <c r="K154" i="1"/>
  <c r="K25" i="1"/>
  <c r="L260" i="1"/>
  <c r="M260" i="1"/>
  <c r="L285" i="1"/>
  <c r="M285" i="1"/>
  <c r="L283" i="1"/>
  <c r="M283" i="1"/>
  <c r="K284" i="1"/>
  <c r="K283" i="1"/>
  <c r="K285" i="1"/>
  <c r="L151" i="1"/>
  <c r="M151" i="1"/>
  <c r="L152" i="1"/>
  <c r="M152" i="1"/>
  <c r="L153" i="1"/>
  <c r="M153" i="1"/>
  <c r="K153" i="1"/>
  <c r="K152" i="1"/>
  <c r="K151" i="1"/>
  <c r="L201" i="1"/>
  <c r="M201" i="1"/>
  <c r="K201" i="1"/>
  <c r="L266" i="1"/>
  <c r="M266" i="1"/>
  <c r="K266" i="1"/>
  <c r="L197" i="1"/>
  <c r="M197" i="1"/>
  <c r="K197" i="1"/>
  <c r="L191" i="1"/>
  <c r="M191" i="1"/>
  <c r="K191" i="1"/>
  <c r="L148" i="1"/>
  <c r="M148" i="1"/>
  <c r="K148" i="1"/>
  <c r="L274" i="1"/>
  <c r="M274" i="1"/>
  <c r="K274" i="1"/>
  <c r="L143" i="1"/>
  <c r="M143" i="1"/>
  <c r="K143" i="1"/>
  <c r="L340" i="1"/>
  <c r="M340" i="1"/>
  <c r="L341" i="1"/>
  <c r="M341" i="1"/>
  <c r="L342" i="1"/>
  <c r="M342" i="1"/>
  <c r="K341" i="1"/>
  <c r="K342" i="1"/>
  <c r="L159" i="1"/>
  <c r="M159" i="1"/>
  <c r="L160" i="1"/>
  <c r="M160" i="1"/>
  <c r="L161" i="1"/>
  <c r="M161" i="1"/>
  <c r="K160" i="1"/>
  <c r="K161" i="1"/>
  <c r="K159" i="1"/>
  <c r="L344" i="1"/>
  <c r="M344" i="1"/>
  <c r="L345" i="1"/>
  <c r="M345" i="1"/>
  <c r="L346" i="1"/>
  <c r="M346" i="1"/>
  <c r="L347" i="1"/>
  <c r="M347" i="1"/>
  <c r="L348" i="1"/>
  <c r="M348" i="1"/>
  <c r="L349" i="1"/>
  <c r="M349" i="1"/>
  <c r="L350" i="1"/>
  <c r="M350" i="1"/>
  <c r="L351" i="1"/>
  <c r="M351" i="1"/>
  <c r="L352" i="1"/>
  <c r="M352" i="1"/>
  <c r="L353" i="1"/>
  <c r="M353" i="1"/>
  <c r="L354" i="1"/>
  <c r="M354" i="1"/>
  <c r="L355" i="1"/>
  <c r="M355" i="1"/>
  <c r="K345" i="1"/>
  <c r="K346" i="1"/>
  <c r="K347" i="1"/>
  <c r="K348" i="1"/>
  <c r="K349" i="1"/>
  <c r="K351" i="1"/>
  <c r="K352" i="1"/>
  <c r="K353" i="1"/>
  <c r="K354" i="1"/>
  <c r="K355" i="1"/>
  <c r="K344" i="1"/>
  <c r="L163" i="1"/>
  <c r="M163" i="1"/>
  <c r="L164" i="1"/>
  <c r="M164" i="1"/>
  <c r="L165" i="1"/>
  <c r="M165" i="1"/>
  <c r="L166" i="1"/>
  <c r="M166" i="1"/>
  <c r="L167" i="1"/>
  <c r="M167" i="1"/>
  <c r="L168" i="1"/>
  <c r="M168" i="1"/>
  <c r="L169" i="1"/>
  <c r="M169" i="1"/>
  <c r="L170" i="1"/>
  <c r="M170" i="1"/>
  <c r="L171" i="1"/>
  <c r="M171" i="1"/>
  <c r="L172" i="1"/>
  <c r="M172" i="1"/>
  <c r="L173" i="1"/>
  <c r="M173" i="1"/>
  <c r="L174" i="1"/>
  <c r="M174" i="1"/>
  <c r="K164" i="1"/>
  <c r="K165" i="1"/>
  <c r="K166" i="1"/>
  <c r="K167" i="1"/>
  <c r="K168" i="1"/>
  <c r="K170" i="1"/>
  <c r="K171" i="1"/>
  <c r="K172" i="1"/>
  <c r="K173" i="1"/>
  <c r="K174" i="1"/>
  <c r="K163" i="1"/>
  <c r="L334" i="1"/>
  <c r="M334" i="1"/>
  <c r="K334" i="1"/>
  <c r="L176" i="1"/>
  <c r="M176" i="1"/>
  <c r="K176" i="1"/>
  <c r="L178" i="1"/>
  <c r="M178" i="1"/>
  <c r="L179" i="1"/>
  <c r="M179" i="1"/>
  <c r="L180" i="1"/>
  <c r="M180" i="1"/>
  <c r="L181" i="1"/>
  <c r="M181" i="1"/>
  <c r="L182" i="1"/>
  <c r="M182" i="1"/>
  <c r="L183" i="1"/>
  <c r="M183" i="1"/>
  <c r="K179" i="1"/>
  <c r="K182" i="1"/>
  <c r="K178" i="1"/>
  <c r="L357" i="1"/>
  <c r="M357" i="1"/>
  <c r="L358" i="1"/>
  <c r="M358" i="1"/>
  <c r="L359" i="1"/>
  <c r="M359" i="1"/>
  <c r="L360" i="1"/>
  <c r="M360" i="1"/>
  <c r="L361" i="1"/>
  <c r="M361" i="1"/>
  <c r="L362" i="1"/>
  <c r="M362" i="1"/>
  <c r="K358" i="1"/>
  <c r="K361" i="1"/>
  <c r="K357"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K216" i="1"/>
  <c r="K217" i="1"/>
  <c r="K218" i="1"/>
  <c r="K219" i="1"/>
  <c r="K220" i="1"/>
  <c r="K221" i="1"/>
  <c r="K222" i="1"/>
  <c r="K223" i="1"/>
  <c r="K224" i="1"/>
  <c r="K225" i="1"/>
  <c r="K226" i="1"/>
  <c r="K227" i="1"/>
  <c r="K22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K293" i="1"/>
  <c r="K294" i="1"/>
  <c r="K295" i="1"/>
  <c r="K296" i="1"/>
  <c r="K297" i="1"/>
  <c r="K298" i="1"/>
  <c r="K299" i="1"/>
  <c r="K300" i="1"/>
  <c r="K301" i="1"/>
  <c r="K302" i="1"/>
  <c r="K303" i="1"/>
  <c r="K304" i="1"/>
  <c r="K305"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K238" i="1"/>
  <c r="K239" i="1"/>
  <c r="K240" i="1"/>
  <c r="K241" i="1"/>
  <c r="K242" i="1"/>
  <c r="K243" i="1"/>
  <c r="K244" i="1"/>
  <c r="K245" i="1"/>
  <c r="K246" i="1"/>
  <c r="K247" i="1"/>
  <c r="K248" i="1"/>
  <c r="K249" i="1"/>
  <c r="K250" i="1"/>
  <c r="K251" i="1"/>
  <c r="K252" i="1"/>
  <c r="K253" i="1"/>
  <c r="K254" i="1"/>
  <c r="K255" i="1"/>
  <c r="K230" i="1"/>
  <c r="K231" i="1"/>
  <c r="K232" i="1"/>
  <c r="K233" i="1"/>
  <c r="K234" i="1"/>
  <c r="K235" i="1"/>
  <c r="K23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K332" i="1"/>
  <c r="K331" i="1"/>
  <c r="K330" i="1"/>
  <c r="K329" i="1"/>
  <c r="K328" i="1"/>
  <c r="K327" i="1"/>
  <c r="K326" i="1"/>
  <c r="K325" i="1"/>
  <c r="K324" i="1"/>
  <c r="K323" i="1"/>
  <c r="K322" i="1"/>
  <c r="K321" i="1"/>
  <c r="K320" i="1"/>
  <c r="K319" i="1"/>
  <c r="K318" i="1"/>
  <c r="K317" i="1"/>
  <c r="K316" i="1"/>
  <c r="K315" i="1"/>
  <c r="K307" i="1"/>
  <c r="K308" i="1"/>
  <c r="K309" i="1"/>
  <c r="K310" i="1"/>
  <c r="K311" i="1"/>
  <c r="K312" i="1"/>
  <c r="K313" i="1"/>
  <c r="K314" i="1"/>
  <c r="K237" i="1"/>
  <c r="L267" i="1"/>
  <c r="M267" i="1"/>
  <c r="K267" i="1"/>
  <c r="L198" i="1"/>
  <c r="M198" i="1"/>
  <c r="K198" i="1"/>
  <c r="L150" i="1"/>
  <c r="M150" i="1"/>
  <c r="K150" i="1"/>
  <c r="K289" i="1"/>
  <c r="K212" i="1"/>
  <c r="K340" i="1"/>
  <c r="L268" i="1"/>
  <c r="M268" i="1"/>
  <c r="K268" i="1"/>
  <c r="L199" i="1"/>
  <c r="M199" i="1"/>
  <c r="K199" i="1"/>
  <c r="L188" i="1"/>
  <c r="M188" i="1"/>
  <c r="K188" i="1"/>
  <c r="L189" i="1"/>
  <c r="M189" i="1"/>
  <c r="K189" i="1"/>
  <c r="L145" i="1"/>
  <c r="M145" i="1"/>
  <c r="K145" i="1"/>
  <c r="L146" i="1"/>
  <c r="K146" i="1"/>
  <c r="L190" i="1"/>
  <c r="M190" i="1"/>
  <c r="K190" i="1"/>
  <c r="L147" i="1"/>
  <c r="M147" i="1"/>
  <c r="K147" i="1"/>
  <c r="L263" i="1"/>
  <c r="M263" i="1"/>
  <c r="K263" i="1"/>
  <c r="L196" i="1"/>
  <c r="M196" i="1"/>
  <c r="K196" i="1"/>
  <c r="L262" i="1"/>
  <c r="M262" i="1"/>
  <c r="K262" i="1"/>
  <c r="L195" i="1"/>
  <c r="M195" i="1"/>
  <c r="K195" i="1"/>
  <c r="L261" i="1"/>
  <c r="M261" i="1"/>
  <c r="K261" i="1"/>
  <c r="L194" i="1"/>
  <c r="M194" i="1"/>
  <c r="K194" i="1"/>
  <c r="B2" i="2" l="1"/>
  <c r="B3" i="2" s="1"/>
  <c r="B4" i="2" s="1"/>
  <c r="B5" i="2" s="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6"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B300" i="2" s="1"/>
  <c r="B301" i="2" s="1"/>
  <c r="B302" i="2" s="1"/>
  <c r="B303" i="2" s="1"/>
  <c r="B304" i="2" s="1"/>
  <c r="B305" i="2" s="1"/>
  <c r="B306" i="2" s="1"/>
  <c r="B307" i="2" s="1"/>
  <c r="B308" i="2" s="1"/>
  <c r="B309" i="2" s="1"/>
  <c r="B310" i="2" s="1"/>
  <c r="B311" i="2" s="1"/>
  <c r="B312" i="2" s="1"/>
  <c r="B313" i="2" s="1"/>
  <c r="B314" i="2" s="1"/>
  <c r="B315" i="2" s="1"/>
  <c r="B316" i="2" s="1"/>
  <c r="B317" i="2" s="1"/>
  <c r="B318" i="2" s="1"/>
  <c r="B319" i="2" s="1"/>
  <c r="B320" i="2" s="1"/>
  <c r="B321" i="2" s="1"/>
  <c r="B322" i="2" s="1"/>
  <c r="B323" i="2" s="1"/>
  <c r="B324" i="2" s="1"/>
  <c r="B325" i="2" s="1"/>
  <c r="B326"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0" i="2" s="1"/>
  <c r="B351" i="2" s="1"/>
  <c r="B352" i="2" s="1"/>
  <c r="B353" i="2" s="1"/>
  <c r="B354" i="2" s="1"/>
  <c r="B355" i="2" s="1"/>
  <c r="B356" i="2" s="1"/>
  <c r="B357" i="2" s="1"/>
  <c r="B358" i="2" s="1"/>
  <c r="B359" i="2" s="1"/>
  <c r="B360" i="2" s="1"/>
  <c r="B361" i="2" s="1"/>
  <c r="B362" i="2" s="1"/>
  <c r="B363" i="2" s="1"/>
  <c r="B364"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B929" i="2" s="1"/>
  <c r="B930" i="2" s="1"/>
  <c r="B931" i="2" s="1"/>
  <c r="B932" i="2" s="1"/>
  <c r="B933" i="2" s="1"/>
  <c r="B934" i="2" s="1"/>
  <c r="B935" i="2" s="1"/>
  <c r="B936" i="2" s="1"/>
  <c r="B937" i="2" s="1"/>
  <c r="B938" i="2" s="1"/>
  <c r="B939" i="2" s="1"/>
  <c r="B940" i="2" s="1"/>
  <c r="B941" i="2" s="1"/>
  <c r="B942" i="2" s="1"/>
  <c r="B943" i="2" s="1"/>
  <c r="B944" i="2" s="1"/>
  <c r="B945" i="2" s="1"/>
  <c r="B946" i="2" s="1"/>
  <c r="B947" i="2" s="1"/>
  <c r="B948" i="2" s="1"/>
  <c r="B949" i="2" s="1"/>
  <c r="B950" i="2" s="1"/>
  <c r="B951" i="2" s="1"/>
  <c r="B952" i="2" s="1"/>
  <c r="B953" i="2" s="1"/>
  <c r="B954" i="2" s="1"/>
  <c r="B955" i="2" s="1"/>
  <c r="B956" i="2" s="1"/>
  <c r="B957" i="2" s="1"/>
  <c r="B958" i="2" s="1"/>
  <c r="B959" i="2" s="1"/>
  <c r="B960" i="2" s="1"/>
  <c r="B961" i="2" s="1"/>
  <c r="B962" i="2" s="1"/>
  <c r="B963" i="2" s="1"/>
  <c r="B964" i="2" s="1"/>
  <c r="B965" i="2" s="1"/>
  <c r="B966" i="2" s="1"/>
  <c r="B967" i="2" s="1"/>
  <c r="B968" i="2" s="1"/>
  <c r="B969" i="2" s="1"/>
  <c r="B970" i="2" s="1"/>
  <c r="B971" i="2" s="1"/>
  <c r="B972" i="2" s="1"/>
  <c r="B973" i="2" s="1"/>
  <c r="B974" i="2" s="1"/>
  <c r="B975" i="2" s="1"/>
  <c r="B976" i="2" s="1"/>
  <c r="B977" i="2" s="1"/>
  <c r="B978" i="2" s="1"/>
  <c r="B979" i="2" s="1"/>
  <c r="B980" i="2" s="1"/>
  <c r="B981" i="2" s="1"/>
  <c r="B982" i="2" s="1"/>
  <c r="B983" i="2" s="1"/>
  <c r="B984" i="2" s="1"/>
  <c r="B985" i="2" s="1"/>
  <c r="B986" i="2" s="1"/>
  <c r="B987" i="2" s="1"/>
  <c r="B988" i="2" s="1"/>
  <c r="B989" i="2" s="1"/>
  <c r="B990" i="2" s="1"/>
  <c r="B991" i="2" s="1"/>
  <c r="B992" i="2" s="1"/>
  <c r="B993" i="2" s="1"/>
  <c r="B994" i="2" s="1"/>
  <c r="B995" i="2" s="1"/>
  <c r="B996" i="2" s="1"/>
  <c r="B997" i="2" s="1"/>
  <c r="B998" i="2" s="1"/>
  <c r="B999" i="2" s="1"/>
  <c r="B1000" i="2" s="1"/>
  <c r="G329" i="1" s="1"/>
  <c r="R329" i="1" s="1"/>
  <c r="P3" i="1" l="1"/>
  <c r="G357" i="1"/>
  <c r="G344" i="1"/>
  <c r="G336" i="1"/>
  <c r="G328" i="1"/>
  <c r="R328" i="1" s="1"/>
  <c r="G322" i="1"/>
  <c r="R322" i="1" s="1"/>
  <c r="G316" i="1"/>
  <c r="R316" i="1" s="1"/>
  <c r="G310" i="1"/>
  <c r="R310" i="1" s="1"/>
  <c r="G303" i="1"/>
  <c r="R303" i="1" s="1"/>
  <c r="G297" i="1"/>
  <c r="R297" i="1" s="1"/>
  <c r="G283" i="1"/>
  <c r="R283" i="1" s="1"/>
  <c r="G276" i="1"/>
  <c r="R276" i="1" s="1"/>
  <c r="G270" i="1"/>
  <c r="R270" i="1" s="1"/>
  <c r="G264" i="1"/>
  <c r="R264" i="1" s="1"/>
  <c r="G254" i="1"/>
  <c r="R254" i="1" s="1"/>
  <c r="G248" i="1"/>
  <c r="R248" i="1" s="1"/>
  <c r="G242" i="1"/>
  <c r="R242" i="1" s="1"/>
  <c r="G236" i="1"/>
  <c r="R236" i="1" s="1"/>
  <c r="G230" i="1"/>
  <c r="R230" i="1" s="1"/>
  <c r="G223" i="1"/>
  <c r="R223" i="1" s="1"/>
  <c r="G217" i="1"/>
  <c r="R217" i="1" s="1"/>
  <c r="G209" i="1"/>
  <c r="R209" i="1" s="1"/>
  <c r="G202" i="1"/>
  <c r="R202" i="1" s="1"/>
  <c r="G196" i="1"/>
  <c r="R196" i="1" s="1"/>
  <c r="G189" i="1"/>
  <c r="R189" i="1" s="1"/>
  <c r="G179" i="1"/>
  <c r="G171" i="1"/>
  <c r="G165" i="1"/>
  <c r="G157" i="1"/>
  <c r="R157" i="1" s="1"/>
  <c r="G151" i="1"/>
  <c r="R151" i="1" s="1"/>
  <c r="G143" i="1"/>
  <c r="R143" i="1" s="1"/>
  <c r="S143" i="1" s="1"/>
  <c r="G337" i="1"/>
  <c r="G311" i="1"/>
  <c r="R311" i="1" s="1"/>
  <c r="G277" i="1"/>
  <c r="R277" i="1" s="1"/>
  <c r="G231" i="1"/>
  <c r="R231" i="1" s="1"/>
  <c r="G197" i="1"/>
  <c r="G159" i="1"/>
  <c r="G355" i="1"/>
  <c r="G349" i="1"/>
  <c r="G342" i="1"/>
  <c r="G334" i="1"/>
  <c r="G327" i="1"/>
  <c r="R327" i="1" s="1"/>
  <c r="G321" i="1"/>
  <c r="R321" i="1" s="1"/>
  <c r="G315" i="1"/>
  <c r="R315" i="1" s="1"/>
  <c r="G309" i="1"/>
  <c r="R309" i="1" s="1"/>
  <c r="G302" i="1"/>
  <c r="R302" i="1" s="1"/>
  <c r="G296" i="1"/>
  <c r="R296" i="1" s="1"/>
  <c r="G282" i="1"/>
  <c r="R282" i="1" s="1"/>
  <c r="G275" i="1"/>
  <c r="R275" i="1" s="1"/>
  <c r="G269" i="1"/>
  <c r="R269" i="1" s="1"/>
  <c r="G263" i="1"/>
  <c r="R263" i="1" s="1"/>
  <c r="G253" i="1"/>
  <c r="R253" i="1" s="1"/>
  <c r="G247" i="1"/>
  <c r="R247" i="1" s="1"/>
  <c r="G241" i="1"/>
  <c r="R241" i="1" s="1"/>
  <c r="G235" i="1"/>
  <c r="R235" i="1" s="1"/>
  <c r="G228" i="1"/>
  <c r="R228" i="1" s="1"/>
  <c r="G222" i="1"/>
  <c r="R222" i="1" s="1"/>
  <c r="G216" i="1"/>
  <c r="R216" i="1" s="1"/>
  <c r="G208" i="1"/>
  <c r="R208" i="1" s="1"/>
  <c r="G201" i="1"/>
  <c r="R201" i="1" s="1"/>
  <c r="G195" i="1"/>
  <c r="R195" i="1" s="1"/>
  <c r="G188" i="1"/>
  <c r="R188" i="1" s="1"/>
  <c r="S188" i="1" s="1"/>
  <c r="G178" i="1"/>
  <c r="G170" i="1"/>
  <c r="G164" i="1"/>
  <c r="G156" i="1"/>
  <c r="R156" i="1" s="1"/>
  <c r="G150" i="1"/>
  <c r="R150" i="1" s="1"/>
  <c r="G249" i="1"/>
  <c r="R249" i="1" s="1"/>
  <c r="G218" i="1"/>
  <c r="R218" i="1" s="1"/>
  <c r="G190" i="1"/>
  <c r="R190" i="1" s="1"/>
  <c r="G361" i="1"/>
  <c r="G354" i="1"/>
  <c r="G348" i="1"/>
  <c r="G341" i="1"/>
  <c r="G332" i="1"/>
  <c r="R332" i="1" s="1"/>
  <c r="G326" i="1"/>
  <c r="R326" i="1" s="1"/>
  <c r="G320" i="1"/>
  <c r="R320" i="1" s="1"/>
  <c r="G314" i="1"/>
  <c r="R314" i="1" s="1"/>
  <c r="G308" i="1"/>
  <c r="R308" i="1" s="1"/>
  <c r="G301" i="1"/>
  <c r="R301" i="1" s="1"/>
  <c r="G295" i="1"/>
  <c r="R295" i="1" s="1"/>
  <c r="G289" i="1"/>
  <c r="G280" i="1"/>
  <c r="R280" i="1" s="1"/>
  <c r="G274" i="1"/>
  <c r="R274" i="1" s="1"/>
  <c r="G268" i="1"/>
  <c r="R268" i="1" s="1"/>
  <c r="G262" i="1"/>
  <c r="R262" i="1" s="1"/>
  <c r="G252" i="1"/>
  <c r="R252" i="1" s="1"/>
  <c r="G246" i="1"/>
  <c r="R246" i="1" s="1"/>
  <c r="G240" i="1"/>
  <c r="R240" i="1" s="1"/>
  <c r="G234" i="1"/>
  <c r="R234" i="1" s="1"/>
  <c r="G227" i="1"/>
  <c r="R227" i="1" s="1"/>
  <c r="G221" i="1"/>
  <c r="R221" i="1" s="1"/>
  <c r="G206" i="1"/>
  <c r="R206" i="1" s="1"/>
  <c r="G200" i="1"/>
  <c r="R200" i="1" s="1"/>
  <c r="G194" i="1"/>
  <c r="R194" i="1" s="1"/>
  <c r="G176" i="1"/>
  <c r="G163" i="1"/>
  <c r="G155" i="1"/>
  <c r="R155" i="1" s="1"/>
  <c r="G148" i="1"/>
  <c r="R148" i="1" s="1"/>
  <c r="G345" i="1"/>
  <c r="G304" i="1"/>
  <c r="R304" i="1" s="1"/>
  <c r="G265" i="1"/>
  <c r="R265" i="1" s="1"/>
  <c r="G237" i="1"/>
  <c r="R237" i="1" s="1"/>
  <c r="G203" i="1"/>
  <c r="R203" i="1" s="1"/>
  <c r="G172" i="1"/>
  <c r="G152" i="1"/>
  <c r="R152" i="1" s="1"/>
  <c r="G353" i="1"/>
  <c r="G347" i="1"/>
  <c r="G340" i="1"/>
  <c r="G331" i="1"/>
  <c r="R331" i="1" s="1"/>
  <c r="G325" i="1"/>
  <c r="R325" i="1" s="1"/>
  <c r="G319" i="1"/>
  <c r="R319" i="1" s="1"/>
  <c r="G313" i="1"/>
  <c r="R313" i="1" s="1"/>
  <c r="G307" i="1"/>
  <c r="R307" i="1" s="1"/>
  <c r="G300" i="1"/>
  <c r="R300" i="1" s="1"/>
  <c r="G294" i="1"/>
  <c r="R294" i="1" s="1"/>
  <c r="G286" i="1"/>
  <c r="R286" i="1" s="1"/>
  <c r="G279" i="1"/>
  <c r="R279" i="1" s="1"/>
  <c r="G273" i="1"/>
  <c r="R273" i="1" s="1"/>
  <c r="G267" i="1"/>
  <c r="R267" i="1" s="1"/>
  <c r="G261" i="1"/>
  <c r="R261" i="1" s="1"/>
  <c r="G251" i="1"/>
  <c r="R251" i="1" s="1"/>
  <c r="G245" i="1"/>
  <c r="R245" i="1" s="1"/>
  <c r="G239" i="1"/>
  <c r="R239" i="1" s="1"/>
  <c r="G233" i="1"/>
  <c r="R233" i="1" s="1"/>
  <c r="G226" i="1"/>
  <c r="R226" i="1" s="1"/>
  <c r="G220" i="1"/>
  <c r="R220" i="1" s="1"/>
  <c r="G205" i="1"/>
  <c r="G199" i="1"/>
  <c r="R199" i="1" s="1"/>
  <c r="G193" i="1"/>
  <c r="R193" i="1" s="1"/>
  <c r="G182" i="1"/>
  <c r="G174" i="1"/>
  <c r="G168" i="1"/>
  <c r="G161" i="1"/>
  <c r="G154" i="1"/>
  <c r="R154" i="1" s="1"/>
  <c r="G147" i="1"/>
  <c r="R147" i="1" s="1"/>
  <c r="G351" i="1"/>
  <c r="G317" i="1"/>
  <c r="R317" i="1" s="1"/>
  <c r="G284" i="1"/>
  <c r="R284" i="1" s="1"/>
  <c r="G255" i="1"/>
  <c r="R255" i="1" s="1"/>
  <c r="G224" i="1"/>
  <c r="R224" i="1" s="1"/>
  <c r="G352" i="1"/>
  <c r="G346" i="1"/>
  <c r="G338" i="1"/>
  <c r="G330" i="1"/>
  <c r="R330" i="1" s="1"/>
  <c r="G324" i="1"/>
  <c r="R324" i="1" s="1"/>
  <c r="G318" i="1"/>
  <c r="R318" i="1" s="1"/>
  <c r="G312" i="1"/>
  <c r="R312" i="1" s="1"/>
  <c r="G305" i="1"/>
  <c r="R305" i="1" s="1"/>
  <c r="G299" i="1"/>
  <c r="R299" i="1" s="1"/>
  <c r="G293" i="1"/>
  <c r="R293" i="1" s="1"/>
  <c r="G285" i="1"/>
  <c r="R285" i="1" s="1"/>
  <c r="G278" i="1"/>
  <c r="R278" i="1" s="1"/>
  <c r="G272" i="1"/>
  <c r="R272" i="1" s="1"/>
  <c r="G266" i="1"/>
  <c r="R266" i="1" s="1"/>
  <c r="G260" i="1"/>
  <c r="R260" i="1" s="1"/>
  <c r="S260" i="1" s="1"/>
  <c r="G250" i="1"/>
  <c r="R250" i="1" s="1"/>
  <c r="G244" i="1"/>
  <c r="R244" i="1" s="1"/>
  <c r="G238" i="1"/>
  <c r="R238" i="1" s="1"/>
  <c r="G232" i="1"/>
  <c r="R232" i="1" s="1"/>
  <c r="G225" i="1"/>
  <c r="R225" i="1" s="1"/>
  <c r="G219" i="1"/>
  <c r="R219" i="1" s="1"/>
  <c r="G204" i="1"/>
  <c r="G198" i="1"/>
  <c r="R198" i="1" s="1"/>
  <c r="G191" i="1"/>
  <c r="R191" i="1" s="1"/>
  <c r="G173" i="1"/>
  <c r="G167" i="1"/>
  <c r="G160" i="1"/>
  <c r="G153" i="1"/>
  <c r="R153" i="1" s="1"/>
  <c r="G146" i="1"/>
  <c r="R146" i="1" s="1"/>
  <c r="G358" i="1"/>
  <c r="G323" i="1"/>
  <c r="R323" i="1" s="1"/>
  <c r="G298" i="1"/>
  <c r="R298" i="1" s="1"/>
  <c r="G271" i="1"/>
  <c r="R271" i="1" s="1"/>
  <c r="G243" i="1"/>
  <c r="R243" i="1" s="1"/>
  <c r="G212" i="1"/>
  <c r="R212" i="1" s="1"/>
  <c r="G166" i="1"/>
  <c r="G145" i="1"/>
  <c r="R145" i="1" s="1"/>
  <c r="G138" i="1"/>
  <c r="R138" i="1" s="1"/>
  <c r="G132" i="1"/>
  <c r="R132" i="1" s="1"/>
  <c r="G126" i="1"/>
  <c r="R126" i="1" s="1"/>
  <c r="G120" i="1"/>
  <c r="R120" i="1" s="1"/>
  <c r="G114" i="1"/>
  <c r="R114" i="1" s="1"/>
  <c r="G107" i="1"/>
  <c r="R107" i="1" s="1"/>
  <c r="G101" i="1"/>
  <c r="R101" i="1" s="1"/>
  <c r="G95" i="1"/>
  <c r="R95" i="1" s="1"/>
  <c r="G87" i="1"/>
  <c r="R87" i="1" s="1"/>
  <c r="G81" i="1"/>
  <c r="R81" i="1" s="1"/>
  <c r="G74" i="1"/>
  <c r="R74" i="1" s="1"/>
  <c r="G66" i="1"/>
  <c r="R66" i="1" s="1"/>
  <c r="G60" i="1"/>
  <c r="R60" i="1" s="1"/>
  <c r="G52" i="1"/>
  <c r="R52" i="1" s="1"/>
  <c r="G45" i="1"/>
  <c r="R45" i="1" s="1"/>
  <c r="G39" i="1"/>
  <c r="R39" i="1" s="1"/>
  <c r="G32" i="1"/>
  <c r="R32" i="1" s="1"/>
  <c r="G26" i="1"/>
  <c r="R26" i="1" s="1"/>
  <c r="G15" i="1"/>
  <c r="R15" i="1" s="1"/>
  <c r="G9" i="1"/>
  <c r="R9" i="1" s="1"/>
  <c r="G137" i="1"/>
  <c r="R137" i="1" s="1"/>
  <c r="G131" i="1"/>
  <c r="R131" i="1" s="1"/>
  <c r="G125" i="1"/>
  <c r="R125" i="1" s="1"/>
  <c r="G119" i="1"/>
  <c r="R119" i="1" s="1"/>
  <c r="G113" i="1"/>
  <c r="R113" i="1" s="1"/>
  <c r="G106" i="1"/>
  <c r="R106" i="1" s="1"/>
  <c r="G100" i="1"/>
  <c r="R100" i="1" s="1"/>
  <c r="G92" i="1"/>
  <c r="R92" i="1" s="1"/>
  <c r="G86" i="1"/>
  <c r="R86" i="1" s="1"/>
  <c r="G80" i="1"/>
  <c r="R80" i="1" s="1"/>
  <c r="G73" i="1"/>
  <c r="R73" i="1" s="1"/>
  <c r="G65" i="1"/>
  <c r="R65" i="1" s="1"/>
  <c r="G59" i="1"/>
  <c r="R59" i="1" s="1"/>
  <c r="G50" i="1"/>
  <c r="R50" i="1" s="1"/>
  <c r="G44" i="1"/>
  <c r="R44" i="1" s="1"/>
  <c r="G38" i="1"/>
  <c r="R38" i="1" s="1"/>
  <c r="G25" i="1"/>
  <c r="R25" i="1" s="1"/>
  <c r="G8" i="1"/>
  <c r="R8" i="1" s="1"/>
  <c r="S8" i="1" s="1"/>
  <c r="G136" i="1"/>
  <c r="R136" i="1" s="1"/>
  <c r="G130" i="1"/>
  <c r="R130" i="1" s="1"/>
  <c r="G124" i="1"/>
  <c r="R124" i="1" s="1"/>
  <c r="G118" i="1"/>
  <c r="R118" i="1" s="1"/>
  <c r="G111" i="1"/>
  <c r="R111" i="1" s="1"/>
  <c r="G105" i="1"/>
  <c r="R105" i="1" s="1"/>
  <c r="G99" i="1"/>
  <c r="R99" i="1" s="1"/>
  <c r="G91" i="1"/>
  <c r="R91" i="1" s="1"/>
  <c r="G85" i="1"/>
  <c r="R85" i="1" s="1"/>
  <c r="G71" i="1"/>
  <c r="R71" i="1" s="1"/>
  <c r="G58" i="1"/>
  <c r="R58" i="1" s="1"/>
  <c r="G49" i="1"/>
  <c r="R49" i="1" s="1"/>
  <c r="G43" i="1"/>
  <c r="R43" i="1" s="1"/>
  <c r="G37" i="1"/>
  <c r="R37" i="1" s="1"/>
  <c r="G30" i="1"/>
  <c r="R30" i="1" s="1"/>
  <c r="G23" i="1"/>
  <c r="R23" i="1" s="1"/>
  <c r="S23" i="1" s="1"/>
  <c r="S24" i="1" s="1"/>
  <c r="G13" i="1"/>
  <c r="R13" i="1" s="1"/>
  <c r="G135" i="1"/>
  <c r="R135" i="1" s="1"/>
  <c r="G129" i="1"/>
  <c r="R129" i="1" s="1"/>
  <c r="G123" i="1"/>
  <c r="R123" i="1" s="1"/>
  <c r="G117" i="1"/>
  <c r="R117" i="1" s="1"/>
  <c r="G110" i="1"/>
  <c r="R110" i="1" s="1"/>
  <c r="G104" i="1"/>
  <c r="R104" i="1" s="1"/>
  <c r="G90" i="1"/>
  <c r="R90" i="1" s="1"/>
  <c r="G84" i="1"/>
  <c r="R84" i="1" s="1"/>
  <c r="G77" i="1"/>
  <c r="R77" i="1" s="1"/>
  <c r="G69" i="1"/>
  <c r="R69" i="1" s="1"/>
  <c r="G63" i="1"/>
  <c r="R63" i="1" s="1"/>
  <c r="G56" i="1"/>
  <c r="R56" i="1" s="1"/>
  <c r="G48" i="1"/>
  <c r="R48" i="1" s="1"/>
  <c r="G42" i="1"/>
  <c r="R42" i="1" s="1"/>
  <c r="G36" i="1"/>
  <c r="R36" i="1" s="1"/>
  <c r="G29" i="1"/>
  <c r="R29" i="1" s="1"/>
  <c r="G18" i="1"/>
  <c r="G12" i="1"/>
  <c r="R12" i="1" s="1"/>
  <c r="G134" i="1"/>
  <c r="R134" i="1" s="1"/>
  <c r="G128" i="1"/>
  <c r="R128" i="1" s="1"/>
  <c r="G122" i="1"/>
  <c r="R122" i="1" s="1"/>
  <c r="G116" i="1"/>
  <c r="R116" i="1" s="1"/>
  <c r="G109" i="1"/>
  <c r="R109" i="1" s="1"/>
  <c r="G103" i="1"/>
  <c r="R103" i="1" s="1"/>
  <c r="G89" i="1"/>
  <c r="R89" i="1" s="1"/>
  <c r="G83" i="1"/>
  <c r="R83" i="1" s="1"/>
  <c r="G68" i="1"/>
  <c r="R68" i="1" s="1"/>
  <c r="G62" i="1"/>
  <c r="R62" i="1" s="1"/>
  <c r="G54" i="1"/>
  <c r="R54" i="1" s="1"/>
  <c r="G47" i="1"/>
  <c r="R47" i="1" s="1"/>
  <c r="G41" i="1"/>
  <c r="R41" i="1" s="1"/>
  <c r="G34" i="1"/>
  <c r="R34" i="1" s="1"/>
  <c r="G28" i="1"/>
  <c r="R28" i="1" s="1"/>
  <c r="G17" i="1"/>
  <c r="R17" i="1" s="1"/>
  <c r="G11" i="1"/>
  <c r="R11" i="1" s="1"/>
  <c r="G31" i="1"/>
  <c r="R31" i="1" s="1"/>
  <c r="G14" i="1"/>
  <c r="R14" i="1" s="1"/>
  <c r="G133" i="1"/>
  <c r="R133" i="1" s="1"/>
  <c r="G127" i="1"/>
  <c r="R127" i="1" s="1"/>
  <c r="G121" i="1"/>
  <c r="R121" i="1" s="1"/>
  <c r="G115" i="1"/>
  <c r="R115" i="1" s="1"/>
  <c r="G108" i="1"/>
  <c r="R108" i="1" s="1"/>
  <c r="G102" i="1"/>
  <c r="R102" i="1" s="1"/>
  <c r="G88" i="1"/>
  <c r="R88" i="1" s="1"/>
  <c r="G82" i="1"/>
  <c r="R82" i="1" s="1"/>
  <c r="G67" i="1"/>
  <c r="R67" i="1" s="1"/>
  <c r="G61" i="1"/>
  <c r="R61" i="1" s="1"/>
  <c r="G53" i="1"/>
  <c r="R53" i="1" s="1"/>
  <c r="G46" i="1"/>
  <c r="R46" i="1" s="1"/>
  <c r="G40" i="1"/>
  <c r="R40" i="1" s="1"/>
  <c r="G33" i="1"/>
  <c r="R33" i="1" s="1"/>
  <c r="G27" i="1"/>
  <c r="R27" i="1" s="1"/>
  <c r="G16" i="1"/>
  <c r="R16" i="1" s="1"/>
  <c r="G10" i="1"/>
  <c r="R10" i="1" s="1"/>
  <c r="Q3" i="1"/>
  <c r="P4" i="1"/>
  <c r="Q4" i="1"/>
  <c r="S9" i="1" l="1"/>
  <c r="S10" i="1" s="1"/>
  <c r="S11" i="1" s="1"/>
  <c r="S12" i="1" s="1"/>
  <c r="S13" i="1" s="1"/>
  <c r="S14" i="1" s="1"/>
  <c r="S15" i="1" s="1"/>
  <c r="S16" i="1" s="1"/>
  <c r="S17" i="1" s="1"/>
  <c r="S25" i="1"/>
  <c r="S26" i="1" s="1"/>
  <c r="S27" i="1" s="1"/>
  <c r="S28" i="1" s="1"/>
  <c r="S29" i="1" s="1"/>
  <c r="S30" i="1" s="1"/>
  <c r="S31" i="1" s="1"/>
  <c r="S32" i="1" s="1"/>
  <c r="S33" i="1" s="1"/>
  <c r="S34" i="1" s="1"/>
  <c r="S35" i="1" s="1"/>
  <c r="S36" i="1" s="1"/>
  <c r="S37" i="1" s="1"/>
  <c r="S38" i="1" s="1"/>
  <c r="S39" i="1" s="1"/>
  <c r="S40" i="1" s="1"/>
  <c r="S41" i="1" s="1"/>
  <c r="S42" i="1" s="1"/>
  <c r="S43" i="1" s="1"/>
  <c r="S44" i="1" s="1"/>
  <c r="S45" i="1" s="1"/>
  <c r="S46" i="1" s="1"/>
  <c r="S47" i="1" s="1"/>
  <c r="S48" i="1" s="1"/>
  <c r="S49" i="1" s="1"/>
  <c r="S50" i="1" s="1"/>
  <c r="S51" i="1" s="1"/>
  <c r="S52" i="1" s="1"/>
  <c r="S53" i="1" s="1"/>
  <c r="S54" i="1" s="1"/>
  <c r="S55" i="1" s="1"/>
  <c r="S56" i="1" s="1"/>
  <c r="S57" i="1" s="1"/>
  <c r="S58" i="1" s="1"/>
  <c r="S59" i="1" s="1"/>
  <c r="S60" i="1" s="1"/>
  <c r="S61" i="1" s="1"/>
  <c r="S62" i="1" s="1"/>
  <c r="S63" i="1" s="1"/>
  <c r="S261" i="1"/>
  <c r="S262" i="1" s="1"/>
  <c r="S263" i="1" s="1"/>
  <c r="S264" i="1" s="1"/>
  <c r="S265" i="1" s="1"/>
  <c r="S266" i="1" s="1"/>
  <c r="S267" i="1" s="1"/>
  <c r="S268" i="1" s="1"/>
  <c r="S269" i="1" s="1"/>
  <c r="S270" i="1" s="1"/>
  <c r="S271" i="1" s="1"/>
  <c r="S272" i="1" s="1"/>
  <c r="S273" i="1" s="1"/>
  <c r="S274" i="1" s="1"/>
  <c r="S275" i="1" s="1"/>
  <c r="S276" i="1" s="1"/>
  <c r="S277" i="1" s="1"/>
  <c r="S278" i="1" s="1"/>
  <c r="S279" i="1" s="1"/>
  <c r="S280" i="1" s="1"/>
  <c r="S281" i="1" s="1"/>
  <c r="S282" i="1" s="1"/>
  <c r="S283" i="1" s="1"/>
  <c r="S284" i="1" s="1"/>
  <c r="S285" i="1" s="1"/>
  <c r="S286" i="1" s="1"/>
  <c r="S287" i="1" s="1"/>
  <c r="S288" i="1" s="1"/>
  <c r="S289" i="1" s="1"/>
  <c r="O3" i="1"/>
  <c r="F3" i="1" s="1"/>
  <c r="K337" i="1" l="1"/>
  <c r="K338" i="1"/>
  <c r="K336" i="1"/>
  <c r="K264" i="1"/>
  <c r="K265" i="1"/>
  <c r="K270" i="1"/>
  <c r="K277" i="1"/>
  <c r="K278" i="1"/>
  <c r="K203" i="1"/>
  <c r="K276" i="1" s="1"/>
  <c r="K204" i="1"/>
  <c r="K279" i="1" s="1"/>
  <c r="K205" i="1"/>
  <c r="K206" i="1"/>
  <c r="K193" i="1"/>
  <c r="K76" i="1" l="1"/>
  <c r="K75" i="1"/>
  <c r="K360" i="1" l="1"/>
  <c r="G360" i="1" s="1"/>
  <c r="K181" i="1"/>
  <c r="G181" i="1" s="1"/>
  <c r="G76" i="1"/>
  <c r="R76" i="1" s="1"/>
  <c r="K359" i="1"/>
  <c r="G359" i="1" s="1"/>
  <c r="K180" i="1"/>
  <c r="G180" i="1" s="1"/>
  <c r="G75" i="1"/>
  <c r="R75" i="1" s="1"/>
  <c r="K114" i="1"/>
  <c r="K115" i="1"/>
  <c r="K116" i="1"/>
  <c r="K119" i="1"/>
  <c r="K125" i="1"/>
  <c r="K126" i="1"/>
  <c r="K127" i="1"/>
  <c r="K128" i="1"/>
  <c r="K129" i="1"/>
  <c r="K131" i="1"/>
  <c r="K132" i="1"/>
  <c r="K133" i="1"/>
  <c r="K135" i="1"/>
  <c r="K136" i="1"/>
  <c r="K137" i="1"/>
  <c r="K138" i="1"/>
  <c r="K96" i="1"/>
  <c r="K97" i="1"/>
  <c r="K98" i="1"/>
  <c r="K99" i="1"/>
  <c r="K100" i="1"/>
  <c r="K101" i="1"/>
  <c r="K102" i="1"/>
  <c r="K103" i="1"/>
  <c r="K105" i="1"/>
  <c r="K106" i="1"/>
  <c r="K107" i="1"/>
  <c r="K108" i="1"/>
  <c r="K110" i="1"/>
  <c r="K111" i="1"/>
  <c r="K95" i="1"/>
  <c r="K74" i="1"/>
  <c r="K78" i="1"/>
  <c r="K73" i="1"/>
  <c r="K71" i="1"/>
  <c r="K59" i="1"/>
  <c r="K60" i="1"/>
  <c r="K61" i="1"/>
  <c r="K62" i="1"/>
  <c r="K63" i="1"/>
  <c r="K64" i="1"/>
  <c r="K65" i="1"/>
  <c r="K66" i="1"/>
  <c r="K67" i="1"/>
  <c r="K68" i="1"/>
  <c r="K69" i="1"/>
  <c r="K58" i="1"/>
  <c r="K56" i="1"/>
  <c r="K53" i="1"/>
  <c r="K54" i="1"/>
  <c r="K52" i="1"/>
  <c r="K37" i="1"/>
  <c r="K38" i="1"/>
  <c r="K39" i="1"/>
  <c r="K40" i="1"/>
  <c r="K41" i="1"/>
  <c r="K42" i="1"/>
  <c r="K43" i="1"/>
  <c r="K44" i="1"/>
  <c r="K45" i="1"/>
  <c r="K46" i="1"/>
  <c r="K47" i="1"/>
  <c r="K48" i="1"/>
  <c r="K49" i="1"/>
  <c r="K50" i="1"/>
  <c r="K36" i="1"/>
  <c r="K26" i="1"/>
  <c r="K27" i="1"/>
  <c r="K28" i="1"/>
  <c r="K29" i="1"/>
  <c r="K30" i="1"/>
  <c r="K31" i="1"/>
  <c r="K32" i="1"/>
  <c r="K33" i="1"/>
  <c r="K34" i="1"/>
  <c r="K23" i="1"/>
  <c r="K9" i="1"/>
  <c r="K10" i="1"/>
  <c r="K11" i="1"/>
  <c r="K12" i="1"/>
  <c r="K13" i="1"/>
  <c r="K15" i="1"/>
  <c r="K17" i="1"/>
  <c r="K8" i="1"/>
  <c r="K215" i="1" l="1"/>
  <c r="G215" i="1" s="1"/>
  <c r="R215" i="1" s="1"/>
  <c r="K292" i="1"/>
  <c r="G292" i="1" s="1"/>
  <c r="G98" i="1"/>
  <c r="R98" i="1" s="1"/>
  <c r="K214" i="1"/>
  <c r="G214" i="1" s="1"/>
  <c r="R214" i="1" s="1"/>
  <c r="K291" i="1"/>
  <c r="G291" i="1" s="1"/>
  <c r="G97" i="1"/>
  <c r="R97" i="1" s="1"/>
  <c r="K290" i="1"/>
  <c r="G290" i="1" s="1"/>
  <c r="S290" i="1" s="1"/>
  <c r="K213" i="1"/>
  <c r="G213" i="1" s="1"/>
  <c r="R213" i="1" s="1"/>
  <c r="G96" i="1"/>
  <c r="R96" i="1" s="1"/>
  <c r="K183" i="1"/>
  <c r="G183" i="1" s="1"/>
  <c r="K362" i="1"/>
  <c r="G362" i="1" s="1"/>
  <c r="H356" i="1" s="1"/>
  <c r="G78" i="1"/>
  <c r="R78" i="1" s="1"/>
  <c r="K350" i="1"/>
  <c r="G350" i="1" s="1"/>
  <c r="H343" i="1" s="1"/>
  <c r="K169" i="1"/>
  <c r="G169" i="1" s="1"/>
  <c r="G64" i="1"/>
  <c r="R64" i="1" s="1"/>
  <c r="S64" i="1" s="1"/>
  <c r="S65" i="1" s="1"/>
  <c r="S66" i="1" s="1"/>
  <c r="S67" i="1" s="1"/>
  <c r="S68" i="1" s="1"/>
  <c r="S69" i="1" s="1"/>
  <c r="S70" i="1" s="1"/>
  <c r="S71" i="1" s="1"/>
  <c r="S72" i="1" s="1"/>
  <c r="S73" i="1" s="1"/>
  <c r="S74" i="1" s="1"/>
  <c r="S75" i="1" s="1"/>
  <c r="S76" i="1" s="1"/>
  <c r="S77" i="1" s="1"/>
  <c r="H333" i="1"/>
  <c r="H175" i="1"/>
  <c r="H142" i="1"/>
  <c r="H22" i="1"/>
  <c r="H55" i="1"/>
  <c r="H70" i="1"/>
  <c r="S291" i="1" l="1"/>
  <c r="S292" i="1" s="1"/>
  <c r="S293" i="1" s="1"/>
  <c r="S294" i="1" s="1"/>
  <c r="S295" i="1" s="1"/>
  <c r="S296" i="1" s="1"/>
  <c r="S297" i="1" s="1"/>
  <c r="S298" i="1" s="1"/>
  <c r="S299" i="1" s="1"/>
  <c r="S300" i="1" s="1"/>
  <c r="S301" i="1" s="1"/>
  <c r="S302" i="1" s="1"/>
  <c r="S303" i="1" s="1"/>
  <c r="S304" i="1" s="1"/>
  <c r="S305" i="1" s="1"/>
  <c r="S306" i="1" s="1"/>
  <c r="S307" i="1" s="1"/>
  <c r="S308" i="1" s="1"/>
  <c r="S309" i="1" s="1"/>
  <c r="S310" i="1" s="1"/>
  <c r="S311" i="1" s="1"/>
  <c r="S312" i="1" s="1"/>
  <c r="S313" i="1" s="1"/>
  <c r="S314" i="1" s="1"/>
  <c r="S315" i="1" s="1"/>
  <c r="S316" i="1" s="1"/>
  <c r="S317" i="1" s="1"/>
  <c r="S318" i="1" s="1"/>
  <c r="S319" i="1" s="1"/>
  <c r="S320" i="1" s="1"/>
  <c r="S321" i="1" s="1"/>
  <c r="S322" i="1" s="1"/>
  <c r="S323" i="1" s="1"/>
  <c r="S324" i="1" s="1"/>
  <c r="S325" i="1" s="1"/>
  <c r="S326" i="1" s="1"/>
  <c r="S327" i="1" s="1"/>
  <c r="S328" i="1" s="1"/>
  <c r="S329" i="1" s="1"/>
  <c r="S330" i="1" s="1"/>
  <c r="S331" i="1" s="1"/>
  <c r="S332" i="1" s="1"/>
  <c r="S78" i="1"/>
  <c r="S79" i="1" s="1"/>
  <c r="S80" i="1" s="1"/>
  <c r="S81" i="1" s="1"/>
  <c r="S82" i="1" s="1"/>
  <c r="S83" i="1" s="1"/>
  <c r="S84" i="1" s="1"/>
  <c r="S85" i="1" s="1"/>
  <c r="S86" i="1" s="1"/>
  <c r="S87" i="1" s="1"/>
  <c r="S88" i="1" s="1"/>
  <c r="S89" i="1" s="1"/>
  <c r="S90" i="1" s="1"/>
  <c r="S91" i="1" s="1"/>
  <c r="S92" i="1" s="1"/>
  <c r="S93" i="1" s="1"/>
  <c r="S94" i="1" s="1"/>
  <c r="S95" i="1" s="1"/>
  <c r="S96" i="1" s="1"/>
  <c r="S97" i="1" s="1"/>
  <c r="S98" i="1" s="1"/>
  <c r="S99" i="1" s="1"/>
  <c r="S100" i="1" s="1"/>
  <c r="S101" i="1" s="1"/>
  <c r="S102" i="1" s="1"/>
  <c r="S103" i="1" s="1"/>
  <c r="S104" i="1" s="1"/>
  <c r="S105" i="1" s="1"/>
  <c r="S106" i="1" s="1"/>
  <c r="S107" i="1" s="1"/>
  <c r="S108" i="1" s="1"/>
  <c r="S109" i="1" s="1"/>
  <c r="S110" i="1" s="1"/>
  <c r="S111" i="1" s="1"/>
  <c r="S112" i="1" s="1"/>
  <c r="S113" i="1" s="1"/>
  <c r="S114" i="1" s="1"/>
  <c r="S115" i="1" s="1"/>
  <c r="S116" i="1" s="1"/>
  <c r="S117" i="1" s="1"/>
  <c r="S118" i="1" s="1"/>
  <c r="S119" i="1" s="1"/>
  <c r="S120" i="1" s="1"/>
  <c r="S121" i="1" s="1"/>
  <c r="S122" i="1" s="1"/>
  <c r="S123" i="1" s="1"/>
  <c r="S124" i="1" s="1"/>
  <c r="S125" i="1" s="1"/>
  <c r="S126" i="1" s="1"/>
  <c r="S127" i="1" s="1"/>
  <c r="S128" i="1" s="1"/>
  <c r="S129" i="1" s="1"/>
  <c r="S130" i="1" s="1"/>
  <c r="S131" i="1" s="1"/>
  <c r="S132" i="1" s="1"/>
  <c r="S133" i="1" s="1"/>
  <c r="S134" i="1" s="1"/>
  <c r="S135" i="1" s="1"/>
  <c r="S136" i="1" s="1"/>
  <c r="S137" i="1" s="1"/>
  <c r="S138" i="1" s="1"/>
  <c r="S144" i="1" s="1"/>
  <c r="S145" i="1" s="1"/>
  <c r="S146" i="1" s="1"/>
  <c r="S147" i="1" s="1"/>
  <c r="S148" i="1" s="1"/>
  <c r="S149" i="1" s="1"/>
  <c r="S150" i="1" s="1"/>
  <c r="S151" i="1" s="1"/>
  <c r="S152" i="1" s="1"/>
  <c r="S153" i="1" s="1"/>
  <c r="S154" i="1" s="1"/>
  <c r="S155" i="1" s="1"/>
  <c r="S156" i="1" s="1"/>
  <c r="S157" i="1" s="1"/>
  <c r="S189" i="1" s="1"/>
  <c r="S190" i="1" s="1"/>
  <c r="S191" i="1" s="1"/>
  <c r="S192" i="1" s="1"/>
  <c r="S193" i="1" s="1"/>
  <c r="S194" i="1" s="1"/>
  <c r="S195" i="1" s="1"/>
  <c r="S196" i="1" s="1"/>
  <c r="S197" i="1" s="1"/>
  <c r="S198" i="1" s="1"/>
  <c r="S199" i="1" s="1"/>
  <c r="S200" i="1" s="1"/>
  <c r="S201" i="1" s="1"/>
  <c r="S202" i="1" s="1"/>
  <c r="S203" i="1" s="1"/>
  <c r="S204" i="1" s="1"/>
  <c r="S205" i="1" s="1"/>
  <c r="S206" i="1" s="1"/>
  <c r="S207" i="1" s="1"/>
  <c r="S208" i="1" s="1"/>
  <c r="S209" i="1" s="1"/>
  <c r="S210" i="1" s="1"/>
  <c r="S211" i="1" s="1"/>
  <c r="S212" i="1" s="1"/>
  <c r="S213" i="1" s="1"/>
  <c r="S214" i="1" s="1"/>
  <c r="S215" i="1" s="1"/>
  <c r="S216" i="1" s="1"/>
  <c r="S217" i="1" s="1"/>
  <c r="S218" i="1" s="1"/>
  <c r="S219" i="1" s="1"/>
  <c r="S220" i="1" s="1"/>
  <c r="S221" i="1" s="1"/>
  <c r="S222" i="1" s="1"/>
  <c r="S223" i="1" s="1"/>
  <c r="S224" i="1" s="1"/>
  <c r="S225" i="1" s="1"/>
  <c r="S226" i="1" s="1"/>
  <c r="S227" i="1" s="1"/>
  <c r="S228" i="1" s="1"/>
  <c r="S229" i="1" s="1"/>
  <c r="S230" i="1" s="1"/>
  <c r="S231" i="1" s="1"/>
  <c r="S232" i="1" s="1"/>
  <c r="S233" i="1" s="1"/>
  <c r="S234" i="1" s="1"/>
  <c r="S235" i="1" s="1"/>
  <c r="S236" i="1" s="1"/>
  <c r="S237" i="1" s="1"/>
  <c r="S238" i="1" s="1"/>
  <c r="S239" i="1" s="1"/>
  <c r="S240" i="1" s="1"/>
  <c r="S241" i="1" s="1"/>
  <c r="S242" i="1" s="1"/>
  <c r="S243" i="1" s="1"/>
  <c r="S244" i="1" s="1"/>
  <c r="S245" i="1" s="1"/>
  <c r="S246" i="1" s="1"/>
  <c r="S247" i="1" s="1"/>
  <c r="S248" i="1" s="1"/>
  <c r="S249" i="1" s="1"/>
  <c r="S250" i="1" s="1"/>
  <c r="S251" i="1" s="1"/>
  <c r="S252" i="1" s="1"/>
  <c r="S253" i="1" s="1"/>
  <c r="S254" i="1" s="1"/>
  <c r="S255" i="1" s="1"/>
  <c r="H281" i="1"/>
  <c r="H177" i="1"/>
  <c r="H149" i="1"/>
  <c r="H187" i="1"/>
  <c r="H207" i="1"/>
  <c r="H144" i="1"/>
  <c r="H162" i="1"/>
  <c r="H192" i="1"/>
  <c r="H335" i="1"/>
  <c r="H288" i="1"/>
  <c r="H211" i="1"/>
  <c r="H306" i="1"/>
  <c r="H79" i="1"/>
  <c r="H94" i="1"/>
  <c r="G6" i="1"/>
  <c r="H6" i="1" s="1"/>
  <c r="H72" i="1"/>
  <c r="H35" i="1"/>
  <c r="H112" i="1"/>
  <c r="G140" i="1" l="1"/>
  <c r="H140" i="1" s="1"/>
  <c r="H57" i="1"/>
  <c r="H229" i="1"/>
  <c r="G185" i="1" s="1"/>
  <c r="H185" i="1" s="1"/>
  <c r="H339" i="1"/>
  <c r="H51" i="1"/>
  <c r="H158" i="1"/>
  <c r="H24" i="1"/>
  <c r="K260" i="1"/>
  <c r="H259" i="1" s="1"/>
  <c r="G257" i="1" s="1"/>
  <c r="H257" i="1" s="1"/>
  <c r="G20" i="1" l="1"/>
  <c r="H20" i="1" s="1"/>
</calcChain>
</file>

<file path=xl/comments1.xml><?xml version="1.0" encoding="utf-8"?>
<comments xmlns="http://schemas.openxmlformats.org/spreadsheetml/2006/main">
  <authors>
    <author>Mads Schmidt Christensen</author>
  </authors>
  <commentList>
    <comment ref="L90" authorId="0">
      <text>
        <r>
          <rPr>
            <b/>
            <sz val="9"/>
            <color indexed="81"/>
            <rFont val="Tahoma"/>
            <family val="2"/>
          </rPr>
          <t>Mads Schmidt Christensen:</t>
        </r>
        <r>
          <rPr>
            <sz val="9"/>
            <color indexed="81"/>
            <rFont val="Tahoma"/>
            <family val="2"/>
          </rPr>
          <t xml:space="preserve">
stavet forkert v. dons</t>
        </r>
      </text>
    </comment>
    <comment ref="L136" authorId="0">
      <text>
        <r>
          <rPr>
            <b/>
            <sz val="9"/>
            <color indexed="81"/>
            <rFont val="Tahoma"/>
            <family val="2"/>
          </rPr>
          <t>Mads Schmidt Christensen:</t>
        </r>
        <r>
          <rPr>
            <sz val="9"/>
            <color indexed="81"/>
            <rFont val="Tahoma"/>
            <family val="2"/>
          </rPr>
          <t xml:space="preserve">
Måske stavet forkert ved Dons</t>
        </r>
      </text>
    </comment>
  </commentList>
</comments>
</file>

<file path=xl/sharedStrings.xml><?xml version="1.0" encoding="utf-8"?>
<sst xmlns="http://schemas.openxmlformats.org/spreadsheetml/2006/main" count="3756" uniqueCount="304">
  <si>
    <t>Analyse komponenter</t>
  </si>
  <si>
    <t>Turbiditet</t>
  </si>
  <si>
    <t>Escherichia coli</t>
  </si>
  <si>
    <t>Enterokokker</t>
  </si>
  <si>
    <t>Nitrit</t>
  </si>
  <si>
    <t>Nitrat</t>
  </si>
  <si>
    <t>Chlorid</t>
  </si>
  <si>
    <t>Sulfat</t>
  </si>
  <si>
    <t>Acrylamid</t>
  </si>
  <si>
    <t>Epichlorhydrin</t>
  </si>
  <si>
    <t>Benzen</t>
  </si>
  <si>
    <t>Fluoranthen</t>
  </si>
  <si>
    <t>Benzo(a)pyren</t>
  </si>
  <si>
    <t>Sum PFAS</t>
  </si>
  <si>
    <t>Pentachlorphenol</t>
  </si>
  <si>
    <t>2,6-DCPP</t>
  </si>
  <si>
    <t>4-CPP</t>
  </si>
  <si>
    <t>Aldrin</t>
  </si>
  <si>
    <t>AMPA</t>
  </si>
  <si>
    <t>Atrazin</t>
  </si>
  <si>
    <t>Bentazon</t>
  </si>
  <si>
    <t>CGA 108906</t>
  </si>
  <si>
    <t>Deisopropyl-hydroxy-atrazin</t>
  </si>
  <si>
    <t>Desethyl-atrazin</t>
  </si>
  <si>
    <t>Desethyl-desisopropyl-atrazin</t>
  </si>
  <si>
    <t>Desethyl-hydroxy-atrazin</t>
  </si>
  <si>
    <t>Desethyl-terbutylazin</t>
  </si>
  <si>
    <t>Desisopropyl-atrazin</t>
  </si>
  <si>
    <t>Dichlobenil</t>
  </si>
  <si>
    <t>Didealkyl-hydroxy-atrazin</t>
  </si>
  <si>
    <t>Diuron</t>
  </si>
  <si>
    <t>Glyphosat</t>
  </si>
  <si>
    <t>Hexazinon</t>
  </si>
  <si>
    <t>Hydroxyatrazin</t>
  </si>
  <si>
    <t>Hydroxysimazin</t>
  </si>
  <si>
    <t>MCPA</t>
  </si>
  <si>
    <t>Metribuzin</t>
  </si>
  <si>
    <t>Metribuzin-desamino</t>
  </si>
  <si>
    <t>Metribuzin-desamino-diketo</t>
  </si>
  <si>
    <t>Metribuzin-diketo</t>
  </si>
  <si>
    <t>Simazin</t>
  </si>
  <si>
    <t>Vinylchlorid</t>
  </si>
  <si>
    <t>Dichlormethan</t>
  </si>
  <si>
    <t>1,1-dichlorethen</t>
  </si>
  <si>
    <t>1,2-dichlorethan</t>
  </si>
  <si>
    <t>1,1,1-trichlorethan</t>
  </si>
  <si>
    <t>1,1,2-trichlorethan</t>
  </si>
  <si>
    <t>Trichlorethen</t>
  </si>
  <si>
    <t>1,1,1,2-tetrachlorethan</t>
  </si>
  <si>
    <t>1,1,2,2-tetrachlorethan</t>
  </si>
  <si>
    <t>Tetrachlorethen</t>
  </si>
  <si>
    <t>pH</t>
  </si>
  <si>
    <t>Ledningsevne</t>
  </si>
  <si>
    <t>Gruppe A</t>
  </si>
  <si>
    <t>Lugt</t>
  </si>
  <si>
    <t>Smag</t>
  </si>
  <si>
    <t>Farve</t>
  </si>
  <si>
    <t>Kimtal ved 22 °C</t>
  </si>
  <si>
    <t>Coliforme bakterier</t>
  </si>
  <si>
    <t>E. coli</t>
  </si>
  <si>
    <t>Jern</t>
  </si>
  <si>
    <t>Gruppe B</t>
  </si>
  <si>
    <t>Mikrobiologi</t>
  </si>
  <si>
    <t>Hovedbestanddele</t>
  </si>
  <si>
    <t>Temperatur</t>
  </si>
  <si>
    <t>NVOC</t>
  </si>
  <si>
    <t>Natrium</t>
  </si>
  <si>
    <t>Ammonium</t>
  </si>
  <si>
    <t>Mangan</t>
  </si>
  <si>
    <t>Fluorid</t>
  </si>
  <si>
    <t>Uorganiske sporstoffer</t>
  </si>
  <si>
    <t>Aluminium</t>
  </si>
  <si>
    <t>Antimon</t>
  </si>
  <si>
    <t>Arsen</t>
  </si>
  <si>
    <t>Bly</t>
  </si>
  <si>
    <t>Bor</t>
  </si>
  <si>
    <t>Cadmium</t>
  </si>
  <si>
    <t>Chrom</t>
  </si>
  <si>
    <t>Cyanid</t>
  </si>
  <si>
    <t>Kobber</t>
  </si>
  <si>
    <t>Kviksølv</t>
  </si>
  <si>
    <t>Nikkel</t>
  </si>
  <si>
    <t>Selen</t>
  </si>
  <si>
    <t>Sølv</t>
  </si>
  <si>
    <t>Zink</t>
  </si>
  <si>
    <t>Chlorphenoler*</t>
  </si>
  <si>
    <t>Materiale monomerer*</t>
  </si>
  <si>
    <t>Opløsningsmidler – chlorholdige*</t>
  </si>
  <si>
    <t>Olieprodukter*</t>
  </si>
  <si>
    <t>PAH-forbindelser*</t>
  </si>
  <si>
    <t>PFAS*</t>
  </si>
  <si>
    <t>Kobolt</t>
  </si>
  <si>
    <t>Trichlormethan</t>
  </si>
  <si>
    <t>Trans-1,2-dichlorethen</t>
  </si>
  <si>
    <t>PFBS (perfluorbutansulfonsyre)</t>
  </si>
  <si>
    <t>PFHxS (perfluorhexansulfonsyre)</t>
  </si>
  <si>
    <t>PFOS (perfluoroctansulfonsyre)</t>
  </si>
  <si>
    <t>PFOSA (perfluoroctansulfonamid)</t>
  </si>
  <si>
    <t>6:2 FTS (6:2 fluorotelomersulfonsyre)</t>
  </si>
  <si>
    <t>PFBA (perfluorbutansyre)</t>
  </si>
  <si>
    <t>PFPeA (perfluorpentansyre)</t>
  </si>
  <si>
    <t>PFHxA (perfluorhexansyre)</t>
  </si>
  <si>
    <t>PFHpA (perfluorheptansyre)</t>
  </si>
  <si>
    <t>PFOA (perfluoroctansyre)</t>
  </si>
  <si>
    <t>PFNA (perfluornonansyre)</t>
  </si>
  <si>
    <t>PFDA (perfluordecansyre)</t>
  </si>
  <si>
    <t>Sum af PFAS</t>
  </si>
  <si>
    <t>Pesticider og nedbrydningsprodukter*</t>
  </si>
  <si>
    <t>Aktivstoffer</t>
  </si>
  <si>
    <t>Dichlorprop</t>
  </si>
  <si>
    <t>ETU (Ethylenthiourea)</t>
  </si>
  <si>
    <t>Mechlorprop</t>
  </si>
  <si>
    <t>Metalaxyl/metalaxyl-M</t>
  </si>
  <si>
    <t>Nedbrydningsprodukter</t>
  </si>
  <si>
    <t>1,2,4-triazol</t>
  </si>
  <si>
    <t>2,6-Dichlorbenzosyre</t>
  </si>
  <si>
    <t>2,4-Dichlorphenol</t>
  </si>
  <si>
    <t>2,6-Dichlorphenol</t>
  </si>
  <si>
    <t>4CPP (2-(4-chlorphenoxy)propionsyre)</t>
  </si>
  <si>
    <t>2,6-DCPP (2-(2,6-dichlorphenoxy-propionsyre))</t>
  </si>
  <si>
    <t>4-Nitrophenol</t>
  </si>
  <si>
    <t>AMPA (Aminomethylphosphorsyre)</t>
  </si>
  <si>
    <t>BAM (2,6-Dichlorbenzamid)</t>
  </si>
  <si>
    <t>N-(2, 6-dimethylphenyl)-N-(Methoxyacetyl)alanin (CGA62826)</t>
  </si>
  <si>
    <t>N-(2-carboxy-6-methylphenyl) N-methoxyacetyl)alanin (CGA108906)</t>
  </si>
  <si>
    <t>DEIA (Desethyldesisopropyl-atrazin)</t>
  </si>
  <si>
    <t>Desphenyl-chloridazon</t>
  </si>
  <si>
    <t>Methyl-desphenyl-chloridazon</t>
  </si>
  <si>
    <t>Sum af pesticider</t>
  </si>
  <si>
    <t>Kimtal</t>
  </si>
  <si>
    <t>benzo(g,h,i)perylen</t>
  </si>
  <si>
    <t>perfluorbutansulfonsyre</t>
  </si>
  <si>
    <t>perfluorhexansulfonsyre</t>
  </si>
  <si>
    <t>perfluorbutansyre</t>
  </si>
  <si>
    <t>perfluorpentansyre</t>
  </si>
  <si>
    <t>perfluorhexansyre</t>
  </si>
  <si>
    <t>perfluorheptansyre</t>
  </si>
  <si>
    <t>perfluornonansyre</t>
  </si>
  <si>
    <t>perfluordekansyre</t>
  </si>
  <si>
    <t>perfluoroktansyre</t>
  </si>
  <si>
    <t>perfluoroktansulfonsyre</t>
  </si>
  <si>
    <t>perfluoroktansulfonamid</t>
  </si>
  <si>
    <t>6:2 Fluortelomersulfonat</t>
  </si>
  <si>
    <t>Ethylenthiourea</t>
  </si>
  <si>
    <t>Metalaxyl</t>
  </si>
  <si>
    <t>triazol</t>
  </si>
  <si>
    <t>Dichlorbenzamid</t>
  </si>
  <si>
    <t>chloridazon, Methyl-desphenyl-</t>
  </si>
  <si>
    <t>chloridazon, Desphenyl-</t>
  </si>
  <si>
    <t>CGA 62826</t>
  </si>
  <si>
    <t>Mikrobiologiske parametre</t>
  </si>
  <si>
    <t>Uorganiske stoffer</t>
  </si>
  <si>
    <t>Materiale monomerer</t>
  </si>
  <si>
    <t>Olieprodukter</t>
  </si>
  <si>
    <t>PAH-forbindelser</t>
  </si>
  <si>
    <t>Kimtal v. 22 ºC</t>
  </si>
  <si>
    <t>Ilt</t>
  </si>
  <si>
    <t>Methan</t>
  </si>
  <si>
    <t>Svovlbrinte</t>
  </si>
  <si>
    <t>Hårdhed</t>
  </si>
  <si>
    <t>Calcium</t>
  </si>
  <si>
    <t>Magnesium</t>
  </si>
  <si>
    <t>Jern, total</t>
  </si>
  <si>
    <t>Mangan, total</t>
  </si>
  <si>
    <t>Bicarbonat</t>
  </si>
  <si>
    <t>Aggressivt kuldioxid</t>
  </si>
  <si>
    <t>Totalt phosphor</t>
  </si>
  <si>
    <t>Barium</t>
  </si>
  <si>
    <t>Cobolt</t>
  </si>
  <si>
    <t>Boringskontrol</t>
  </si>
  <si>
    <t>MTBE og nedbrydningsprodukter</t>
  </si>
  <si>
    <t>MTBE (methyl-tert-butylether)</t>
  </si>
  <si>
    <t>TBA (tert-butylalkohol)</t>
  </si>
  <si>
    <t>TBF (tert-butylformat)</t>
  </si>
  <si>
    <t xml:space="preserve"> </t>
  </si>
  <si>
    <t>Vandværkskontrol (Bilag E)</t>
  </si>
  <si>
    <t>Ledningsnetkontrol (Bilag F)</t>
  </si>
  <si>
    <t>Klorid</t>
  </si>
  <si>
    <t>Copper</t>
  </si>
  <si>
    <t>Her kan et synonym indsættes</t>
  </si>
  <si>
    <t>total pesticid</t>
  </si>
  <si>
    <t>pesticid total</t>
  </si>
  <si>
    <t>Opløsningsmidler – chlorholdige</t>
  </si>
  <si>
    <t>Aggressiv kuldioxid</t>
  </si>
  <si>
    <t>fosfor</t>
  </si>
  <si>
    <t>Desethylhydroxy-atrazin</t>
  </si>
  <si>
    <t>Desethylatrazin</t>
  </si>
  <si>
    <t>Desethylterbutylazin</t>
  </si>
  <si>
    <t>Desisopropylatrazin</t>
  </si>
  <si>
    <t>Desphenylchloridazon</t>
  </si>
  <si>
    <t>Didealkylhydroxy-atrazin</t>
  </si>
  <si>
    <t>Desethyldesisopropyl-atrazin</t>
  </si>
  <si>
    <t>Desisopropyl-hydroxy-atrazin</t>
  </si>
  <si>
    <t>Desisopropylhydroxy-atrazin</t>
  </si>
  <si>
    <t>Desisopropyl-hydroxyatrazin</t>
  </si>
  <si>
    <t>Desphenyl-Chloridazon</t>
  </si>
  <si>
    <t>Methyl-desphenyl chloridazon</t>
  </si>
  <si>
    <t>Metribuzin-DADK</t>
  </si>
  <si>
    <t>Vandværk:</t>
  </si>
  <si>
    <t>Data indsat:</t>
  </si>
  <si>
    <t>krom</t>
  </si>
  <si>
    <t>Dichlormetan</t>
  </si>
  <si>
    <t>Trichlorethylen</t>
  </si>
  <si>
    <t>Tetrachlorethylen</t>
  </si>
  <si>
    <t>1,1-dichlorethylen</t>
  </si>
  <si>
    <t>cis-1,2-dichlorethylen</t>
  </si>
  <si>
    <t>Trans-1,2-dichlorethylen</t>
  </si>
  <si>
    <t>Benzo(b+j+k)fluoranthen</t>
  </si>
  <si>
    <t>6.2 FTS</t>
  </si>
  <si>
    <t>PFAS Sum</t>
  </si>
  <si>
    <t>perfluorobutanoate</t>
  </si>
  <si>
    <t>perfluorohexansyre</t>
  </si>
  <si>
    <t>perfluoroheptansyre</t>
  </si>
  <si>
    <t>perflourononansyre</t>
  </si>
  <si>
    <t>perfluorodecansyre</t>
  </si>
  <si>
    <t>2) Marker alt med ctrl+a</t>
  </si>
  <si>
    <t>3) Kopier med ctrl+c</t>
  </si>
  <si>
    <t>4) tryk på nedenstående knap</t>
  </si>
  <si>
    <t>Guide:</t>
  </si>
  <si>
    <t>1) Åben en analyse i pdf-format</t>
  </si>
  <si>
    <t>Atrazin, desethyl-</t>
  </si>
  <si>
    <t>Link til pakkerne:</t>
  </si>
  <si>
    <t>Metribuzin-deketo</t>
  </si>
  <si>
    <t>hydrogenkarbonat</t>
  </si>
  <si>
    <t>hydrogencarbonat</t>
  </si>
  <si>
    <t>Total-p</t>
  </si>
  <si>
    <t>Sulfid-S</t>
  </si>
  <si>
    <t>Metan</t>
  </si>
  <si>
    <t>MTBE</t>
  </si>
  <si>
    <t>tert. butylalkohol (TBA)</t>
  </si>
  <si>
    <t>tert. butylformat (TBF)</t>
  </si>
  <si>
    <t>Cis-1,2-dichlorethen</t>
  </si>
  <si>
    <t>Benzo(b)fluoranthen</t>
  </si>
  <si>
    <t>Benzo(k)fluoranthen</t>
  </si>
  <si>
    <t>Benzo(ghi)perylen</t>
  </si>
  <si>
    <t>Indeno(1,2,3-cd)pyren</t>
  </si>
  <si>
    <t>Dieldrin</t>
  </si>
  <si>
    <t>Heptachlor</t>
  </si>
  <si>
    <t>Heptachlorepoxid</t>
  </si>
  <si>
    <t>1) Åben GEUS' godkendelsesmodul</t>
  </si>
  <si>
    <t>2) Marker alle analyser fra én prøve</t>
  </si>
  <si>
    <t xml:space="preserve">   (Ekstra tekst betyder ikke noget)</t>
  </si>
  <si>
    <t>Analyse komponenter fra GEUS</t>
  </si>
  <si>
    <t>Tilstandsparametre</t>
  </si>
  <si>
    <t>Stof</t>
  </si>
  <si>
    <t>Enhed</t>
  </si>
  <si>
    <t>Mængde</t>
  </si>
  <si>
    <t>Overskridelse</t>
  </si>
  <si>
    <t>Max.</t>
  </si>
  <si>
    <t>Min.</t>
  </si>
  <si>
    <t>Detektions-grænse</t>
  </si>
  <si>
    <t>Filtrering</t>
  </si>
  <si>
    <t>Analysested</t>
  </si>
  <si>
    <t>Metode</t>
  </si>
  <si>
    <t>Laboratorie</t>
  </si>
  <si>
    <t>Bemærkning</t>
  </si>
  <si>
    <t> 7,8</t>
  </si>
  <si>
    <t>Ikke filtreret</t>
  </si>
  <si>
    <t>Feltmåling</t>
  </si>
  <si>
    <t>DS/EN ISO 10523</t>
  </si>
  <si>
    <t>Eurofins Miljø Vand A/S</t>
  </si>
  <si>
    <t>FTU</t>
  </si>
  <si>
    <t> 1,1</t>
  </si>
  <si>
    <t>Laboratorium</t>
  </si>
  <si>
    <t>DS/EN ISO 7027:2001</t>
  </si>
  <si>
    <t>Eurofins Miljø, Vejen</t>
  </si>
  <si>
    <t>Farvetal-Pt</t>
  </si>
  <si>
    <t>Pt mg/l</t>
  </si>
  <si>
    <t> 7,4</t>
  </si>
  <si>
    <t>Filtreret i laboratoriet</t>
  </si>
  <si>
    <t>DS/EN ISO 7887</t>
  </si>
  <si>
    <t>Konduktivitet</t>
  </si>
  <si>
    <t>mS/m</t>
  </si>
  <si>
    <t> 140</t>
  </si>
  <si>
    <t>DS/EN 27888</t>
  </si>
  <si>
    <t>Kemiske hovedbestanddele</t>
  </si>
  <si>
    <t>mg/l</t>
  </si>
  <si>
    <t> 0,17</t>
  </si>
  <si>
    <t>DS/ISO 17294-2</t>
  </si>
  <si>
    <t>Mikrobiologiske Parametre</t>
  </si>
  <si>
    <t>Coliforme bakt.37Gr.</t>
  </si>
  <si>
    <t>antal/100 ml</t>
  </si>
  <si>
    <t>&lt;1</t>
  </si>
  <si>
    <t>Colilert Quanti Tray</t>
  </si>
  <si>
    <t>E.coli</t>
  </si>
  <si>
    <t>Kimtal 22 gr</t>
  </si>
  <si>
    <t>antal/ml</t>
  </si>
  <si>
    <t> 58</t>
  </si>
  <si>
    <t>DS/EN ISO 6222</t>
  </si>
  <si>
    <t xml:space="preserve">                                                  </t>
  </si>
  <si>
    <t xml:space="preserve">Tilstandsparametre                                                  </t>
  </si>
  <si>
    <t xml:space="preserve">Stof Enhed Mængde Overskridelse Max. Min. Detektions-grænse Filtrering Analysested Metode Laboratorie Bemærkning                                       </t>
  </si>
  <si>
    <t xml:space="preserve">pH pH  7,8    0 Ikke filtreret Feltmåling DS/EN ISO 10523 Eurofins Miljø Vand A/S                                        </t>
  </si>
  <si>
    <t xml:space="preserve">Turbiditet FTU  1,1    0,05 Ikke filtreret Laboratorium DS/EN ISO 7027:2001 Eurofins Miljø, Vejen                                        </t>
  </si>
  <si>
    <t xml:space="preserve">Farvetal-Pt Pt mg/l  7,4    1 Filtreret i laboratoriet Laboratorium DS/EN ISO 7887 Eurofins Miljø, Vejen                                        </t>
  </si>
  <si>
    <t xml:space="preserve">Konduktivitet mS/m  140    0,1 Ikke filtreret Feltmåling DS/EN 27888 Eurofins Miljø Vand A/S                                        </t>
  </si>
  <si>
    <t xml:space="preserve">Kemiske hovedbestanddele                                                  </t>
  </si>
  <si>
    <t xml:space="preserve">Jern mg/l  0,17    0,01 Ikke filtreret Laboratorium DS/ISO 17294-2 Eurofins Miljø, Vejen                                        </t>
  </si>
  <si>
    <t xml:space="preserve">Mikrobiologiske Parametre                                                  </t>
  </si>
  <si>
    <t xml:space="preserve">Coliforme bakt.37Gr. antal/100 ml &lt;1    1 Ikke filtreret Laboratorium Colilert Quanti Tray Eurofins Miljø, Vejen                                        </t>
  </si>
  <si>
    <t xml:space="preserve">E.coli antal/100 ml &lt;1    1 Ikke filtreret Laboratorium Colilert Quanti Tray Eurofins Miljø, Vejen                                        </t>
  </si>
  <si>
    <t>Coliforme bakt.</t>
  </si>
  <si>
    <t>Af Mads Schmidt Christensen // Kalundborg Kommune // macr@kalundborg.dk // september 2018</t>
  </si>
  <si>
    <t xml:space="preserve">Kimtal 22 gr antal/ml  58    1 Ikke filtreret Laboratorium DS/EN ISO 6222 Eurofins Miljø, Vejen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</si>
</sst>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 mmm\ yyyy\ /\ hh:mm:ss"/>
  </numFmts>
  <fonts count="34" x14ac:knownFonts="1">
    <font>
      <sz val="9.5"/>
      <color theme="1"/>
      <name val="Verdana"/>
      <family val="2"/>
      <scheme val="minor"/>
    </font>
    <font>
      <sz val="11"/>
      <color theme="1"/>
      <name val="Verdana"/>
      <family val="2"/>
      <scheme val="minor"/>
    </font>
    <font>
      <sz val="11"/>
      <color theme="1"/>
      <name val="Verdana"/>
      <family val="2"/>
      <scheme val="minor"/>
    </font>
    <font>
      <sz val="14"/>
      <color theme="1"/>
      <name val="Verdana"/>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9.5"/>
      <color theme="1"/>
      <name val="Verdana"/>
      <family val="2"/>
      <scheme val="minor"/>
    </font>
    <font>
      <i/>
      <sz val="9.5"/>
      <color theme="1"/>
      <name val="Verdana"/>
      <family val="2"/>
      <scheme val="minor"/>
    </font>
    <font>
      <b/>
      <sz val="9.5"/>
      <name val="Verdana"/>
      <family val="2"/>
      <scheme val="minor"/>
    </font>
    <font>
      <sz val="9.5"/>
      <color rgb="FFFF0000"/>
      <name val="Verdana"/>
      <family val="2"/>
      <scheme val="minor"/>
    </font>
    <font>
      <sz val="9"/>
      <color indexed="81"/>
      <name val="Tahoma"/>
      <family val="2"/>
    </font>
    <font>
      <b/>
      <sz val="9"/>
      <color indexed="81"/>
      <name val="Tahoma"/>
      <family val="2"/>
    </font>
    <font>
      <i/>
      <sz val="8"/>
      <color theme="1"/>
      <name val="Verdana"/>
      <family val="2"/>
      <scheme val="minor"/>
    </font>
    <font>
      <u/>
      <sz val="9.5"/>
      <color theme="10"/>
      <name val="Verdana"/>
      <family val="2"/>
      <scheme val="minor"/>
    </font>
    <font>
      <u/>
      <sz val="9.5"/>
      <name val="Verdana"/>
      <family val="2"/>
      <scheme val="minor"/>
    </font>
    <font>
      <b/>
      <u/>
      <sz val="9.5"/>
      <name val="Verdana"/>
      <family val="2"/>
      <scheme val="minor"/>
    </font>
    <font>
      <sz val="9.5"/>
      <name val="Verdana"/>
      <family val="2"/>
      <scheme val="minor"/>
    </font>
    <font>
      <sz val="9.5"/>
      <color rgb="FF000000"/>
      <name val="Verdana"/>
      <family val="2"/>
    </font>
  </fonts>
  <fills count="28">
    <fill>
      <patternFill patternType="none"/>
    </fill>
    <fill>
      <patternFill patternType="gray125"/>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39997558519241921"/>
        <bgColor indexed="64"/>
      </patternFill>
    </fill>
  </fills>
  <borders count="2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rgb="FF000000"/>
      </bottom>
      <diagonal/>
    </border>
    <border>
      <left/>
      <right style="medium">
        <color rgb="FF000000"/>
      </right>
      <top/>
      <bottom/>
      <diagonal/>
    </border>
    <border>
      <left/>
      <right/>
      <top style="medium">
        <color rgb="FF000000"/>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style="medium">
        <color rgb="FF000000"/>
      </bottom>
      <diagonal/>
    </border>
    <border>
      <left style="medium">
        <color rgb="FF000000"/>
      </left>
      <right/>
      <top/>
      <bottom style="medium">
        <color rgb="FF000000"/>
      </bottom>
      <diagonal/>
    </border>
    <border>
      <left style="medium">
        <color rgb="FF000000"/>
      </left>
      <right/>
      <top style="medium">
        <color rgb="FF000000"/>
      </top>
      <bottom style="medium">
        <color rgb="FF000000"/>
      </bottom>
      <diagonal/>
    </border>
  </borders>
  <cellStyleXfs count="47">
    <xf numFmtId="0" fontId="0" fillId="0" borderId="0"/>
    <xf numFmtId="0" fontId="4"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6" borderId="0" applyNumberFormat="0" applyBorder="0" applyAlignment="0" applyProtection="0"/>
    <xf numFmtId="0" fontId="5" fillId="9" borderId="0" applyNumberFormat="0" applyBorder="0" applyAlignment="0" applyProtection="0"/>
    <xf numFmtId="0" fontId="5" fillId="12" borderId="0" applyNumberFormat="0" applyBorder="0" applyAlignment="0" applyProtection="0"/>
    <xf numFmtId="0" fontId="6" fillId="13"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20" borderId="0" applyNumberFormat="0" applyBorder="0" applyAlignment="0" applyProtection="0"/>
    <xf numFmtId="0" fontId="7" fillId="4" borderId="0" applyNumberFormat="0" applyBorder="0" applyAlignment="0" applyProtection="0"/>
    <xf numFmtId="0" fontId="8" fillId="21" borderId="1" applyNumberFormat="0" applyAlignment="0" applyProtection="0"/>
    <xf numFmtId="0" fontId="9" fillId="22" borderId="2" applyNumberFormat="0" applyAlignment="0" applyProtection="0"/>
    <xf numFmtId="0" fontId="10" fillId="0" borderId="0" applyNumberFormat="0" applyFill="0" applyBorder="0" applyAlignment="0" applyProtection="0"/>
    <xf numFmtId="0" fontId="11" fillId="5"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8" borderId="1" applyNumberFormat="0" applyAlignment="0" applyProtection="0"/>
    <xf numFmtId="0" fontId="16" fillId="0" borderId="6" applyNumberFormat="0" applyFill="0" applyAlignment="0" applyProtection="0"/>
    <xf numFmtId="0" fontId="17" fillId="23" borderId="0" applyNumberFormat="0" applyBorder="0" applyAlignment="0" applyProtection="0"/>
    <xf numFmtId="0" fontId="2" fillId="0" borderId="0"/>
    <xf numFmtId="0" fontId="5" fillId="24" borderId="7" applyNumberFormat="0" applyFont="0" applyAlignment="0" applyProtection="0"/>
    <xf numFmtId="0" fontId="18" fillId="21"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1" fillId="0" borderId="0"/>
    <xf numFmtId="0" fontId="1" fillId="0" borderId="0"/>
    <xf numFmtId="0" fontId="29" fillId="0" borderId="0" applyNumberFormat="0" applyFill="0" applyBorder="0" applyAlignment="0" applyProtection="0"/>
  </cellStyleXfs>
  <cellXfs count="80">
    <xf numFmtId="0" fontId="0" fillId="0" borderId="0" xfId="0"/>
    <xf numFmtId="0" fontId="3" fillId="2" borderId="0" xfId="0" applyFont="1" applyFill="1"/>
    <xf numFmtId="0" fontId="0" fillId="2" borderId="0" xfId="0" applyFill="1"/>
    <xf numFmtId="0" fontId="0" fillId="0" borderId="10" xfId="0" applyBorder="1"/>
    <xf numFmtId="0" fontId="0" fillId="0" borderId="10" xfId="0" applyBorder="1" applyAlignment="1">
      <alignment horizontal="center"/>
    </xf>
    <xf numFmtId="0" fontId="0" fillId="2" borderId="10" xfId="0" applyFill="1" applyBorder="1"/>
    <xf numFmtId="0" fontId="4" fillId="0" borderId="0" xfId="1" applyFont="1" applyBorder="1" applyAlignment="1">
      <alignment horizontal="left"/>
    </xf>
    <xf numFmtId="0" fontId="0" fillId="0" borderId="14" xfId="0" applyBorder="1"/>
    <xf numFmtId="0" fontId="0" fillId="2" borderId="12" xfId="0" applyFill="1" applyBorder="1"/>
    <xf numFmtId="0" fontId="0" fillId="0" borderId="13" xfId="0" applyBorder="1"/>
    <xf numFmtId="0" fontId="0" fillId="0" borderId="12" xfId="0" applyBorder="1"/>
    <xf numFmtId="0" fontId="4" fillId="0" borderId="10" xfId="1" applyFont="1" applyBorder="1" applyAlignment="1">
      <alignment horizontal="left"/>
    </xf>
    <xf numFmtId="0" fontId="0" fillId="0" borderId="0" xfId="0" applyFont="1"/>
    <xf numFmtId="0" fontId="0" fillId="0" borderId="0" xfId="0" applyBorder="1"/>
    <xf numFmtId="0" fontId="0" fillId="25" borderId="0" xfId="0" applyFill="1"/>
    <xf numFmtId="0" fontId="0" fillId="25" borderId="10" xfId="0" applyFont="1" applyFill="1" applyBorder="1" applyAlignment="1">
      <alignment horizontal="center"/>
    </xf>
    <xf numFmtId="0" fontId="0" fillId="25" borderId="10" xfId="0" applyFill="1" applyBorder="1"/>
    <xf numFmtId="0" fontId="24" fillId="26" borderId="11" xfId="0" applyFont="1" applyFill="1" applyBorder="1" applyAlignment="1">
      <alignment horizontal="center"/>
    </xf>
    <xf numFmtId="0" fontId="0" fillId="2" borderId="13" xfId="0" applyFill="1" applyBorder="1"/>
    <xf numFmtId="0" fontId="0" fillId="2" borderId="14" xfId="0" applyFill="1" applyBorder="1"/>
    <xf numFmtId="0" fontId="0" fillId="25" borderId="10" xfId="0" applyFill="1" applyBorder="1" applyAlignment="1">
      <alignment horizontal="center"/>
    </xf>
    <xf numFmtId="0" fontId="0" fillId="27" borderId="10" xfId="0" applyFill="1" applyBorder="1" applyAlignment="1">
      <alignment horizontal="center"/>
    </xf>
    <xf numFmtId="0" fontId="0" fillId="27" borderId="10" xfId="0" applyFont="1" applyFill="1" applyBorder="1" applyAlignment="1">
      <alignment horizontal="center"/>
    </xf>
    <xf numFmtId="0" fontId="3" fillId="0" borderId="10" xfId="0" applyFont="1" applyFill="1" applyBorder="1" applyAlignment="1">
      <alignment horizontal="left"/>
    </xf>
    <xf numFmtId="0" fontId="0" fillId="2" borderId="0" xfId="0" quotePrefix="1" applyFill="1"/>
    <xf numFmtId="0" fontId="0" fillId="0" borderId="0" xfId="0" applyAlignment="1">
      <alignment horizontal="center"/>
    </xf>
    <xf numFmtId="0" fontId="0" fillId="0" borderId="0" xfId="0" applyAlignment="1">
      <alignment horizontal="left"/>
    </xf>
    <xf numFmtId="0" fontId="0" fillId="27" borderId="10" xfId="0" applyFill="1" applyBorder="1"/>
    <xf numFmtId="164" fontId="0" fillId="0" borderId="0" xfId="0" applyNumberFormat="1" applyAlignment="1">
      <alignment horizontal="left"/>
    </xf>
    <xf numFmtId="22" fontId="22" fillId="0" borderId="0" xfId="0" applyNumberFormat="1" applyFont="1"/>
    <xf numFmtId="22" fontId="28" fillId="0" borderId="0" xfId="0" applyNumberFormat="1" applyFont="1"/>
    <xf numFmtId="0" fontId="23" fillId="0" borderId="0" xfId="0" applyFont="1" applyFill="1" applyBorder="1" applyAlignment="1"/>
    <xf numFmtId="0" fontId="0" fillId="2" borderId="0" xfId="0" applyFill="1" applyBorder="1" applyAlignment="1"/>
    <xf numFmtId="0" fontId="0" fillId="0" borderId="0" xfId="0" applyBorder="1" applyAlignment="1"/>
    <xf numFmtId="0" fontId="23" fillId="26" borderId="0" xfId="0" applyFont="1" applyFill="1" applyBorder="1" applyAlignment="1"/>
    <xf numFmtId="0" fontId="0" fillId="0" borderId="0" xfId="0" applyFill="1" applyBorder="1" applyAlignment="1"/>
    <xf numFmtId="0" fontId="0" fillId="26" borderId="0" xfId="0" applyFill="1" applyBorder="1" applyAlignment="1"/>
    <xf numFmtId="0" fontId="23" fillId="2" borderId="0" xfId="0" applyFont="1" applyFill="1" applyBorder="1" applyAlignment="1"/>
    <xf numFmtId="0" fontId="25" fillId="26" borderId="0" xfId="0" applyFont="1" applyFill="1" applyBorder="1" applyAlignment="1"/>
    <xf numFmtId="0" fontId="22" fillId="0" borderId="0" xfId="0" applyFont="1" applyFill="1" applyBorder="1" applyAlignment="1"/>
    <xf numFmtId="0" fontId="0" fillId="0" borderId="0" xfId="0"/>
    <xf numFmtId="0" fontId="32" fillId="0" borderId="0" xfId="0" applyFont="1"/>
    <xf numFmtId="0" fontId="0" fillId="0" borderId="0" xfId="0" applyFill="1"/>
    <xf numFmtId="0" fontId="0" fillId="27" borderId="0" xfId="0" applyFill="1"/>
    <xf numFmtId="0" fontId="0" fillId="0" borderId="0" xfId="0" quotePrefix="1" applyFont="1" applyFill="1" applyAlignment="1">
      <alignment horizontal="center"/>
    </xf>
    <xf numFmtId="0" fontId="0" fillId="27" borderId="13" xfId="0" applyFill="1" applyBorder="1"/>
    <xf numFmtId="0" fontId="0" fillId="27" borderId="10" xfId="0" applyFill="1" applyBorder="1" applyAlignment="1">
      <alignment horizontal="left"/>
    </xf>
    <xf numFmtId="0" fontId="31" fillId="26" borderId="10" xfId="46" applyFont="1" applyFill="1" applyBorder="1"/>
    <xf numFmtId="0" fontId="23" fillId="25" borderId="10" xfId="0" applyFont="1" applyFill="1" applyBorder="1" applyAlignment="1">
      <alignment horizontal="left"/>
    </xf>
    <xf numFmtId="0" fontId="0" fillId="25" borderId="10" xfId="0" applyFill="1" applyBorder="1" applyAlignment="1">
      <alignment horizontal="left"/>
    </xf>
    <xf numFmtId="0" fontId="0" fillId="0" borderId="0" xfId="0" applyAlignment="1">
      <alignment horizontal="left"/>
    </xf>
    <xf numFmtId="0" fontId="0" fillId="0" borderId="0" xfId="0" quotePrefix="1"/>
    <xf numFmtId="0" fontId="30" fillId="0" borderId="0" xfId="46" applyFont="1" applyAlignment="1">
      <alignment horizontal="left"/>
    </xf>
    <xf numFmtId="0" fontId="0" fillId="0" borderId="0" xfId="0" applyAlignment="1">
      <alignment vertical="center" wrapText="1"/>
    </xf>
    <xf numFmtId="0" fontId="22" fillId="0" borderId="15" xfId="0" applyFont="1" applyBorder="1" applyAlignment="1">
      <alignment horizontal="center" vertical="center" wrapText="1"/>
    </xf>
    <xf numFmtId="0" fontId="0" fillId="0" borderId="0" xfId="0" applyAlignment="1">
      <alignment horizontal="right" vertical="center" wrapText="1"/>
    </xf>
    <xf numFmtId="0" fontId="0" fillId="0" borderId="16" xfId="0" applyBorder="1" applyAlignment="1">
      <alignment vertical="center" wrapText="1"/>
    </xf>
    <xf numFmtId="0" fontId="0" fillId="0" borderId="0" xfId="0" applyAlignment="1">
      <alignment vertical="center" wrapText="1"/>
    </xf>
    <xf numFmtId="0" fontId="22" fillId="0" borderId="0" xfId="0" applyFont="1" applyAlignment="1">
      <alignment vertical="center" wrapText="1"/>
    </xf>
    <xf numFmtId="0" fontId="0" fillId="0" borderId="17" xfId="0" applyBorder="1" applyAlignment="1">
      <alignment vertical="center" wrapText="1"/>
    </xf>
    <xf numFmtId="0" fontId="0" fillId="0" borderId="19" xfId="0" applyBorder="1" applyAlignment="1">
      <alignment vertical="center" wrapText="1"/>
    </xf>
    <xf numFmtId="0" fontId="0" fillId="0" borderId="16" xfId="0" applyBorder="1" applyAlignment="1">
      <alignment vertical="center" wrapText="1"/>
    </xf>
    <xf numFmtId="0" fontId="22" fillId="0" borderId="16" xfId="0" applyFont="1" applyBorder="1" applyAlignment="1">
      <alignment vertical="center" wrapText="1"/>
    </xf>
    <xf numFmtId="0" fontId="22" fillId="0" borderId="21" xfId="0" applyFont="1" applyBorder="1" applyAlignment="1">
      <alignment horizontal="center" vertical="center" wrapText="1"/>
    </xf>
    <xf numFmtId="0" fontId="0" fillId="0" borderId="15" xfId="0" applyBorder="1"/>
    <xf numFmtId="0" fontId="0" fillId="0" borderId="21" xfId="0" applyBorder="1"/>
    <xf numFmtId="0" fontId="0" fillId="0" borderId="18" xfId="0" applyBorder="1" applyAlignment="1">
      <alignment vertical="center" wrapText="1"/>
    </xf>
    <xf numFmtId="0" fontId="0" fillId="0" borderId="20" xfId="0" applyBorder="1" applyAlignment="1">
      <alignment vertical="center" wrapText="1"/>
    </xf>
    <xf numFmtId="0" fontId="22" fillId="0" borderId="10" xfId="0" applyFont="1" applyBorder="1" applyAlignment="1">
      <alignment horizontal="center" vertical="center" wrapText="1"/>
    </xf>
    <xf numFmtId="0" fontId="29" fillId="0" borderId="10" xfId="46" applyBorder="1" applyAlignment="1">
      <alignment vertical="center" wrapText="1"/>
    </xf>
    <xf numFmtId="0" fontId="0" fillId="0" borderId="10" xfId="0" applyBorder="1" applyAlignment="1">
      <alignment vertical="center" wrapText="1"/>
    </xf>
    <xf numFmtId="0" fontId="0" fillId="0" borderId="10" xfId="0" applyBorder="1" applyAlignment="1">
      <alignment horizontal="right" vertical="center" wrapText="1"/>
    </xf>
    <xf numFmtId="0" fontId="22" fillId="0" borderId="10" xfId="0" applyFont="1" applyBorder="1" applyAlignment="1">
      <alignment vertical="center" wrapText="1"/>
    </xf>
    <xf numFmtId="0" fontId="22" fillId="0" borderId="18" xfId="0" applyFont="1" applyBorder="1" applyAlignment="1">
      <alignment vertical="center" wrapText="1"/>
    </xf>
    <xf numFmtId="0" fontId="22" fillId="0" borderId="17" xfId="0" applyFont="1" applyBorder="1" applyAlignment="1">
      <alignment vertical="center" wrapText="1"/>
    </xf>
    <xf numFmtId="0" fontId="22" fillId="0" borderId="19" xfId="0" applyFont="1" applyBorder="1" applyAlignment="1">
      <alignment vertical="center" wrapText="1"/>
    </xf>
    <xf numFmtId="0" fontId="22" fillId="0" borderId="22" xfId="0" applyFont="1" applyBorder="1" applyAlignment="1">
      <alignment horizontal="center" vertical="center" wrapText="1"/>
    </xf>
    <xf numFmtId="0" fontId="29" fillId="0" borderId="20" xfId="46" applyBorder="1" applyAlignment="1">
      <alignment vertical="center" wrapText="1"/>
    </xf>
    <xf numFmtId="0" fontId="22" fillId="0" borderId="20" xfId="0" applyFont="1" applyBorder="1" applyAlignment="1">
      <alignment vertical="center" wrapText="1"/>
    </xf>
    <xf numFmtId="0" fontId="0" fillId="0" borderId="23" xfId="0" applyBorder="1" applyAlignment="1">
      <alignment vertical="center" wrapText="1"/>
    </xf>
  </cellXfs>
  <cellStyles count="47">
    <cellStyle name="20 % - Markeringsfarve1 2" xfId="2"/>
    <cellStyle name="20 % - Markeringsfarve2 2" xfId="3"/>
    <cellStyle name="20 % - Markeringsfarve3 2" xfId="4"/>
    <cellStyle name="20 % - Markeringsfarve4 2" xfId="5"/>
    <cellStyle name="20 % - Markeringsfarve5 2" xfId="6"/>
    <cellStyle name="20 % - Markeringsfarve6 2" xfId="7"/>
    <cellStyle name="40 % - Markeringsfarve1 2" xfId="8"/>
    <cellStyle name="40 % - Markeringsfarve2 2" xfId="9"/>
    <cellStyle name="40 % - Markeringsfarve3 2" xfId="10"/>
    <cellStyle name="40 % - Markeringsfarve4 2" xfId="11"/>
    <cellStyle name="40 % - Markeringsfarve5 2" xfId="12"/>
    <cellStyle name="40 % - Markeringsfarve6 2" xfId="13"/>
    <cellStyle name="60 % - Markeringsfarve1 2" xfId="14"/>
    <cellStyle name="60 % - Markeringsfarve2 2" xfId="15"/>
    <cellStyle name="60 % - Markeringsfarve3 2" xfId="16"/>
    <cellStyle name="60 % - Markeringsfarve4 2" xfId="17"/>
    <cellStyle name="60 % - Markeringsfarve5 2" xfId="18"/>
    <cellStyle name="60 % - Markeringsfarve6 2" xfId="19"/>
    <cellStyle name="Advarselstekst 2" xfId="43"/>
    <cellStyle name="Bemærk! 2" xfId="39"/>
    <cellStyle name="Beregning 2" xfId="27"/>
    <cellStyle name="Forklarende tekst 2" xfId="29"/>
    <cellStyle name="God 2" xfId="30"/>
    <cellStyle name="Input 2" xfId="35"/>
    <cellStyle name="Kontroller celle 2" xfId="28"/>
    <cellStyle name="Link" xfId="46" builtinId="8"/>
    <cellStyle name="Markeringsfarve1 2" xfId="20"/>
    <cellStyle name="Markeringsfarve2 2" xfId="21"/>
    <cellStyle name="Markeringsfarve3 2" xfId="22"/>
    <cellStyle name="Markeringsfarve4 2" xfId="23"/>
    <cellStyle name="Markeringsfarve5 2" xfId="24"/>
    <cellStyle name="Markeringsfarve6 2" xfId="25"/>
    <cellStyle name="Neutral 2" xfId="37"/>
    <cellStyle name="Normal" xfId="0" builtinId="0" customBuiltin="1"/>
    <cellStyle name="Normal 2" xfId="38"/>
    <cellStyle name="Normal 2 2" xfId="45"/>
    <cellStyle name="Normal 2 3" xfId="44"/>
    <cellStyle name="Normal 3" xfId="1"/>
    <cellStyle name="Output 2" xfId="40"/>
    <cellStyle name="Overskrift 1 2" xfId="31"/>
    <cellStyle name="Overskrift 2 2" xfId="32"/>
    <cellStyle name="Overskrift 3 2" xfId="33"/>
    <cellStyle name="Overskrift 4 2" xfId="34"/>
    <cellStyle name="Sammenkædet celle 2" xfId="36"/>
    <cellStyle name="Titel 2" xfId="41"/>
    <cellStyle name="Total 2" xfId="42"/>
    <cellStyle name="Ugyldig 2" xfId="2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85724</xdr:colOff>
      <xdr:row>7</xdr:row>
      <xdr:rowOff>66676</xdr:rowOff>
    </xdr:from>
    <xdr:to>
      <xdr:col>3</xdr:col>
      <xdr:colOff>609599</xdr:colOff>
      <xdr:row>13</xdr:row>
      <xdr:rowOff>76200</xdr:rowOff>
    </xdr:to>
    <xdr:sp macro="[0]!IndsaetPDFData" textlink="">
      <xdr:nvSpPr>
        <xdr:cNvPr id="2" name="Tekstboks 1"/>
        <xdr:cNvSpPr txBox="1"/>
      </xdr:nvSpPr>
      <xdr:spPr>
        <a:xfrm>
          <a:off x="85724" y="1200151"/>
          <a:ext cx="2581275" cy="981074"/>
        </a:xfrm>
        <a:prstGeom prst="rect">
          <a:avLst/>
        </a:prstGeom>
        <a:ln>
          <a:solidFill>
            <a:schemeClr val="tx1"/>
          </a:solidFill>
        </a:ln>
      </xdr:spPr>
      <xdr:style>
        <a:lnRef idx="3">
          <a:schemeClr val="lt1"/>
        </a:lnRef>
        <a:fillRef idx="1">
          <a:schemeClr val="accent3"/>
        </a:fillRef>
        <a:effectRef idx="1">
          <a:schemeClr val="accent3"/>
        </a:effectRef>
        <a:fontRef idx="minor">
          <a:schemeClr val="lt1"/>
        </a:fontRef>
      </xdr:style>
      <xdr:txBody>
        <a:bodyPr vertOverflow="clip" horzOverflow="clip" wrap="square" rtlCol="0" anchor="ctr"/>
        <a:lstStyle/>
        <a:p>
          <a:pPr algn="ctr"/>
          <a:r>
            <a:rPr lang="da-DK" sz="1800">
              <a:solidFill>
                <a:sysClr val="windowText" lastClr="000000"/>
              </a:solidFill>
            </a:rPr>
            <a:t>Indsæt PDF DATA</a:t>
          </a:r>
        </a:p>
      </xdr:txBody>
    </xdr:sp>
    <xdr:clientData/>
  </xdr:twoCellAnchor>
  <mc:AlternateContent xmlns:mc="http://schemas.openxmlformats.org/markup-compatibility/2006">
    <mc:Choice xmlns:a14="http://schemas.microsoft.com/office/drawing/2010/main" Requires="a14">
      <xdr:twoCellAnchor>
        <xdr:from>
          <xdr:col>7</xdr:col>
          <xdr:colOff>0</xdr:colOff>
          <xdr:row>4</xdr:row>
          <xdr:rowOff>0</xdr:rowOff>
        </xdr:from>
        <xdr:to>
          <xdr:col>8</xdr:col>
          <xdr:colOff>0</xdr:colOff>
          <xdr:row>5</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xdr:row>
          <xdr:rowOff>0</xdr:rowOff>
        </xdr:from>
        <xdr:to>
          <xdr:col>8</xdr:col>
          <xdr:colOff>0</xdr:colOff>
          <xdr:row>19</xdr:row>
          <xdr:rowOff>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138</xdr:row>
          <xdr:rowOff>0</xdr:rowOff>
        </xdr:from>
        <xdr:to>
          <xdr:col>8</xdr:col>
          <xdr:colOff>0</xdr:colOff>
          <xdr:row>139</xdr:row>
          <xdr:rowOff>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183</xdr:row>
          <xdr:rowOff>0</xdr:rowOff>
        </xdr:from>
        <xdr:to>
          <xdr:col>8</xdr:col>
          <xdr:colOff>0</xdr:colOff>
          <xdr:row>184</xdr:row>
          <xdr:rowOff>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255</xdr:row>
          <xdr:rowOff>0</xdr:rowOff>
        </xdr:from>
        <xdr:to>
          <xdr:col>8</xdr:col>
          <xdr:colOff>0</xdr:colOff>
          <xdr:row>256</xdr:row>
          <xdr:rowOff>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xdr:twoCellAnchor>
    <xdr:from>
      <xdr:col>0</xdr:col>
      <xdr:colOff>85724</xdr:colOff>
      <xdr:row>20</xdr:row>
      <xdr:rowOff>76200</xdr:rowOff>
    </xdr:from>
    <xdr:to>
      <xdr:col>3</xdr:col>
      <xdr:colOff>609599</xdr:colOff>
      <xdr:row>26</xdr:row>
      <xdr:rowOff>85724</xdr:rowOff>
    </xdr:to>
    <xdr:sp macro="[0]!IndsaetDataGEUS" textlink="">
      <xdr:nvSpPr>
        <xdr:cNvPr id="8" name="Tekstboks 7"/>
        <xdr:cNvSpPr txBox="1"/>
      </xdr:nvSpPr>
      <xdr:spPr>
        <a:xfrm>
          <a:off x="85724" y="3314700"/>
          <a:ext cx="2581275" cy="981074"/>
        </a:xfrm>
        <a:prstGeom prst="rect">
          <a:avLst/>
        </a:prstGeom>
        <a:solidFill>
          <a:srgbClr val="ACA588"/>
        </a:solidFill>
        <a:ln w="25400" cap="flat" cmpd="sng" algn="ctr">
          <a:solidFill>
            <a:sysClr val="windowText" lastClr="000000"/>
          </a:solidFill>
          <a:prstDash val="solid"/>
        </a:ln>
        <a:effectLst>
          <a:outerShdw blurRad="40000" dist="20000" dir="5400000" rotWithShape="0">
            <a:srgbClr val="000000">
              <a:alpha val="38000"/>
            </a:srgbClr>
          </a:out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a-DK" sz="1800" b="0" i="0" u="none" strike="noStrike" kern="0" cap="none" spc="0" normalizeH="0" baseline="0" noProof="0">
              <a:ln>
                <a:noFill/>
              </a:ln>
              <a:solidFill>
                <a:sysClr val="windowText" lastClr="000000"/>
              </a:solidFill>
              <a:effectLst/>
              <a:uLnTx/>
              <a:uFillTx/>
              <a:latin typeface="Verdana"/>
              <a:ea typeface="+mn-ea"/>
              <a:cs typeface="+mn-cs"/>
            </a:rPr>
            <a:t>Indsæt GEUS DATA</a:t>
          </a:r>
        </a:p>
      </xdr:txBody>
    </xdr:sp>
    <xdr:clientData/>
  </xdr:twoCellAnchor>
</xdr:wsDr>
</file>

<file path=xl/theme/theme1.xml><?xml version="1.0" encoding="utf-8"?>
<a:theme xmlns:a="http://schemas.openxmlformats.org/drawingml/2006/main" name="Kalundborg">
  <a:themeElements>
    <a:clrScheme name="Kalundborg">
      <a:dk1>
        <a:sysClr val="windowText" lastClr="000000"/>
      </a:dk1>
      <a:lt1>
        <a:sysClr val="window" lastClr="FFFFFF"/>
      </a:lt1>
      <a:dk2>
        <a:srgbClr val="464F5E"/>
      </a:dk2>
      <a:lt2>
        <a:srgbClr val="E9EAEC"/>
      </a:lt2>
      <a:accent1>
        <a:srgbClr val="BC4D31"/>
      </a:accent1>
      <a:accent2>
        <a:srgbClr val="64ADD7"/>
      </a:accent2>
      <a:accent3>
        <a:srgbClr val="ACA588"/>
      </a:accent3>
      <a:accent4>
        <a:srgbClr val="9CD33B"/>
      </a:accent4>
      <a:accent5>
        <a:srgbClr val="E5BC2C"/>
      </a:accent5>
      <a:accent6>
        <a:srgbClr val="ED752D"/>
      </a:accent6>
      <a:hlink>
        <a:srgbClr val="0000FF"/>
      </a:hlink>
      <a:folHlink>
        <a:srgbClr val="FE19FF"/>
      </a:folHlink>
    </a:clrScheme>
    <a:fontScheme name="Kalundborg">
      <a:majorFont>
        <a:latin typeface="Verdana"/>
        <a:ea typeface=""/>
        <a:cs typeface=""/>
      </a:majorFont>
      <a:minorFont>
        <a:latin typeface="Verdana"/>
        <a:ea typeface=""/>
        <a:cs typeface=""/>
      </a:minorFont>
    </a:fontScheme>
    <a:fmtScheme name="Kalundborg">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0" cap="flat" cmpd="sng" algn="ctr">
          <a:solidFill>
            <a:schemeClr val="phClr">
              <a:shade val="95000"/>
              <a:satMod val="105000"/>
            </a:schemeClr>
          </a:solidFill>
          <a:prstDash val="solid"/>
        </a:ln>
        <a:ln w="9525" cap="flat" cmpd="sng" algn="ctr">
          <a:solidFill>
            <a:schemeClr val="phClr"/>
          </a:solidFill>
          <a:prstDash val="solid"/>
        </a:ln>
        <a:ln w="254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hyperlink" Target="http://jupiter.geus.dk/cgi-bin/analysisTimeSeries.dll/svg?anlaegid=103487&amp;stofnr=9037&amp;mac=&amp;extrasampleid=1401964" TargetMode="External"/><Relationship Id="rId3" Type="http://schemas.openxmlformats.org/officeDocument/2006/relationships/hyperlink" Target="http://jupiter.geus.dk/cgi-bin/analysisTimeSeries.dll/svg?anlaegid=103487&amp;stofnr=61&amp;mac=&amp;extrasampleid=1401964" TargetMode="External"/><Relationship Id="rId7" Type="http://schemas.openxmlformats.org/officeDocument/2006/relationships/hyperlink" Target="http://jupiter.geus.dk/cgi-bin/analysisTimeSeries.dll/svg?anlaegid=103487&amp;stofnr=9186&amp;mac=&amp;extrasampleid=1401964" TargetMode="External"/><Relationship Id="rId2" Type="http://schemas.openxmlformats.org/officeDocument/2006/relationships/hyperlink" Target="http://jupiter.geus.dk/cgi-bin/analysisTimeSeries.dll/svg?anlaegid=103487&amp;stofnr=46&amp;mac=&amp;extrasampleid=1401964" TargetMode="External"/><Relationship Id="rId1" Type="http://schemas.openxmlformats.org/officeDocument/2006/relationships/hyperlink" Target="http://jupiter.geus.dk/cgi-bin/analysisTimeSeries.dll/svg?anlaegid=103487&amp;stofnr=41&amp;mac=&amp;extrasampleid=1401964" TargetMode="External"/><Relationship Id="rId6" Type="http://schemas.openxmlformats.org/officeDocument/2006/relationships/hyperlink" Target="http://jupiter.geus.dk/cgi-bin/analysisTimeSeries.dll/svg?anlaegid=103487&amp;stofnr=9051&amp;mac=&amp;extrasampleid=1401964" TargetMode="External"/><Relationship Id="rId5" Type="http://schemas.openxmlformats.org/officeDocument/2006/relationships/hyperlink" Target="http://jupiter.geus.dk/cgi-bin/analysisTimeSeries.dll/svg?anlaegid=103487&amp;stofnr=2041&amp;mac=&amp;extrasampleid=1401964" TargetMode="External"/><Relationship Id="rId4" Type="http://schemas.openxmlformats.org/officeDocument/2006/relationships/hyperlink" Target="http://jupiter.geus.dk/cgi-bin/analysisTimeSeries.dll/svg?anlaegid=103487&amp;stofnr=11&amp;mac=&amp;extrasampleid=140196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1"/>
  <dimension ref="A1:S362"/>
  <sheetViews>
    <sheetView tabSelected="1" zoomScaleNormal="100" workbookViewId="0">
      <selection activeCell="H6" sqref="H6"/>
    </sheetView>
  </sheetViews>
  <sheetFormatPr defaultRowHeight="12.75" x14ac:dyDescent="0.2"/>
  <cols>
    <col min="5" max="5" width="18.875" bestFit="1" customWidth="1"/>
    <col min="6" max="6" width="59.625" bestFit="1" customWidth="1"/>
    <col min="8" max="8" width="9" style="12" customWidth="1"/>
    <col min="11" max="11" width="28" style="33" customWidth="1"/>
    <col min="12" max="13" width="26.5" style="33" customWidth="1"/>
    <col min="15" max="19" width="9" customWidth="1"/>
  </cols>
  <sheetData>
    <row r="1" spans="1:19" ht="12.75" customHeight="1" x14ac:dyDescent="0.2">
      <c r="A1" s="30" t="s">
        <v>302</v>
      </c>
    </row>
    <row r="2" spans="1:19" s="40" customFormat="1" ht="12.75" customHeight="1" x14ac:dyDescent="0.2">
      <c r="A2" s="30"/>
      <c r="H2" s="12"/>
      <c r="K2" s="33"/>
      <c r="L2" s="33"/>
      <c r="M2" s="33"/>
    </row>
    <row r="3" spans="1:19" ht="12.75" customHeight="1" x14ac:dyDescent="0.2">
      <c r="A3" t="s">
        <v>218</v>
      </c>
      <c r="E3" s="12" t="s">
        <v>198</v>
      </c>
      <c r="F3" s="29" t="str">
        <f>IF(O3&gt;0,IF(P3&gt;0,P4,Q4),"Vandværkets navn kunne ikke findes")</f>
        <v>Vandværkets navn kunne ikke findes</v>
      </c>
      <c r="O3" s="26">
        <f>P3+Q3</f>
        <v>0</v>
      </c>
      <c r="P3" s="25">
        <f>IF((IFERROR(SEARCH("Forsyning",Rådata!$B$1000),-1))&gt;0,SEARCH("Forsyning",Rådata!$B$1000),0)</f>
        <v>0</v>
      </c>
      <c r="Q3" s="25">
        <f>IF((IFERROR(SEARCH("Vandværk",Rådata!$B$1000),-1))&gt;0,SEARCH("Vandværk",Rådata!$B$1000),0)</f>
        <v>0</v>
      </c>
    </row>
    <row r="4" spans="1:19" ht="12.75" customHeight="1" x14ac:dyDescent="0.2">
      <c r="A4" s="50" t="s">
        <v>219</v>
      </c>
      <c r="B4" s="50"/>
      <c r="C4" s="50"/>
      <c r="D4" s="50"/>
      <c r="E4" t="s">
        <v>199</v>
      </c>
      <c r="F4" s="28">
        <v>43347.404467592591</v>
      </c>
      <c r="O4" s="26"/>
      <c r="P4" s="25" t="e">
        <f>ReverseString(
LEFT(ReverseString(
LEFT(Rådata!$B$1000,P3+8)),
SEARCH(",",ReverseString(LEFT(Rådata!$B$1000,P3+7)))))</f>
        <v>#VALUE!</v>
      </c>
      <c r="Q4" s="25" t="e">
        <f>ReverseString(
LEFT(ReverseString(
LEFT(Rådata!$B$1000,Q3-2)),
SEARCH(",",ReverseString(LEFT(Rådata!$B$1000,Q3-3)))))&amp;" Vandværk"</f>
        <v>#VALUE!</v>
      </c>
    </row>
    <row r="5" spans="1:19" ht="12.75" customHeight="1" x14ac:dyDescent="0.2">
      <c r="A5" s="40" t="s">
        <v>215</v>
      </c>
      <c r="B5" s="40"/>
      <c r="C5" s="40"/>
      <c r="D5" s="40"/>
      <c r="H5" s="44"/>
      <c r="R5" s="42"/>
    </row>
    <row r="6" spans="1:19" x14ac:dyDescent="0.2">
      <c r="A6" s="40" t="s">
        <v>216</v>
      </c>
      <c r="B6" s="40"/>
      <c r="C6" s="40"/>
      <c r="D6" s="40"/>
      <c r="E6" s="47" t="s">
        <v>53</v>
      </c>
      <c r="F6" s="47"/>
      <c r="G6" s="17" t="str">
        <f>IF(IFERROR(SEARCH("NEJ",CONCATENATE(" ",G8,G9,G10,G11,G12,G13,G14,G15,G16,G17)),1)=1,"OK","NEJ")</f>
        <v>NEJ</v>
      </c>
      <c r="H6" s="12" t="str">
        <f>IF(G6="OK","",RIGHT(S17,LEN(S17)))</f>
        <v>Lugt, Smag, Ledningsevne</v>
      </c>
      <c r="K6" s="39"/>
      <c r="L6" s="35"/>
      <c r="M6" s="35"/>
      <c r="R6" s="42"/>
    </row>
    <row r="7" spans="1:19" x14ac:dyDescent="0.2">
      <c r="A7" s="40" t="s">
        <v>217</v>
      </c>
      <c r="B7" s="40"/>
      <c r="C7" s="40"/>
      <c r="D7" s="40"/>
      <c r="F7" s="18"/>
      <c r="G7" s="5"/>
      <c r="K7" s="35"/>
      <c r="L7" s="35"/>
      <c r="M7" s="35"/>
      <c r="R7" s="42"/>
    </row>
    <row r="8" spans="1:19" x14ac:dyDescent="0.2">
      <c r="F8" s="3" t="s">
        <v>54</v>
      </c>
      <c r="G8" s="4" t="str">
        <f>IF((IFERROR(SEARCH(K8,Rådata!$B$1000),-1)+IFERROR(SEARCH(L8,Rådata!$B$1000),-1)+IFERROR(SEARCH(M8,Rådata!$B$1000),-1))&gt;0,"-","NEJ")</f>
        <v>NEJ</v>
      </c>
      <c r="K8" s="36" t="str">
        <f t="shared" ref="K8:K13" si="0">F8</f>
        <v>Lugt</v>
      </c>
      <c r="L8" s="36" t="s">
        <v>179</v>
      </c>
      <c r="M8" s="36" t="s">
        <v>179</v>
      </c>
      <c r="R8" s="2" t="str">
        <f t="shared" ref="R8:R69" si="1">IF(G8="NEJ",F8,"")</f>
        <v>Lugt</v>
      </c>
      <c r="S8" t="str">
        <f>R8</f>
        <v>Lugt</v>
      </c>
    </row>
    <row r="9" spans="1:19" x14ac:dyDescent="0.2">
      <c r="F9" s="3" t="s">
        <v>55</v>
      </c>
      <c r="G9" s="4" t="str">
        <f>IF((IFERROR(SEARCH(K9,Rådata!$B$1000),-1)+IFERROR(SEARCH(L9,Rådata!$B$1000),-1)+IFERROR(SEARCH(M9,Rådata!$B$1000),-1))&gt;0,"-","NEJ")</f>
        <v>NEJ</v>
      </c>
      <c r="K9" s="36" t="str">
        <f t="shared" si="0"/>
        <v>Smag</v>
      </c>
      <c r="L9" s="36" t="s">
        <v>179</v>
      </c>
      <c r="M9" s="36" t="s">
        <v>179</v>
      </c>
      <c r="R9" s="2" t="str">
        <f t="shared" si="1"/>
        <v>Smag</v>
      </c>
      <c r="S9" t="str">
        <f>IF(R9="",S8,S8&amp;", "&amp;R9)</f>
        <v>Lugt, Smag</v>
      </c>
    </row>
    <row r="10" spans="1:19" x14ac:dyDescent="0.2">
      <c r="F10" s="3" t="s">
        <v>56</v>
      </c>
      <c r="G10" s="4" t="str">
        <f>IF((IFERROR(SEARCH(K10,Rådata!$B$1000),-1)+IFERROR(SEARCH(L10,Rådata!$B$1000),-1)+IFERROR(SEARCH(M10,Rådata!$B$1000),-1))&gt;0,"-","NEJ")</f>
        <v>-</v>
      </c>
      <c r="K10" s="36" t="str">
        <f t="shared" si="0"/>
        <v>Farve</v>
      </c>
      <c r="L10" s="36" t="s">
        <v>179</v>
      </c>
      <c r="M10" s="36" t="s">
        <v>179</v>
      </c>
      <c r="R10" s="2" t="str">
        <f t="shared" si="1"/>
        <v/>
      </c>
      <c r="S10" s="40" t="str">
        <f t="shared" ref="S10:S17" si="2">IF(R10="",S9,S9&amp;", "&amp;R10)</f>
        <v>Lugt, Smag</v>
      </c>
    </row>
    <row r="11" spans="1:19" x14ac:dyDescent="0.2">
      <c r="F11" s="3" t="s">
        <v>1</v>
      </c>
      <c r="G11" s="4" t="str">
        <f>IF((IFERROR(SEARCH(K11,Rådata!$B$1000),-1)+IFERROR(SEARCH(L11,Rådata!$B$1000),-1)+IFERROR(SEARCH(M11,Rådata!$B$1000),-1))&gt;0,"-","NEJ")</f>
        <v>-</v>
      </c>
      <c r="K11" s="36" t="str">
        <f t="shared" si="0"/>
        <v>Turbiditet</v>
      </c>
      <c r="L11" s="36" t="s">
        <v>179</v>
      </c>
      <c r="M11" s="36" t="s">
        <v>179</v>
      </c>
      <c r="R11" s="2" t="str">
        <f t="shared" si="1"/>
        <v/>
      </c>
      <c r="S11" s="40" t="str">
        <f t="shared" si="2"/>
        <v>Lugt, Smag</v>
      </c>
    </row>
    <row r="12" spans="1:19" x14ac:dyDescent="0.2">
      <c r="F12" s="3" t="s">
        <v>51</v>
      </c>
      <c r="G12" s="4" t="str">
        <f>IF((IFERROR(SEARCH(K12,Rådata!$B$1000),-1)+IFERROR(SEARCH(L12,Rådata!$B$1000),-1)+IFERROR(SEARCH(M12,Rådata!$B$1000),-1))&gt;0,"-","NEJ")</f>
        <v>-</v>
      </c>
      <c r="K12" s="36" t="str">
        <f t="shared" si="0"/>
        <v>pH</v>
      </c>
      <c r="L12" s="36" t="s">
        <v>179</v>
      </c>
      <c r="M12" s="36" t="s">
        <v>179</v>
      </c>
      <c r="R12" s="2" t="str">
        <f t="shared" si="1"/>
        <v/>
      </c>
      <c r="S12" s="40" t="str">
        <f t="shared" si="2"/>
        <v>Lugt, Smag</v>
      </c>
    </row>
    <row r="13" spans="1:19" x14ac:dyDescent="0.2">
      <c r="F13" s="3" t="s">
        <v>52</v>
      </c>
      <c r="G13" s="4" t="str">
        <f>IF((IFERROR(SEARCH(K13,Rådata!$B$1000),-1)+IFERROR(SEARCH(L13,Rådata!$B$1000),-1)+IFERROR(SEARCH(M13,Rådata!$B$1000),-1))&gt;0,"-","NEJ")</f>
        <v>NEJ</v>
      </c>
      <c r="K13" s="36" t="str">
        <f t="shared" si="0"/>
        <v>Ledningsevne</v>
      </c>
      <c r="L13" s="36" t="s">
        <v>179</v>
      </c>
      <c r="M13" s="36" t="s">
        <v>179</v>
      </c>
      <c r="R13" s="2" t="str">
        <f t="shared" si="1"/>
        <v>Ledningsevne</v>
      </c>
      <c r="S13" s="40" t="str">
        <f t="shared" si="2"/>
        <v>Lugt, Smag, Ledningsevne</v>
      </c>
    </row>
    <row r="14" spans="1:19" x14ac:dyDescent="0.2">
      <c r="F14" s="3" t="s">
        <v>57</v>
      </c>
      <c r="G14" s="4" t="str">
        <f>IF((IFERROR(SEARCH(K14,Rådata!$B$1000),-1)+IFERROR(SEARCH(L14,Rådata!$B$1000),-1)+IFERROR(SEARCH(M14,Rådata!$B$1000),-1))&gt;0,"-","NEJ")</f>
        <v>-</v>
      </c>
      <c r="K14" s="36" t="s">
        <v>129</v>
      </c>
      <c r="L14" s="36" t="s">
        <v>179</v>
      </c>
      <c r="M14" s="36" t="s">
        <v>179</v>
      </c>
      <c r="R14" s="2" t="str">
        <f t="shared" si="1"/>
        <v/>
      </c>
      <c r="S14" s="40" t="str">
        <f t="shared" si="2"/>
        <v>Lugt, Smag, Ledningsevne</v>
      </c>
    </row>
    <row r="15" spans="1:19" x14ac:dyDescent="0.2">
      <c r="A15" s="40" t="s">
        <v>218</v>
      </c>
      <c r="B15" s="40"/>
      <c r="C15" s="40"/>
      <c r="D15" s="40"/>
      <c r="F15" s="3" t="s">
        <v>58</v>
      </c>
      <c r="G15" s="4" t="str">
        <f>IF((IFERROR(SEARCH(K15,Rådata!$B$1000),-1)+IFERROR(SEARCH(L15,Rådata!$B$1000),-1)+IFERROR(SEARCH(M15,Rådata!$B$1000),-1))&gt;0,"-","NEJ")</f>
        <v>-</v>
      </c>
      <c r="K15" s="36" t="str">
        <f>F15</f>
        <v>Coliforme bakterier</v>
      </c>
      <c r="L15" s="36" t="s">
        <v>301</v>
      </c>
      <c r="M15" s="36" t="s">
        <v>179</v>
      </c>
      <c r="R15" s="2" t="str">
        <f t="shared" si="1"/>
        <v/>
      </c>
      <c r="S15" s="40" t="str">
        <f t="shared" si="2"/>
        <v>Lugt, Smag, Ledningsevne</v>
      </c>
    </row>
    <row r="16" spans="1:19" x14ac:dyDescent="0.2">
      <c r="A16" s="50" t="s">
        <v>239</v>
      </c>
      <c r="B16" s="50"/>
      <c r="C16" s="50"/>
      <c r="D16" s="50"/>
      <c r="F16" s="3" t="s">
        <v>59</v>
      </c>
      <c r="G16" s="4" t="str">
        <f>IF((IFERROR(SEARCH(K16,Rådata!$B$1000),-1)+IFERROR(SEARCH(L16,Rådata!$B$1000),-1)+IFERROR(SEARCH(M16,Rådata!$B$1000),-1))&gt;0,"-","NEJ")</f>
        <v>-</v>
      </c>
      <c r="K16" s="36" t="s">
        <v>2</v>
      </c>
      <c r="L16" s="36" t="s">
        <v>59</v>
      </c>
      <c r="M16" s="36" t="s">
        <v>284</v>
      </c>
      <c r="R16" s="2" t="str">
        <f t="shared" si="1"/>
        <v/>
      </c>
      <c r="S16" s="40" t="str">
        <f t="shared" si="2"/>
        <v>Lugt, Smag, Ledningsevne</v>
      </c>
    </row>
    <row r="17" spans="1:19" x14ac:dyDescent="0.2">
      <c r="A17" s="40" t="s">
        <v>240</v>
      </c>
      <c r="B17" s="40"/>
      <c r="C17" s="40"/>
      <c r="D17" s="40"/>
      <c r="F17" s="3" t="s">
        <v>60</v>
      </c>
      <c r="G17" s="4" t="str">
        <f>IF((IFERROR(SEARCH(K17,Rådata!$B$1000),-1)+IFERROR(SEARCH(L17,Rådata!$B$1000),-1)+IFERROR(SEARCH(M17,Rådata!$B$1000),-1))&gt;0,"-","NEJ")</f>
        <v>-</v>
      </c>
      <c r="K17" s="36" t="str">
        <f>F17</f>
        <v>Jern</v>
      </c>
      <c r="L17" s="36" t="s">
        <v>179</v>
      </c>
      <c r="M17" s="36" t="s">
        <v>179</v>
      </c>
      <c r="R17" s="2" t="str">
        <f t="shared" si="1"/>
        <v/>
      </c>
      <c r="S17" s="40" t="str">
        <f t="shared" si="2"/>
        <v>Lugt, Smag, Ledningsevne</v>
      </c>
    </row>
    <row r="18" spans="1:19" x14ac:dyDescent="0.2">
      <c r="A18" s="51" t="s">
        <v>241</v>
      </c>
      <c r="B18" s="40"/>
      <c r="C18" s="40"/>
      <c r="D18" s="40"/>
      <c r="F18" s="27" t="s">
        <v>4</v>
      </c>
      <c r="G18" s="21" t="str">
        <f>IF((IFERROR(SEARCH(K18,Rådata!$B$1000),-1)+IFERROR(SEARCH(L18,Rådata!$B$1000),-1)+IFERROR(SEARCH(M18,Rådata!$B$1000),-1))&gt;0,"-","NEJ")</f>
        <v>NEJ</v>
      </c>
      <c r="K18" s="36" t="s">
        <v>4</v>
      </c>
      <c r="L18" s="36" t="s">
        <v>179</v>
      </c>
      <c r="M18" s="36" t="s">
        <v>179</v>
      </c>
      <c r="R18" s="43"/>
    </row>
    <row r="19" spans="1:19" x14ac:dyDescent="0.2">
      <c r="A19" s="40" t="s">
        <v>216</v>
      </c>
      <c r="B19" s="40"/>
      <c r="C19" s="40"/>
      <c r="D19" s="40"/>
      <c r="K19" s="35"/>
      <c r="L19" s="35"/>
      <c r="M19" s="35"/>
      <c r="R19" s="42"/>
    </row>
    <row r="20" spans="1:19" x14ac:dyDescent="0.2">
      <c r="A20" s="40" t="s">
        <v>217</v>
      </c>
      <c r="E20" s="47" t="s">
        <v>61</v>
      </c>
      <c r="F20" s="47"/>
      <c r="G20" s="17" t="str">
        <f>IF(IFERROR(SEARCH("NEJ",CONCATENATE(" ",H22,H24,H35,H51,H55,H57,H70,H72,H79,H94,H112)),1)=1,"OK","NEJ")</f>
        <v>NEJ</v>
      </c>
      <c r="H20" s="12" t="str">
        <f>IF(G20="OK","",RIGHT(S138,LEN(S138)))</f>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20" s="39"/>
      <c r="L20" s="35"/>
      <c r="M20" s="35"/>
      <c r="R20" s="42"/>
    </row>
    <row r="21" spans="1:19" x14ac:dyDescent="0.2">
      <c r="F21" s="19"/>
      <c r="G21" s="5"/>
      <c r="K21" s="35"/>
      <c r="L21" s="35"/>
      <c r="M21" s="35"/>
      <c r="R21" s="42"/>
    </row>
    <row r="22" spans="1:19" x14ac:dyDescent="0.2">
      <c r="A22" s="41"/>
      <c r="E22" s="48" t="s">
        <v>62</v>
      </c>
      <c r="F22" s="48"/>
      <c r="G22" s="14"/>
      <c r="H22" s="15" t="str">
        <f>IF(IFERROR(SEARCH("NEJ"," "&amp;G23),1)=1,"OK","NEJ")</f>
        <v>NEJ</v>
      </c>
      <c r="K22" s="31"/>
      <c r="L22" s="35"/>
      <c r="M22" s="35"/>
      <c r="R22" s="42"/>
    </row>
    <row r="23" spans="1:19" x14ac:dyDescent="0.2">
      <c r="A23" s="41"/>
      <c r="F23" s="7" t="s">
        <v>3</v>
      </c>
      <c r="G23" s="4" t="str">
        <f>IF((IFERROR(SEARCH(K23,Rådata!$B$1000),-1)+IFERROR(SEARCH(L23,Rådata!$B$1000),-1)+IFERROR(SEARCH(M23,Rådata!$B$1000),-1))&gt;0,"-","NEJ")</f>
        <v>NEJ</v>
      </c>
      <c r="K23" s="36" t="str">
        <f>F23</f>
        <v>Enterokokker</v>
      </c>
      <c r="L23" s="36" t="s">
        <v>179</v>
      </c>
      <c r="M23" s="36" t="s">
        <v>179</v>
      </c>
      <c r="R23" s="2" t="str">
        <f t="shared" si="1"/>
        <v>Enterokokker</v>
      </c>
      <c r="S23" t="str">
        <f>R23</f>
        <v>Enterokokker</v>
      </c>
    </row>
    <row r="24" spans="1:19" x14ac:dyDescent="0.2">
      <c r="E24" s="48" t="s">
        <v>63</v>
      </c>
      <c r="F24" s="48"/>
      <c r="G24" s="14"/>
      <c r="H24" s="15" t="str">
        <f>IF(IFERROR(SEARCH("NEJ",CONCATENATE(" ",G25,G26,G27,G28,G29,G30,G31,G32,G33,G34)),1)=1,"OK","NEJ")</f>
        <v>NEJ</v>
      </c>
      <c r="K24" s="34"/>
      <c r="L24" s="36"/>
      <c r="M24" s="36"/>
      <c r="R24" s="42"/>
      <c r="S24" s="40" t="str">
        <f>IF(R24="",S23,S23&amp;", "&amp;R24)</f>
        <v>Enterokokker</v>
      </c>
    </row>
    <row r="25" spans="1:19" x14ac:dyDescent="0.2">
      <c r="F25" s="9" t="s">
        <v>64</v>
      </c>
      <c r="G25" s="4" t="str">
        <f>IF((IFERROR(SEARCH(K25,Rådata!$B$1000),-1)+IFERROR(SEARCH(L25,Rådata!$B$1000),-1)+IFERROR(SEARCH(M25,Rådata!$B$1000),-1))&gt;0,"-","NEJ")</f>
        <v>NEJ</v>
      </c>
      <c r="K25" s="36" t="str">
        <f t="shared" ref="K25:K34" si="3">F25</f>
        <v>Temperatur</v>
      </c>
      <c r="L25" s="36" t="s">
        <v>179</v>
      </c>
      <c r="M25" s="36" t="s">
        <v>179</v>
      </c>
      <c r="R25" s="2" t="str">
        <f t="shared" si="1"/>
        <v>Temperatur</v>
      </c>
      <c r="S25" s="40" t="str">
        <f t="shared" ref="S25:S88" si="4">IF(R25="",S24,S24&amp;", "&amp;R25)</f>
        <v>Enterokokker, Temperatur</v>
      </c>
    </row>
    <row r="26" spans="1:19" x14ac:dyDescent="0.2">
      <c r="F26" s="3" t="s">
        <v>65</v>
      </c>
      <c r="G26" s="4" t="str">
        <f>IF((IFERROR(SEARCH(K26,Rådata!$B$1000),-1)+IFERROR(SEARCH(L26,Rådata!$B$1000),-1)+IFERROR(SEARCH(M26,Rådata!$B$1000),-1))&gt;0,"-","NEJ")</f>
        <v>NEJ</v>
      </c>
      <c r="K26" s="36" t="str">
        <f t="shared" si="3"/>
        <v>NVOC</v>
      </c>
      <c r="L26" s="36" t="s">
        <v>179</v>
      </c>
      <c r="M26" s="36" t="s">
        <v>179</v>
      </c>
      <c r="R26" s="2" t="str">
        <f t="shared" si="1"/>
        <v>NVOC</v>
      </c>
      <c r="S26" s="40" t="str">
        <f t="shared" si="4"/>
        <v>Enterokokker, Temperatur, NVOC</v>
      </c>
    </row>
    <row r="27" spans="1:19" x14ac:dyDescent="0.2">
      <c r="F27" s="3" t="s">
        <v>66</v>
      </c>
      <c r="G27" s="4" t="str">
        <f>IF((IFERROR(SEARCH(K27,Rådata!$B$1000),-1)+IFERROR(SEARCH(L27,Rådata!$B$1000),-1)+IFERROR(SEARCH(M27,Rådata!$B$1000),-1))&gt;0,"-","NEJ")</f>
        <v>NEJ</v>
      </c>
      <c r="K27" s="36" t="str">
        <f t="shared" si="3"/>
        <v>Natrium</v>
      </c>
      <c r="L27" s="36" t="s">
        <v>179</v>
      </c>
      <c r="M27" s="36" t="s">
        <v>179</v>
      </c>
      <c r="R27" s="2" t="str">
        <f t="shared" si="1"/>
        <v>Natrium</v>
      </c>
      <c r="S27" s="40" t="str">
        <f t="shared" si="4"/>
        <v>Enterokokker, Temperatur, NVOC, Natrium</v>
      </c>
    </row>
    <row r="28" spans="1:19" x14ac:dyDescent="0.2">
      <c r="F28" s="3" t="s">
        <v>67</v>
      </c>
      <c r="G28" s="4" t="str">
        <f>IF((IFERROR(SEARCH(K28,Rådata!$B$1000),-1)+IFERROR(SEARCH(L28,Rådata!$B$1000),-1)+IFERROR(SEARCH(M28,Rådata!$B$1000),-1))&gt;0,"-","NEJ")</f>
        <v>NEJ</v>
      </c>
      <c r="K28" s="36" t="str">
        <f t="shared" si="3"/>
        <v>Ammonium</v>
      </c>
      <c r="L28" s="36" t="s">
        <v>179</v>
      </c>
      <c r="M28" s="36" t="s">
        <v>179</v>
      </c>
      <c r="R28" s="2" t="str">
        <f t="shared" si="1"/>
        <v>Ammonium</v>
      </c>
      <c r="S28" s="40" t="str">
        <f t="shared" si="4"/>
        <v>Enterokokker, Temperatur, NVOC, Natrium, Ammonium</v>
      </c>
    </row>
    <row r="29" spans="1:19" x14ac:dyDescent="0.2">
      <c r="A29" t="s">
        <v>221</v>
      </c>
      <c r="F29" s="3" t="s">
        <v>68</v>
      </c>
      <c r="G29" s="4" t="str">
        <f>IF((IFERROR(SEARCH(K29,Rådata!$B$1000),-1)+IFERROR(SEARCH(L29,Rådata!$B$1000),-1)+IFERROR(SEARCH(M29,Rådata!$B$1000),-1))&gt;0,"-","NEJ")</f>
        <v>NEJ</v>
      </c>
      <c r="K29" s="36" t="str">
        <f t="shared" si="3"/>
        <v>Mangan</v>
      </c>
      <c r="L29" s="36" t="s">
        <v>179</v>
      </c>
      <c r="M29" s="36" t="s">
        <v>179</v>
      </c>
      <c r="R29" s="2" t="str">
        <f t="shared" si="1"/>
        <v>Mangan</v>
      </c>
      <c r="S29" s="40" t="str">
        <f t="shared" si="4"/>
        <v>Enterokokker, Temperatur, NVOC, Natrium, Ammonium, Mangan</v>
      </c>
    </row>
    <row r="30" spans="1:19" x14ac:dyDescent="0.2">
      <c r="A30" s="52" t="s">
        <v>53</v>
      </c>
      <c r="B30" s="52"/>
      <c r="C30" s="52"/>
      <c r="F30" s="3" t="s">
        <v>6</v>
      </c>
      <c r="G30" s="4" t="str">
        <f>IF((IFERROR(SEARCH(K30,Rådata!$B$1000),-1)+IFERROR(SEARCH(L30,Rådata!$B$1000),-1)+IFERROR(SEARCH(M30,Rådata!$B$1000),-1))&gt;0,"-","NEJ")</f>
        <v>NEJ</v>
      </c>
      <c r="K30" s="36" t="str">
        <f t="shared" si="3"/>
        <v>Chlorid</v>
      </c>
      <c r="L30" s="36" t="s">
        <v>177</v>
      </c>
      <c r="M30" s="36" t="s">
        <v>179</v>
      </c>
      <c r="R30" s="2" t="str">
        <f t="shared" si="1"/>
        <v>Chlorid</v>
      </c>
      <c r="S30" s="40" t="str">
        <f t="shared" si="4"/>
        <v>Enterokokker, Temperatur, NVOC, Natrium, Ammonium, Mangan, Chlorid</v>
      </c>
    </row>
    <row r="31" spans="1:19" x14ac:dyDescent="0.2">
      <c r="A31" s="52" t="s">
        <v>61</v>
      </c>
      <c r="B31" s="52"/>
      <c r="C31" s="52"/>
      <c r="F31" s="3" t="s">
        <v>7</v>
      </c>
      <c r="G31" s="4" t="str">
        <f>IF((IFERROR(SEARCH(K31,Rådata!$B$1000),-1)+IFERROR(SEARCH(L31,Rådata!$B$1000),-1)+IFERROR(SEARCH(M31,Rådata!$B$1000),-1))&gt;0,"-","NEJ")</f>
        <v>NEJ</v>
      </c>
      <c r="K31" s="36" t="str">
        <f t="shared" si="3"/>
        <v>Sulfat</v>
      </c>
      <c r="L31" s="36" t="s">
        <v>179</v>
      </c>
      <c r="M31" s="36" t="s">
        <v>179</v>
      </c>
      <c r="R31" s="2" t="str">
        <f t="shared" si="1"/>
        <v>Sulfat</v>
      </c>
      <c r="S31" s="40" t="str">
        <f t="shared" si="4"/>
        <v>Enterokokker, Temperatur, NVOC, Natrium, Ammonium, Mangan, Chlorid, Sulfat</v>
      </c>
    </row>
    <row r="32" spans="1:19" x14ac:dyDescent="0.2">
      <c r="A32" s="52" t="s">
        <v>176</v>
      </c>
      <c r="B32" s="52"/>
      <c r="C32" s="52"/>
      <c r="F32" s="3" t="s">
        <v>5</v>
      </c>
      <c r="G32" s="4" t="str">
        <f>IF((IFERROR(SEARCH(K32,Rådata!$B$1000),-1)+IFERROR(SEARCH(L32,Rådata!$B$1000),-1)+IFERROR(SEARCH(M32,Rådata!$B$1000),-1))&gt;0,"-","NEJ")</f>
        <v>NEJ</v>
      </c>
      <c r="K32" s="36" t="str">
        <f t="shared" si="3"/>
        <v>Nitrat</v>
      </c>
      <c r="L32" s="36" t="s">
        <v>179</v>
      </c>
      <c r="M32" s="36" t="s">
        <v>179</v>
      </c>
      <c r="R32" s="2" t="str">
        <f t="shared" si="1"/>
        <v>Nitrat</v>
      </c>
      <c r="S32" s="40" t="str">
        <f t="shared" si="4"/>
        <v>Enterokokker, Temperatur, NVOC, Natrium, Ammonium, Mangan, Chlorid, Sulfat, Nitrat</v>
      </c>
    </row>
    <row r="33" spans="1:19" x14ac:dyDescent="0.2">
      <c r="A33" s="52" t="s">
        <v>175</v>
      </c>
      <c r="B33" s="52"/>
      <c r="C33" s="52"/>
      <c r="F33" s="3" t="s">
        <v>4</v>
      </c>
      <c r="G33" s="4" t="str">
        <f>IF((IFERROR(SEARCH(K33,Rådata!$B$1000),-1)+IFERROR(SEARCH(L33,Rådata!$B$1000),-1)+IFERROR(SEARCH(M33,Rådata!$B$1000),-1))&gt;0,"-","NEJ")</f>
        <v>NEJ</v>
      </c>
      <c r="K33" s="36" t="str">
        <f t="shared" si="3"/>
        <v>Nitrit</v>
      </c>
      <c r="L33" s="36" t="s">
        <v>179</v>
      </c>
      <c r="M33" s="36" t="s">
        <v>179</v>
      </c>
      <c r="R33" s="2" t="str">
        <f t="shared" si="1"/>
        <v>Nitrit</v>
      </c>
      <c r="S33" s="40" t="str">
        <f t="shared" si="4"/>
        <v>Enterokokker, Temperatur, NVOC, Natrium, Ammonium, Mangan, Chlorid, Sulfat, Nitrat, Nitrit</v>
      </c>
    </row>
    <row r="34" spans="1:19" x14ac:dyDescent="0.2">
      <c r="A34" s="52" t="s">
        <v>169</v>
      </c>
      <c r="B34" s="52"/>
      <c r="C34" s="52"/>
      <c r="F34" s="10" t="s">
        <v>69</v>
      </c>
      <c r="G34" s="4" t="str">
        <f>IF((IFERROR(SEARCH(K34,Rådata!$B$1000),-1)+IFERROR(SEARCH(L34,Rådata!$B$1000),-1)+IFERROR(SEARCH(M34,Rådata!$B$1000),-1))&gt;0,"-","NEJ")</f>
        <v>NEJ</v>
      </c>
      <c r="K34" s="36" t="str">
        <f t="shared" si="3"/>
        <v>Fluorid</v>
      </c>
      <c r="L34" s="36" t="s">
        <v>179</v>
      </c>
      <c r="M34" s="36" t="s">
        <v>179</v>
      </c>
      <c r="R34" s="2" t="str">
        <f t="shared" si="1"/>
        <v>Fluorid</v>
      </c>
      <c r="S34" s="40" t="str">
        <f t="shared" si="4"/>
        <v>Enterokokker, Temperatur, NVOC, Natrium, Ammonium, Mangan, Chlorid, Sulfat, Nitrat, Nitrit, Fluorid</v>
      </c>
    </row>
    <row r="35" spans="1:19" x14ac:dyDescent="0.2">
      <c r="E35" s="48" t="s">
        <v>70</v>
      </c>
      <c r="F35" s="48"/>
      <c r="G35" s="20"/>
      <c r="H35" s="15" t="str">
        <f>IF(IFERROR(SEARCH("NEJ",CONCATENATE(" ",G36,G37,G38,G39,G40,G41,G42,G43,G44,G45,G46,G47,G48,G49,G50)),1)=1,"OK","NEJ")</f>
        <v>NEJ</v>
      </c>
      <c r="K35" s="34"/>
      <c r="L35" s="36"/>
      <c r="M35" s="36"/>
      <c r="R35" s="42"/>
      <c r="S35" s="40" t="str">
        <f t="shared" si="4"/>
        <v>Enterokokker, Temperatur, NVOC, Natrium, Ammonium, Mangan, Chlorid, Sulfat, Nitrat, Nitrit, Fluorid</v>
      </c>
    </row>
    <row r="36" spans="1:19" x14ac:dyDescent="0.2">
      <c r="F36" s="9" t="s">
        <v>71</v>
      </c>
      <c r="G36" s="4" t="str">
        <f>IF((IFERROR(SEARCH(K36,Rådata!$B$1000),-1)+IFERROR(SEARCH(L36,Rådata!$B$1000),-1)+IFERROR(SEARCH(M36,Rådata!$B$1000),-1))&gt;0,"-","NEJ")</f>
        <v>NEJ</v>
      </c>
      <c r="K36" s="36" t="str">
        <f t="shared" ref="K36:K50" si="5">F36</f>
        <v>Aluminium</v>
      </c>
      <c r="L36" s="36" t="s">
        <v>179</v>
      </c>
      <c r="M36" s="36" t="s">
        <v>179</v>
      </c>
      <c r="R36" s="2" t="str">
        <f t="shared" si="1"/>
        <v>Aluminium</v>
      </c>
      <c r="S36" s="40" t="str">
        <f t="shared" si="4"/>
        <v>Enterokokker, Temperatur, NVOC, Natrium, Ammonium, Mangan, Chlorid, Sulfat, Nitrat, Nitrit, Fluorid, Aluminium</v>
      </c>
    </row>
    <row r="37" spans="1:19" x14ac:dyDescent="0.2">
      <c r="F37" s="3" t="s">
        <v>72</v>
      </c>
      <c r="G37" s="4" t="str">
        <f>IF((IFERROR(SEARCH(K37,Rådata!$B$1000),-1)+IFERROR(SEARCH(L37,Rådata!$B$1000),-1)+IFERROR(SEARCH(M37,Rådata!$B$1000),-1))&gt;0,"-","NEJ")</f>
        <v>NEJ</v>
      </c>
      <c r="K37" s="36" t="str">
        <f t="shared" si="5"/>
        <v>Antimon</v>
      </c>
      <c r="L37" s="36" t="s">
        <v>179</v>
      </c>
      <c r="M37" s="36" t="s">
        <v>179</v>
      </c>
      <c r="R37" s="2" t="str">
        <f t="shared" si="1"/>
        <v>Antimon</v>
      </c>
      <c r="S37" s="40" t="str">
        <f t="shared" si="4"/>
        <v>Enterokokker, Temperatur, NVOC, Natrium, Ammonium, Mangan, Chlorid, Sulfat, Nitrat, Nitrit, Fluorid, Aluminium, Antimon</v>
      </c>
    </row>
    <row r="38" spans="1:19" x14ac:dyDescent="0.2">
      <c r="F38" s="3" t="s">
        <v>73</v>
      </c>
      <c r="G38" s="4" t="str">
        <f>IF((IFERROR(SEARCH(K38,Rådata!$B$1000),-1)+IFERROR(SEARCH(L38,Rådata!$B$1000),-1)+IFERROR(SEARCH(M38,Rådata!$B$1000),-1))&gt;0,"-","NEJ")</f>
        <v>NEJ</v>
      </c>
      <c r="K38" s="36" t="str">
        <f t="shared" si="5"/>
        <v>Arsen</v>
      </c>
      <c r="L38" s="36" t="s">
        <v>179</v>
      </c>
      <c r="M38" s="36" t="s">
        <v>179</v>
      </c>
      <c r="R38" s="2" t="str">
        <f t="shared" si="1"/>
        <v>Arsen</v>
      </c>
      <c r="S38" s="40" t="str">
        <f t="shared" si="4"/>
        <v>Enterokokker, Temperatur, NVOC, Natrium, Ammonium, Mangan, Chlorid, Sulfat, Nitrat, Nitrit, Fluorid, Aluminium, Antimon, Arsen</v>
      </c>
    </row>
    <row r="39" spans="1:19" x14ac:dyDescent="0.2">
      <c r="F39" s="3" t="s">
        <v>74</v>
      </c>
      <c r="G39" s="4" t="str">
        <f>IF((IFERROR(SEARCH(K39,Rådata!$B$1000),-1)+IFERROR(SEARCH(L39,Rådata!$B$1000),-1)+IFERROR(SEARCH(M39,Rådata!$B$1000),-1))&gt;0,"-","NEJ")</f>
        <v>NEJ</v>
      </c>
      <c r="K39" s="36" t="str">
        <f t="shared" si="5"/>
        <v>Bly</v>
      </c>
      <c r="L39" s="36" t="s">
        <v>179</v>
      </c>
      <c r="M39" s="36" t="s">
        <v>179</v>
      </c>
      <c r="R39" s="2" t="str">
        <f t="shared" si="1"/>
        <v>Bly</v>
      </c>
      <c r="S39" s="40" t="str">
        <f t="shared" si="4"/>
        <v>Enterokokker, Temperatur, NVOC, Natrium, Ammonium, Mangan, Chlorid, Sulfat, Nitrat, Nitrit, Fluorid, Aluminium, Antimon, Arsen, Bly</v>
      </c>
    </row>
    <row r="40" spans="1:19" x14ac:dyDescent="0.2">
      <c r="F40" s="3" t="s">
        <v>75</v>
      </c>
      <c r="G40" s="4" t="str">
        <f>IF((IFERROR(SEARCH(K40,Rådata!$B$1000),-1)+IFERROR(SEARCH(L40,Rådata!$B$1000),-1)+IFERROR(SEARCH(M40,Rådata!$B$1000),-1))&gt;0,"-","NEJ")</f>
        <v>-</v>
      </c>
      <c r="K40" s="36" t="str">
        <f t="shared" si="5"/>
        <v>Bor</v>
      </c>
      <c r="L40" s="36" t="s">
        <v>179</v>
      </c>
      <c r="M40" s="36" t="s">
        <v>179</v>
      </c>
      <c r="R40" s="2" t="str">
        <f t="shared" si="1"/>
        <v/>
      </c>
      <c r="S40" s="40" t="str">
        <f t="shared" si="4"/>
        <v>Enterokokker, Temperatur, NVOC, Natrium, Ammonium, Mangan, Chlorid, Sulfat, Nitrat, Nitrit, Fluorid, Aluminium, Antimon, Arsen, Bly</v>
      </c>
    </row>
    <row r="41" spans="1:19" x14ac:dyDescent="0.2">
      <c r="F41" s="3" t="s">
        <v>76</v>
      </c>
      <c r="G41" s="4" t="str">
        <f>IF((IFERROR(SEARCH(K41,Rådata!$B$1000),-1)+IFERROR(SEARCH(L41,Rådata!$B$1000),-1)+IFERROR(SEARCH(M41,Rådata!$B$1000),-1))&gt;0,"-","NEJ")</f>
        <v>NEJ</v>
      </c>
      <c r="K41" s="36" t="str">
        <f t="shared" si="5"/>
        <v>Cadmium</v>
      </c>
      <c r="L41" s="36" t="s">
        <v>179</v>
      </c>
      <c r="M41" s="36" t="s">
        <v>179</v>
      </c>
      <c r="R41" s="2" t="str">
        <f t="shared" si="1"/>
        <v>Cadmium</v>
      </c>
      <c r="S41" s="40" t="str">
        <f t="shared" si="4"/>
        <v>Enterokokker, Temperatur, NVOC, Natrium, Ammonium, Mangan, Chlorid, Sulfat, Nitrat, Nitrit, Fluorid, Aluminium, Antimon, Arsen, Bly, Cadmium</v>
      </c>
    </row>
    <row r="42" spans="1:19" x14ac:dyDescent="0.2">
      <c r="F42" s="3" t="s">
        <v>91</v>
      </c>
      <c r="G42" s="4" t="str">
        <f>IF((IFERROR(SEARCH(K42,Rådata!$B$1000),-1)+IFERROR(SEARCH(L42,Rådata!$B$1000),-1)+IFERROR(SEARCH(M42,Rådata!$B$1000),-1))&gt;0,"-","NEJ")</f>
        <v>NEJ</v>
      </c>
      <c r="K42" s="36" t="str">
        <f t="shared" si="5"/>
        <v>Kobolt</v>
      </c>
      <c r="L42" s="36" t="s">
        <v>168</v>
      </c>
      <c r="M42" s="36" t="s">
        <v>179</v>
      </c>
      <c r="R42" s="2" t="str">
        <f t="shared" si="1"/>
        <v>Kobolt</v>
      </c>
      <c r="S42" s="40" t="str">
        <f t="shared" si="4"/>
        <v>Enterokokker, Temperatur, NVOC, Natrium, Ammonium, Mangan, Chlorid, Sulfat, Nitrat, Nitrit, Fluorid, Aluminium, Antimon, Arsen, Bly, Cadmium, Kobolt</v>
      </c>
    </row>
    <row r="43" spans="1:19" x14ac:dyDescent="0.2">
      <c r="F43" s="3" t="s">
        <v>77</v>
      </c>
      <c r="G43" s="4" t="str">
        <f>IF((IFERROR(SEARCH(K43,Rådata!$B$1000),-1)+IFERROR(SEARCH(L43,Rådata!$B$1000),-1)+IFERROR(SEARCH(M43,Rådata!$B$1000),-1))&gt;0,"-","NEJ")</f>
        <v>NEJ</v>
      </c>
      <c r="K43" s="36" t="str">
        <f t="shared" si="5"/>
        <v>Chrom</v>
      </c>
      <c r="L43" s="36" t="s">
        <v>200</v>
      </c>
      <c r="M43" s="36" t="s">
        <v>179</v>
      </c>
      <c r="R43" s="2" t="str">
        <f t="shared" si="1"/>
        <v>Chrom</v>
      </c>
      <c r="S43" s="40" t="str">
        <f t="shared" si="4"/>
        <v>Enterokokker, Temperatur, NVOC, Natrium, Ammonium, Mangan, Chlorid, Sulfat, Nitrat, Nitrit, Fluorid, Aluminium, Antimon, Arsen, Bly, Cadmium, Kobolt, Chrom</v>
      </c>
    </row>
    <row r="44" spans="1:19" x14ac:dyDescent="0.2">
      <c r="F44" s="3" t="s">
        <v>78</v>
      </c>
      <c r="G44" s="4" t="str">
        <f>IF((IFERROR(SEARCH(K44,Rådata!$B$1000),-1)+IFERROR(SEARCH(L44,Rådata!$B$1000),-1)+IFERROR(SEARCH(M44,Rådata!$B$1000),-1))&gt;0,"-","NEJ")</f>
        <v>NEJ</v>
      </c>
      <c r="K44" s="36" t="str">
        <f t="shared" si="5"/>
        <v>Cyanid</v>
      </c>
      <c r="L44" s="36" t="s">
        <v>179</v>
      </c>
      <c r="M44" s="36" t="s">
        <v>179</v>
      </c>
      <c r="R44" s="2" t="str">
        <f t="shared" si="1"/>
        <v>Cyanid</v>
      </c>
      <c r="S44" s="40" t="str">
        <f t="shared" si="4"/>
        <v>Enterokokker, Temperatur, NVOC, Natrium, Ammonium, Mangan, Chlorid, Sulfat, Nitrat, Nitrit, Fluorid, Aluminium, Antimon, Arsen, Bly, Cadmium, Kobolt, Chrom, Cyanid</v>
      </c>
    </row>
    <row r="45" spans="1:19" x14ac:dyDescent="0.2">
      <c r="F45" s="3" t="s">
        <v>79</v>
      </c>
      <c r="G45" s="4" t="str">
        <f>IF((IFERROR(SEARCH(K45,Rådata!$B$1000),-1)+IFERROR(SEARCH(L45,Rådata!$B$1000),-1)+IFERROR(SEARCH(M45,Rådata!$B$1000),-1))&gt;0,"-","NEJ")</f>
        <v>NEJ</v>
      </c>
      <c r="K45" s="36" t="str">
        <f t="shared" si="5"/>
        <v>Kobber</v>
      </c>
      <c r="L45" s="36" t="s">
        <v>178</v>
      </c>
      <c r="M45" s="36" t="s">
        <v>179</v>
      </c>
      <c r="R45" s="2" t="str">
        <f t="shared" si="1"/>
        <v>Kobber</v>
      </c>
      <c r="S45" s="40" t="str">
        <f t="shared" si="4"/>
        <v>Enterokokker, Temperatur, NVOC, Natrium, Ammonium, Mangan, Chlorid, Sulfat, Nitrat, Nitrit, Fluorid, Aluminium, Antimon, Arsen, Bly, Cadmium, Kobolt, Chrom, Cyanid, Kobber</v>
      </c>
    </row>
    <row r="46" spans="1:19" x14ac:dyDescent="0.2">
      <c r="F46" s="3" t="s">
        <v>80</v>
      </c>
      <c r="G46" s="4" t="str">
        <f>IF((IFERROR(SEARCH(K46,Rådata!$B$1000),-1)+IFERROR(SEARCH(L46,Rådata!$B$1000),-1)+IFERROR(SEARCH(M46,Rådata!$B$1000),-1))&gt;0,"-","NEJ")</f>
        <v>NEJ</v>
      </c>
      <c r="K46" s="36" t="str">
        <f t="shared" si="5"/>
        <v>Kviksølv</v>
      </c>
      <c r="L46" s="36" t="s">
        <v>179</v>
      </c>
      <c r="M46" s="36" t="s">
        <v>179</v>
      </c>
      <c r="R46" s="2" t="str">
        <f t="shared" si="1"/>
        <v>Kviksølv</v>
      </c>
      <c r="S46" s="40" t="str">
        <f t="shared" si="4"/>
        <v>Enterokokker, Temperatur, NVOC, Natrium, Ammonium, Mangan, Chlorid, Sulfat, Nitrat, Nitrit, Fluorid, Aluminium, Antimon, Arsen, Bly, Cadmium, Kobolt, Chrom, Cyanid, Kobber, Kviksølv</v>
      </c>
    </row>
    <row r="47" spans="1:19" x14ac:dyDescent="0.2">
      <c r="F47" s="3" t="s">
        <v>81</v>
      </c>
      <c r="G47" s="4" t="str">
        <f>IF((IFERROR(SEARCH(K47,Rådata!$B$1000),-1)+IFERROR(SEARCH(L47,Rådata!$B$1000),-1)+IFERROR(SEARCH(M47,Rådata!$B$1000),-1))&gt;0,"-","NEJ")</f>
        <v>NEJ</v>
      </c>
      <c r="K47" s="36" t="str">
        <f t="shared" si="5"/>
        <v>Nikkel</v>
      </c>
      <c r="L47" s="36" t="s">
        <v>179</v>
      </c>
      <c r="M47" s="36" t="s">
        <v>179</v>
      </c>
      <c r="R47" s="2" t="str">
        <f t="shared" si="1"/>
        <v>Nikkel</v>
      </c>
      <c r="S47" s="40" t="str">
        <f t="shared" si="4"/>
        <v>Enterokokker, Temperatur, NVOC, Natrium, Ammonium, Mangan, Chlorid, Sulfat, Nitrat, Nitrit, Fluorid, Aluminium, Antimon, Arsen, Bly, Cadmium, Kobolt, Chrom, Cyanid, Kobber, Kviksølv, Nikkel</v>
      </c>
    </row>
    <row r="48" spans="1:19" x14ac:dyDescent="0.2">
      <c r="F48" s="3" t="s">
        <v>82</v>
      </c>
      <c r="G48" s="4" t="str">
        <f>IF((IFERROR(SEARCH(K48,Rådata!$B$1000),-1)+IFERROR(SEARCH(L48,Rådata!$B$1000),-1)+IFERROR(SEARCH(M48,Rådata!$B$1000),-1))&gt;0,"-","NEJ")</f>
        <v>NEJ</v>
      </c>
      <c r="K48" s="36" t="str">
        <f t="shared" si="5"/>
        <v>Selen</v>
      </c>
      <c r="L48" s="36" t="s">
        <v>179</v>
      </c>
      <c r="M48" s="36" t="s">
        <v>179</v>
      </c>
      <c r="R48" s="2" t="str">
        <f t="shared" si="1"/>
        <v>Selen</v>
      </c>
      <c r="S48" s="40" t="str">
        <f t="shared" si="4"/>
        <v>Enterokokker, Temperatur, NVOC, Natrium, Ammonium, Mangan, Chlorid, Sulfat, Nitrat, Nitrit, Fluorid, Aluminium, Antimon, Arsen, Bly, Cadmium, Kobolt, Chrom, Cyanid, Kobber, Kviksølv, Nikkel, Selen</v>
      </c>
    </row>
    <row r="49" spans="5:19" x14ac:dyDescent="0.2">
      <c r="F49" s="3" t="s">
        <v>83</v>
      </c>
      <c r="G49" s="4" t="str">
        <f>IF((IFERROR(SEARCH(K49,Rådata!$B$1000),-1)+IFERROR(SEARCH(L49,Rådata!$B$1000),-1)+IFERROR(SEARCH(M49,Rådata!$B$1000),-1))&gt;0,"-","NEJ")</f>
        <v>NEJ</v>
      </c>
      <c r="K49" s="36" t="str">
        <f t="shared" si="5"/>
        <v>Sølv</v>
      </c>
      <c r="L49" s="36" t="s">
        <v>179</v>
      </c>
      <c r="M49" s="36" t="s">
        <v>179</v>
      </c>
      <c r="R49" s="2" t="str">
        <f t="shared" si="1"/>
        <v>Sølv</v>
      </c>
      <c r="S49" s="40" t="str">
        <f t="shared" si="4"/>
        <v>Enterokokker, Temperatur, NVOC, Natrium, Ammonium, Mangan, Chlorid, Sulfat, Nitrat, Nitrit, Fluorid, Aluminium, Antimon, Arsen, Bly, Cadmium, Kobolt, Chrom, Cyanid, Kobber, Kviksølv, Nikkel, Selen, Sølv</v>
      </c>
    </row>
    <row r="50" spans="5:19" x14ac:dyDescent="0.2">
      <c r="F50" s="10" t="s">
        <v>84</v>
      </c>
      <c r="G50" s="4" t="str">
        <f>IF((IFERROR(SEARCH(K50,Rådata!$B$1000),-1)+IFERROR(SEARCH(L50,Rådata!$B$1000),-1)+IFERROR(SEARCH(M50,Rådata!$B$1000),-1))&gt;0,"-","NEJ")</f>
        <v>NEJ</v>
      </c>
      <c r="K50" s="36" t="str">
        <f t="shared" si="5"/>
        <v>Zink</v>
      </c>
      <c r="L50" s="36" t="s">
        <v>179</v>
      </c>
      <c r="M50" s="36" t="s">
        <v>179</v>
      </c>
      <c r="R50" s="2" t="str">
        <f t="shared" si="1"/>
        <v>Zink</v>
      </c>
      <c r="S50" s="40" t="str">
        <f t="shared" si="4"/>
        <v>Enterokokker, Temperatur, NVOC, Natrium, Ammonium, Mangan, Chlorid, Sulfat, Nitrat, Nitrit, Fluorid, Aluminium, Antimon, Arsen, Bly, Cadmium, Kobolt, Chrom, Cyanid, Kobber, Kviksølv, Nikkel, Selen, Sølv, Zink</v>
      </c>
    </row>
    <row r="51" spans="5:19" x14ac:dyDescent="0.2">
      <c r="E51" s="48" t="s">
        <v>86</v>
      </c>
      <c r="F51" s="48"/>
      <c r="G51" s="20"/>
      <c r="H51" s="15" t="str">
        <f>IF(IFERROR(SEARCH("NEJ",CONCATENATE(" ",G52,G53,G54)),1)=1,"OK","NEJ")</f>
        <v>NEJ</v>
      </c>
      <c r="K51" s="34"/>
      <c r="L51" s="36"/>
      <c r="M51" s="36"/>
      <c r="R51" s="42"/>
      <c r="S51" s="40" t="str">
        <f t="shared" si="4"/>
        <v>Enterokokker, Temperatur, NVOC, Natrium, Ammonium, Mangan, Chlorid, Sulfat, Nitrat, Nitrit, Fluorid, Aluminium, Antimon, Arsen, Bly, Cadmium, Kobolt, Chrom, Cyanid, Kobber, Kviksølv, Nikkel, Selen, Sølv, Zink</v>
      </c>
    </row>
    <row r="52" spans="5:19" x14ac:dyDescent="0.2">
      <c r="F52" s="9" t="s">
        <v>8</v>
      </c>
      <c r="G52" s="4" t="str">
        <f>IF((IFERROR(SEARCH(K52,Rådata!$B$1000),-1)+IFERROR(SEARCH(L52,Rådata!$B$1000),-1)+IFERROR(SEARCH(M52,Rådata!$B$1000),-1))&gt;0,"-","NEJ")</f>
        <v>NEJ</v>
      </c>
      <c r="K52" s="36" t="str">
        <f>F52</f>
        <v>Acrylamid</v>
      </c>
      <c r="L52" s="36" t="s">
        <v>179</v>
      </c>
      <c r="M52" s="36" t="s">
        <v>179</v>
      </c>
      <c r="R52" s="2" t="str">
        <f t="shared" si="1"/>
        <v>Acrylamid</v>
      </c>
      <c r="S52" s="40" t="str">
        <f t="shared" si="4"/>
        <v>Enterokokker, Temperatur, NVOC, Natrium, Ammonium, Mangan, Chlorid, Sulfat, Nitrat, Nitrit, Fluorid, Aluminium, Antimon, Arsen, Bly, Cadmium, Kobolt, Chrom, Cyanid, Kobber, Kviksølv, Nikkel, Selen, Sølv, Zink, Acrylamid</v>
      </c>
    </row>
    <row r="53" spans="5:19" x14ac:dyDescent="0.2">
      <c r="F53" s="3" t="s">
        <v>9</v>
      </c>
      <c r="G53" s="4" t="str">
        <f>IF((IFERROR(SEARCH(K53,Rådata!$B$1000),-1)+IFERROR(SEARCH(L53,Rådata!$B$1000),-1)+IFERROR(SEARCH(M53,Rådata!$B$1000),-1))&gt;0,"-","NEJ")</f>
        <v>NEJ</v>
      </c>
      <c r="K53" s="36" t="str">
        <f>F53</f>
        <v>Epichlorhydrin</v>
      </c>
      <c r="L53" s="36" t="s">
        <v>179</v>
      </c>
      <c r="M53" s="36" t="s">
        <v>179</v>
      </c>
      <c r="R53" s="2" t="str">
        <f t="shared" si="1"/>
        <v>Epichlorhydrin</v>
      </c>
      <c r="S53" s="40" t="str">
        <f t="shared" si="4"/>
        <v>Enterokokker, Temperatur, NVOC, Natrium, Ammonium, Mangan, Chlorid, Sulfat, Nitrat, Nitrit, Fluorid, Aluminium, Antimon, Arsen, Bly, Cadmium, Kobolt, Chrom, Cyanid, Kobber, Kviksølv, Nikkel, Selen, Sølv, Zink, Acrylamid, Epichlorhydrin</v>
      </c>
    </row>
    <row r="54" spans="5:19" x14ac:dyDescent="0.2">
      <c r="F54" s="10" t="s">
        <v>41</v>
      </c>
      <c r="G54" s="4" t="str">
        <f>IF((IFERROR(SEARCH(K54,Rådata!$B$1000),-1)+IFERROR(SEARCH(L54,Rådata!$B$1000),-1)+IFERROR(SEARCH(M54,Rådata!$B$1000),-1))&gt;0,"-","NEJ")</f>
        <v>NEJ</v>
      </c>
      <c r="K54" s="36" t="str">
        <f>F54</f>
        <v>Vinylchlorid</v>
      </c>
      <c r="L54" s="36" t="s">
        <v>179</v>
      </c>
      <c r="M54" s="36" t="s">
        <v>179</v>
      </c>
      <c r="R54" s="2" t="str">
        <f t="shared" si="1"/>
        <v>Vinylchlorid</v>
      </c>
      <c r="S54" s="40" t="str">
        <f t="shared" si="4"/>
        <v>Enterokokker, Temperatur, NVOC, Natrium, Ammonium, Mangan, Chlorid, Sulfat, Nitrat, Nitrit, Fluorid, Aluminium, Antimon, Arsen, Bly, Cadmium, Kobolt, Chrom, Cyanid, Kobber, Kviksølv, Nikkel, Selen, Sølv, Zink, Acrylamid, Epichlorhydrin, Vinylchlorid</v>
      </c>
    </row>
    <row r="55" spans="5:19" x14ac:dyDescent="0.2">
      <c r="E55" s="48" t="s">
        <v>85</v>
      </c>
      <c r="F55" s="48"/>
      <c r="G55" s="20"/>
      <c r="H55" s="15" t="str">
        <f>IF(IFERROR(SEARCH("NEJ",CONCATENATE(" ",G56)),1)=1,"OK","NEJ")</f>
        <v>NEJ</v>
      </c>
      <c r="K55" s="34"/>
      <c r="L55" s="36"/>
      <c r="M55" s="36"/>
      <c r="R55" s="42"/>
      <c r="S55" s="40" t="str">
        <f t="shared" si="4"/>
        <v>Enterokokker, Temperatur, NVOC, Natrium, Ammonium, Mangan, Chlorid, Sulfat, Nitrat, Nitrit, Fluorid, Aluminium, Antimon, Arsen, Bly, Cadmium, Kobolt, Chrom, Cyanid, Kobber, Kviksølv, Nikkel, Selen, Sølv, Zink, Acrylamid, Epichlorhydrin, Vinylchlorid</v>
      </c>
    </row>
    <row r="56" spans="5:19" x14ac:dyDescent="0.2">
      <c r="F56" s="7" t="s">
        <v>14</v>
      </c>
      <c r="G56" s="4" t="str">
        <f>IF((IFERROR(SEARCH(K56,Rådata!$B$1000),-1)+IFERROR(SEARCH(L56,Rådata!$B$1000),-1)+IFERROR(SEARCH(M56,Rådata!$B$1000),-1))&gt;0,"-","NEJ")</f>
        <v>NEJ</v>
      </c>
      <c r="K56" s="36" t="str">
        <f>F56</f>
        <v>Pentachlorphenol</v>
      </c>
      <c r="L56" s="36" t="s">
        <v>179</v>
      </c>
      <c r="M56" s="36" t="s">
        <v>179</v>
      </c>
      <c r="R56" s="2" t="str">
        <f t="shared" si="1"/>
        <v>Pentachlorphenol</v>
      </c>
      <c r="S56" s="40" t="str">
        <f t="shared" si="4"/>
        <v>Enterokokker, Temperatur, NVOC, Natrium, Ammonium, Mangan, Chlorid, Sulfat, Nitrat, Nitrit, Fluorid, Aluminium, Antimon, Arsen, Bly, Cadmium, Kobolt, Chrom, Cyanid, Kobber, Kviksølv, Nikkel, Selen, Sølv, Zink, Acrylamid, Epichlorhydrin, Vinylchlorid, Pentachlorphenol</v>
      </c>
    </row>
    <row r="57" spans="5:19" x14ac:dyDescent="0.2">
      <c r="E57" s="48" t="s">
        <v>87</v>
      </c>
      <c r="F57" s="48"/>
      <c r="G57" s="20"/>
      <c r="H57" s="15" t="str">
        <f>IF(IFERROR(SEARCH("NEJ",CONCATENATE(" ",G58,G59,G60,G61,G62,G63,G64,G65,G66,G67,G68,G69)),1)=1,"OK","NEJ")</f>
        <v>NEJ</v>
      </c>
      <c r="K57" s="34"/>
      <c r="L57" s="36"/>
      <c r="M57" s="36"/>
      <c r="R57" s="42"/>
      <c r="S57" s="40" t="str">
        <f t="shared" si="4"/>
        <v>Enterokokker, Temperatur, NVOC, Natrium, Ammonium, Mangan, Chlorid, Sulfat, Nitrat, Nitrit, Fluorid, Aluminium, Antimon, Arsen, Bly, Cadmium, Kobolt, Chrom, Cyanid, Kobber, Kviksølv, Nikkel, Selen, Sølv, Zink, Acrylamid, Epichlorhydrin, Vinylchlorid, Pentachlorphenol</v>
      </c>
    </row>
    <row r="58" spans="5:19" x14ac:dyDescent="0.2">
      <c r="F58" s="9" t="s">
        <v>42</v>
      </c>
      <c r="G58" s="4" t="str">
        <f>IF((IFERROR(SEARCH(K58,Rådata!$B$1000),-1)+IFERROR(SEARCH(L58,Rådata!$B$1000),-1)+IFERROR(SEARCH(M58,Rådata!$B$1000),-1))&gt;0,"-","NEJ")</f>
        <v>NEJ</v>
      </c>
      <c r="I58" s="13"/>
      <c r="K58" s="36" t="str">
        <f t="shared" ref="K58:K69" si="6">F58</f>
        <v>Dichlormethan</v>
      </c>
      <c r="L58" s="36" t="s">
        <v>201</v>
      </c>
      <c r="M58" s="36" t="s">
        <v>179</v>
      </c>
      <c r="R58" s="2" t="str">
        <f t="shared" si="1"/>
        <v>Dichlormethan</v>
      </c>
      <c r="S58"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v>
      </c>
    </row>
    <row r="59" spans="5:19" x14ac:dyDescent="0.2">
      <c r="F59" s="3" t="s">
        <v>92</v>
      </c>
      <c r="G59" s="4" t="str">
        <f>IF((IFERROR(SEARCH(K59,Rådata!$B$1000),-1)+IFERROR(SEARCH(L59,Rådata!$B$1000),-1)+IFERROR(SEARCH(M59,Rådata!$B$1000),-1))&gt;0,"-","NEJ")</f>
        <v>NEJ</v>
      </c>
      <c r="K59" s="36" t="str">
        <f t="shared" si="6"/>
        <v>Trichlormethan</v>
      </c>
      <c r="L59" s="36" t="s">
        <v>179</v>
      </c>
      <c r="M59" s="36" t="s">
        <v>179</v>
      </c>
      <c r="R59" s="2" t="str">
        <f t="shared" si="1"/>
        <v>Trichlormethan</v>
      </c>
      <c r="S59"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v>
      </c>
    </row>
    <row r="60" spans="5:19" x14ac:dyDescent="0.2">
      <c r="F60" s="3" t="s">
        <v>44</v>
      </c>
      <c r="G60" s="4" t="str">
        <f>IF((IFERROR(SEARCH(K60,Rådata!$B$1000),-1)+IFERROR(SEARCH(L60,Rådata!$B$1000),-1)+IFERROR(SEARCH(M60,Rådata!$B$1000),-1))&gt;0,"-","NEJ")</f>
        <v>NEJ</v>
      </c>
      <c r="K60" s="36" t="str">
        <f t="shared" si="6"/>
        <v>1,2-dichlorethan</v>
      </c>
      <c r="L60" s="36" t="s">
        <v>179</v>
      </c>
      <c r="M60" s="36" t="s">
        <v>179</v>
      </c>
      <c r="R60" s="2" t="str">
        <f t="shared" si="1"/>
        <v>1,2-dichlorethan</v>
      </c>
      <c r="S60"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v>
      </c>
    </row>
    <row r="61" spans="5:19" x14ac:dyDescent="0.2">
      <c r="F61" s="3" t="s">
        <v>47</v>
      </c>
      <c r="G61" s="4" t="str">
        <f>IF((IFERROR(SEARCH(K61,Rådata!$B$1000),-1)+IFERROR(SEARCH(L61,Rådata!$B$1000),-1)+IFERROR(SEARCH(M61,Rådata!$B$1000),-1))&gt;0,"-","NEJ")</f>
        <v>NEJ</v>
      </c>
      <c r="K61" s="36" t="str">
        <f t="shared" si="6"/>
        <v>Trichlorethen</v>
      </c>
      <c r="L61" s="36" t="s">
        <v>202</v>
      </c>
      <c r="M61" s="36" t="s">
        <v>179</v>
      </c>
      <c r="R61" s="2" t="str">
        <f t="shared" si="1"/>
        <v>Trichlorethen</v>
      </c>
      <c r="S61"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v>
      </c>
    </row>
    <row r="62" spans="5:19" x14ac:dyDescent="0.2">
      <c r="F62" s="3" t="s">
        <v>50</v>
      </c>
      <c r="G62" s="4" t="str">
        <f>IF((IFERROR(SEARCH(K62,Rådata!$B$1000),-1)+IFERROR(SEARCH(L62,Rådata!$B$1000),-1)+IFERROR(SEARCH(M62,Rådata!$B$1000),-1))&gt;0,"-","NEJ")</f>
        <v>NEJ</v>
      </c>
      <c r="K62" s="36" t="str">
        <f t="shared" si="6"/>
        <v>Tetrachlorethen</v>
      </c>
      <c r="L62" s="36" t="s">
        <v>203</v>
      </c>
      <c r="M62" s="36" t="s">
        <v>179</v>
      </c>
      <c r="R62" s="2" t="str">
        <f t="shared" si="1"/>
        <v>Tetrachlorethen</v>
      </c>
      <c r="S62"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v>
      </c>
    </row>
    <row r="63" spans="5:19" x14ac:dyDescent="0.2">
      <c r="F63" s="3" t="s">
        <v>43</v>
      </c>
      <c r="G63" s="4" t="str">
        <f>IF((IFERROR(SEARCH(K63,Rådata!$B$1000),-1)+IFERROR(SEARCH(L63,Rådata!$B$1000),-1)+IFERROR(SEARCH(M63,Rådata!$B$1000),-1))&gt;0,"-","NEJ")</f>
        <v>NEJ</v>
      </c>
      <c r="K63" s="36" t="str">
        <f t="shared" si="6"/>
        <v>1,1-dichlorethen</v>
      </c>
      <c r="L63" s="36" t="s">
        <v>204</v>
      </c>
      <c r="M63" s="36" t="s">
        <v>179</v>
      </c>
      <c r="R63" s="2" t="str">
        <f t="shared" si="1"/>
        <v>1,1-dichlorethen</v>
      </c>
      <c r="S63"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v>
      </c>
    </row>
    <row r="64" spans="5:19" x14ac:dyDescent="0.2">
      <c r="F64" s="3" t="s">
        <v>231</v>
      </c>
      <c r="G64" s="4" t="str">
        <f>IF((IFERROR(SEARCH(K64,Rådata!$B$1000),-1)+IFERROR(SEARCH(L64,Rådata!$B$1000),-1)+IFERROR(SEARCH(M64,Rådata!$B$1000),-1))&gt;0,"-","NEJ")</f>
        <v>NEJ</v>
      </c>
      <c r="K64" s="36" t="str">
        <f t="shared" si="6"/>
        <v>Cis-1,2-dichlorethen</v>
      </c>
      <c r="L64" s="36" t="s">
        <v>205</v>
      </c>
      <c r="M64" s="36" t="s">
        <v>179</v>
      </c>
      <c r="R64" s="2" t="str">
        <f t="shared" si="1"/>
        <v>Cis-1,2-dichlorethen</v>
      </c>
      <c r="S64"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v>
      </c>
    </row>
    <row r="65" spans="5:19" x14ac:dyDescent="0.2">
      <c r="F65" s="3" t="s">
        <v>93</v>
      </c>
      <c r="G65" s="4" t="str">
        <f>IF((IFERROR(SEARCH(K65,Rådata!$B$1000),-1)+IFERROR(SEARCH(L65,Rådata!$B$1000),-1)+IFERROR(SEARCH(M65,Rådata!$B$1000),-1))&gt;0,"-","NEJ")</f>
        <v>NEJ</v>
      </c>
      <c r="K65" s="36" t="str">
        <f t="shared" si="6"/>
        <v>Trans-1,2-dichlorethen</v>
      </c>
      <c r="L65" s="36" t="s">
        <v>206</v>
      </c>
      <c r="M65" s="36" t="s">
        <v>179</v>
      </c>
      <c r="R65" s="2" t="str">
        <f t="shared" si="1"/>
        <v>Trans-1,2-dichlorethen</v>
      </c>
      <c r="S65"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v>
      </c>
    </row>
    <row r="66" spans="5:19" x14ac:dyDescent="0.2">
      <c r="F66" s="3" t="s">
        <v>45</v>
      </c>
      <c r="G66" s="4" t="str">
        <f>IF((IFERROR(SEARCH(K66,Rådata!$B$1000),-1)+IFERROR(SEARCH(L66,Rådata!$B$1000),-1)+IFERROR(SEARCH(M66,Rådata!$B$1000),-1))&gt;0,"-","NEJ")</f>
        <v>NEJ</v>
      </c>
      <c r="K66" s="36" t="str">
        <f t="shared" si="6"/>
        <v>1,1,1-trichlorethan</v>
      </c>
      <c r="L66" s="36" t="s">
        <v>179</v>
      </c>
      <c r="M66" s="36" t="s">
        <v>179</v>
      </c>
      <c r="R66" s="2" t="str">
        <f t="shared" si="1"/>
        <v>1,1,1-trichlorethan</v>
      </c>
      <c r="S66"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v>
      </c>
    </row>
    <row r="67" spans="5:19" x14ac:dyDescent="0.2">
      <c r="F67" s="3" t="s">
        <v>46</v>
      </c>
      <c r="G67" s="4" t="str">
        <f>IF((IFERROR(SEARCH(K67,Rådata!$B$1000),-1)+IFERROR(SEARCH(L67,Rådata!$B$1000),-1)+IFERROR(SEARCH(M67,Rådata!$B$1000),-1))&gt;0,"-","NEJ")</f>
        <v>NEJ</v>
      </c>
      <c r="K67" s="36" t="str">
        <f t="shared" si="6"/>
        <v>1,1,2-trichlorethan</v>
      </c>
      <c r="L67" s="36" t="s">
        <v>179</v>
      </c>
      <c r="M67" s="36" t="s">
        <v>179</v>
      </c>
      <c r="R67" s="2" t="str">
        <f t="shared" si="1"/>
        <v>1,1,2-trichlorethan</v>
      </c>
      <c r="S67"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v>
      </c>
    </row>
    <row r="68" spans="5:19" x14ac:dyDescent="0.2">
      <c r="F68" s="3" t="s">
        <v>49</v>
      </c>
      <c r="G68" s="4" t="str">
        <f>IF((IFERROR(SEARCH(K68,Rådata!$B$1000),-1)+IFERROR(SEARCH(L68,Rådata!$B$1000),-1)+IFERROR(SEARCH(M68,Rådata!$B$1000),-1))&gt;0,"-","NEJ")</f>
        <v>NEJ</v>
      </c>
      <c r="K68" s="36" t="str">
        <f t="shared" si="6"/>
        <v>1,1,2,2-tetrachlorethan</v>
      </c>
      <c r="L68" s="36" t="s">
        <v>179</v>
      </c>
      <c r="M68" s="36" t="s">
        <v>179</v>
      </c>
      <c r="R68" s="2" t="str">
        <f t="shared" si="1"/>
        <v>1,1,2,2-tetrachlorethan</v>
      </c>
      <c r="S68"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v>
      </c>
    </row>
    <row r="69" spans="5:19" x14ac:dyDescent="0.2">
      <c r="F69" s="10" t="s">
        <v>48</v>
      </c>
      <c r="G69" s="4" t="str">
        <f>IF((IFERROR(SEARCH(K69,Rådata!$B$1000),-1)+IFERROR(SEARCH(L69,Rådata!$B$1000),-1)+IFERROR(SEARCH(M69,Rådata!$B$1000),-1))&gt;0,"-","NEJ")</f>
        <v>NEJ</v>
      </c>
      <c r="K69" s="36" t="str">
        <f t="shared" si="6"/>
        <v>1,1,1,2-tetrachlorethan</v>
      </c>
      <c r="L69" s="36" t="s">
        <v>179</v>
      </c>
      <c r="M69" s="36" t="s">
        <v>179</v>
      </c>
      <c r="R69" s="2" t="str">
        <f t="shared" si="1"/>
        <v>1,1,1,2-tetrachlorethan</v>
      </c>
      <c r="S69"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0" spans="5:19" x14ac:dyDescent="0.2">
      <c r="E70" s="48" t="s">
        <v>88</v>
      </c>
      <c r="F70" s="48"/>
      <c r="G70" s="20"/>
      <c r="H70" s="15" t="str">
        <f>IF(IFERROR(SEARCH("NEJ",CONCATENATE(" ",G71)),1)=1,"OK","NEJ")</f>
        <v>NEJ</v>
      </c>
      <c r="K70" s="34"/>
      <c r="L70" s="36"/>
      <c r="M70" s="36"/>
      <c r="R70" s="42"/>
      <c r="S70"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1" spans="5:19" x14ac:dyDescent="0.2">
      <c r="F71" s="7" t="s">
        <v>10</v>
      </c>
      <c r="G71" s="4" t="str">
        <f>IF((IFERROR(SEARCH(K71,Rådata!$B$1000),-1)+IFERROR(SEARCH(L71,Rådata!$B$1000),-1)+IFERROR(SEARCH(M71,Rådata!$B$1000),-1))&gt;0,"-","NEJ")</f>
        <v>NEJ</v>
      </c>
      <c r="K71" s="36" t="str">
        <f>F71</f>
        <v>Benzen</v>
      </c>
      <c r="L71" s="36" t="s">
        <v>179</v>
      </c>
      <c r="M71" s="36" t="s">
        <v>179</v>
      </c>
      <c r="R71" s="2" t="str">
        <f t="shared" ref="R71:R133" si="7">IF(G71="NEJ",F71,"")</f>
        <v>Benzen</v>
      </c>
      <c r="S71"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2" spans="5:19" x14ac:dyDescent="0.2">
      <c r="E72" s="48" t="s">
        <v>89</v>
      </c>
      <c r="F72" s="48"/>
      <c r="G72" s="20"/>
      <c r="H72" s="15" t="str">
        <f>IF(IFERROR(SEARCH("NEJ",CONCATENATE(" ",G73,G74,G75,G76,G77,G78)),1)=1,"OK","NEJ")</f>
        <v>NEJ</v>
      </c>
      <c r="K72" s="34"/>
      <c r="L72" s="36"/>
      <c r="M72" s="36"/>
      <c r="R72" s="42"/>
      <c r="S72"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3" spans="5:19" x14ac:dyDescent="0.2">
      <c r="F73" s="9" t="s">
        <v>12</v>
      </c>
      <c r="G73" s="4" t="str">
        <f>IF((IFERROR(SEARCH(K73,Rådata!$B$1000),-1)+IFERROR(SEARCH(L73,Rådata!$B$1000),-1)+IFERROR(SEARCH(M73,Rådata!$B$1000),-1))&gt;0,"-","NEJ")</f>
        <v>NEJ</v>
      </c>
      <c r="K73" s="36" t="str">
        <f>F73</f>
        <v>Benzo(a)pyren</v>
      </c>
      <c r="L73" s="36" t="s">
        <v>179</v>
      </c>
      <c r="M73" s="36" t="s">
        <v>179</v>
      </c>
      <c r="R73" s="2" t="str">
        <f t="shared" si="7"/>
        <v>Benzo(a)pyren</v>
      </c>
      <c r="S73"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v>
      </c>
    </row>
    <row r="74" spans="5:19" x14ac:dyDescent="0.2">
      <c r="F74" s="3" t="s">
        <v>11</v>
      </c>
      <c r="G74" s="4" t="str">
        <f>IF((IFERROR(SEARCH(K74,Rådata!$B$1000),-1)+IFERROR(SEARCH(L74,Rådata!$B$1000),-1)+IFERROR(SEARCH(M74,Rådata!$B$1000),-1))&gt;0,"-","NEJ")</f>
        <v>NEJ</v>
      </c>
      <c r="K74" s="36" t="str">
        <f>F74</f>
        <v>Fluoranthen</v>
      </c>
      <c r="L74" s="36" t="s">
        <v>179</v>
      </c>
      <c r="M74" s="36" t="s">
        <v>179</v>
      </c>
      <c r="R74" s="2" t="str">
        <f t="shared" si="7"/>
        <v>Fluoranthen</v>
      </c>
      <c r="S74"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v>
      </c>
    </row>
    <row r="75" spans="5:19" x14ac:dyDescent="0.2">
      <c r="F75" s="3" t="s">
        <v>232</v>
      </c>
      <c r="G75" s="4" t="str">
        <f>IF((IFERROR(SEARCH(K75,Rådata!$B$1000),-1)+IFERROR(SEARCH(L75,Rådata!$B$1000),-1)+IFERROR(SEARCH(M75,Rådata!$B$1000),-1))&gt;0,"-","NEJ")</f>
        <v>NEJ</v>
      </c>
      <c r="K75" s="36" t="str">
        <f>F75</f>
        <v>Benzo(b)fluoranthen</v>
      </c>
      <c r="L75" s="36" t="s">
        <v>207</v>
      </c>
      <c r="M75" s="36" t="s">
        <v>179</v>
      </c>
      <c r="R75" s="2" t="str">
        <f t="shared" si="7"/>
        <v>Benzo(b)fluoranthen</v>
      </c>
      <c r="S75"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v>
      </c>
    </row>
    <row r="76" spans="5:19" x14ac:dyDescent="0.2">
      <c r="F76" s="3" t="s">
        <v>233</v>
      </c>
      <c r="G76" s="4" t="str">
        <f>IF((IFERROR(SEARCH(K76,Rådata!$B$1000),-1)+IFERROR(SEARCH(L76,Rådata!$B$1000),-1)+IFERROR(SEARCH(M76,Rådata!$B$1000),-1))&gt;0,"-","NEJ")</f>
        <v>NEJ</v>
      </c>
      <c r="K76" s="36" t="str">
        <f>F76</f>
        <v>Benzo(k)fluoranthen</v>
      </c>
      <c r="L76" s="36" t="s">
        <v>207</v>
      </c>
      <c r="M76" s="36" t="s">
        <v>179</v>
      </c>
      <c r="R76" s="2" t="str">
        <f t="shared" si="7"/>
        <v>Benzo(k)fluoranthen</v>
      </c>
      <c r="S76"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v>
      </c>
    </row>
    <row r="77" spans="5:19" x14ac:dyDescent="0.2">
      <c r="F77" s="3" t="s">
        <v>234</v>
      </c>
      <c r="G77" s="4" t="str">
        <f>IF((IFERROR(SEARCH(K77,Rådata!$B$1000),-1)+IFERROR(SEARCH(L77,Rådata!$B$1000),-1)+IFERROR(SEARCH(M77,Rådata!$B$1000),-1))&gt;0,"-","NEJ")</f>
        <v>NEJ</v>
      </c>
      <c r="K77" s="36" t="s">
        <v>130</v>
      </c>
      <c r="L77" s="36" t="s">
        <v>179</v>
      </c>
      <c r="M77" s="36" t="s">
        <v>179</v>
      </c>
      <c r="R77" s="2" t="str">
        <f t="shared" si="7"/>
        <v>Benzo(ghi)perylen</v>
      </c>
      <c r="S77"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v>
      </c>
    </row>
    <row r="78" spans="5:19" x14ac:dyDescent="0.2">
      <c r="F78" s="10" t="s">
        <v>235</v>
      </c>
      <c r="G78" s="4" t="str">
        <f>IF((IFERROR(SEARCH(K78,Rådata!$B$1000),-1)+IFERROR(SEARCH(L78,Rådata!$B$1000),-1)+IFERROR(SEARCH(M78,Rådata!$B$1000),-1))&gt;0,"-","NEJ")</f>
        <v>NEJ</v>
      </c>
      <c r="K78" s="36" t="str">
        <f>F78</f>
        <v>Indeno(1,2,3-cd)pyren</v>
      </c>
      <c r="L78" s="36" t="s">
        <v>179</v>
      </c>
      <c r="M78" s="36" t="s">
        <v>179</v>
      </c>
      <c r="R78" s="2" t="str">
        <f t="shared" si="7"/>
        <v>Indeno(1,2,3-cd)pyren</v>
      </c>
      <c r="S78"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79" spans="5:19" x14ac:dyDescent="0.2">
      <c r="E79" s="48" t="s">
        <v>90</v>
      </c>
      <c r="F79" s="48"/>
      <c r="G79" s="20"/>
      <c r="H79" s="15" t="str">
        <f>IF(IFERROR(SEARCH("NEJ",CONCATENATE(" ",G80,G81,G82,G83,G84,G85,G86,G87,G88,G89,G90,G91,G92)),1)=1,"OK","NEJ")</f>
        <v>NEJ</v>
      </c>
      <c r="K79" s="34"/>
      <c r="L79" s="36"/>
      <c r="M79" s="36"/>
      <c r="R79" s="42"/>
      <c r="S79"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80" spans="5:19" x14ac:dyDescent="0.2">
      <c r="F80" s="9" t="s">
        <v>94</v>
      </c>
      <c r="G80" s="4" t="str">
        <f>IF((IFERROR(SEARCH(K80,Rådata!$B$1000),-1)+IFERROR(SEARCH(L80,Rådata!$B$1000),-1)+IFERROR(SEARCH(M80,Rådata!$B$1000),-1))&gt;0,"-","NEJ")</f>
        <v>NEJ</v>
      </c>
      <c r="K80" s="36" t="s">
        <v>131</v>
      </c>
      <c r="L80" s="36" t="s">
        <v>179</v>
      </c>
      <c r="M80" s="36" t="s">
        <v>179</v>
      </c>
      <c r="R80" s="2" t="str">
        <f t="shared" si="7"/>
        <v>PFBS (perfluorbutansulfonsyre)</v>
      </c>
      <c r="S80"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v>
      </c>
    </row>
    <row r="81" spans="5:19" x14ac:dyDescent="0.2">
      <c r="F81" s="3" t="s">
        <v>95</v>
      </c>
      <c r="G81" s="4" t="str">
        <f>IF((IFERROR(SEARCH(K81,Rådata!$B$1000),-1)+IFERROR(SEARCH(L81,Rådata!$B$1000),-1)+IFERROR(SEARCH(M81,Rådata!$B$1000),-1))&gt;0,"-","NEJ")</f>
        <v>NEJ</v>
      </c>
      <c r="K81" s="36" t="s">
        <v>132</v>
      </c>
      <c r="L81" s="36" t="s">
        <v>179</v>
      </c>
      <c r="M81" s="36" t="s">
        <v>179</v>
      </c>
      <c r="R81" s="2" t="str">
        <f t="shared" si="7"/>
        <v>PFHxS (perfluorhexansulfonsyre)</v>
      </c>
      <c r="S81"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v>
      </c>
    </row>
    <row r="82" spans="5:19" x14ac:dyDescent="0.2">
      <c r="F82" s="3" t="s">
        <v>96</v>
      </c>
      <c r="G82" s="4" t="str">
        <f>IF((IFERROR(SEARCH(K82,Rådata!$B$1000),-1)+IFERROR(SEARCH(L82,Rådata!$B$1000),-1)+IFERROR(SEARCH(M82,Rådata!$B$1000),-1))&gt;0,"-","NEJ")</f>
        <v>NEJ</v>
      </c>
      <c r="K82" s="36" t="s">
        <v>140</v>
      </c>
      <c r="L82" s="36" t="s">
        <v>179</v>
      </c>
      <c r="M82" s="36" t="s">
        <v>179</v>
      </c>
      <c r="R82" s="2" t="str">
        <f t="shared" si="7"/>
        <v>PFOS (perfluoroctansulfonsyre)</v>
      </c>
      <c r="S82"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v>
      </c>
    </row>
    <row r="83" spans="5:19" x14ac:dyDescent="0.2">
      <c r="F83" s="3" t="s">
        <v>97</v>
      </c>
      <c r="G83" s="4" t="str">
        <f>IF((IFERROR(SEARCH(K83,Rådata!$B$1000),-1)+IFERROR(SEARCH(L83,Rådata!$B$1000),-1)+IFERROR(SEARCH(M83,Rådata!$B$1000),-1))&gt;0,"-","NEJ")</f>
        <v>NEJ</v>
      </c>
      <c r="K83" s="36" t="s">
        <v>141</v>
      </c>
      <c r="L83" s="36" t="s">
        <v>179</v>
      </c>
      <c r="M83" s="36" t="s">
        <v>179</v>
      </c>
      <c r="R83" s="2" t="str">
        <f t="shared" si="7"/>
        <v>PFOSA (perfluoroctansulfonamid)</v>
      </c>
      <c r="S83"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v>
      </c>
    </row>
    <row r="84" spans="5:19" x14ac:dyDescent="0.2">
      <c r="F84" s="3" t="s">
        <v>98</v>
      </c>
      <c r="G84" s="4" t="str">
        <f>IF((IFERROR(SEARCH(K84,Rådata!$B$1000),-1)+IFERROR(SEARCH(L84,Rådata!$B$1000),-1)+IFERROR(SEARCH(M84,Rådata!$B$1000),-1))&gt;0,"-","NEJ")</f>
        <v>NEJ</v>
      </c>
      <c r="K84" s="36" t="s">
        <v>142</v>
      </c>
      <c r="L84" s="36" t="s">
        <v>208</v>
      </c>
      <c r="M84" s="36" t="s">
        <v>179</v>
      </c>
      <c r="R84" s="2" t="str">
        <f t="shared" si="7"/>
        <v>6:2 FTS (6:2 fluorotelomersulfonsyre)</v>
      </c>
      <c r="S84"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v>
      </c>
    </row>
    <row r="85" spans="5:19" x14ac:dyDescent="0.2">
      <c r="F85" s="3" t="s">
        <v>99</v>
      </c>
      <c r="G85" s="4" t="str">
        <f>IF((IFERROR(SEARCH(K85,Rådata!$B$1000),-1)+IFERROR(SEARCH(L85,Rådata!$B$1000),-1)+IFERROR(SEARCH(M85,Rådata!$B$1000),-1))&gt;0,"-","NEJ")</f>
        <v>NEJ</v>
      </c>
      <c r="K85" s="36" t="s">
        <v>133</v>
      </c>
      <c r="L85" s="36" t="s">
        <v>210</v>
      </c>
      <c r="M85" s="36" t="s">
        <v>179</v>
      </c>
      <c r="R85" s="2" t="str">
        <f t="shared" si="7"/>
        <v>PFBA (perfluorbutansyre)</v>
      </c>
      <c r="S85"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v>
      </c>
    </row>
    <row r="86" spans="5:19" x14ac:dyDescent="0.2">
      <c r="F86" s="3" t="s">
        <v>100</v>
      </c>
      <c r="G86" s="4" t="str">
        <f>IF((IFERROR(SEARCH(K86,Rådata!$B$1000),-1)+IFERROR(SEARCH(L86,Rådata!$B$1000),-1)+IFERROR(SEARCH(M86,Rådata!$B$1000),-1))&gt;0,"-","NEJ")</f>
        <v>NEJ</v>
      </c>
      <c r="K86" s="36" t="s">
        <v>134</v>
      </c>
      <c r="L86" s="36" t="s">
        <v>179</v>
      </c>
      <c r="M86" s="36" t="s">
        <v>179</v>
      </c>
      <c r="R86" s="2" t="str">
        <f t="shared" si="7"/>
        <v>PFPeA (perfluorpentansyre)</v>
      </c>
      <c r="S86"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v>
      </c>
    </row>
    <row r="87" spans="5:19" x14ac:dyDescent="0.2">
      <c r="F87" s="3" t="s">
        <v>101</v>
      </c>
      <c r="G87" s="4" t="str">
        <f>IF((IFERROR(SEARCH(K87,Rådata!$B$1000),-1)+IFERROR(SEARCH(L87,Rådata!$B$1000),-1)+IFERROR(SEARCH(M87,Rådata!$B$1000),-1))&gt;0,"-","NEJ")</f>
        <v>NEJ</v>
      </c>
      <c r="K87" s="36" t="s">
        <v>135</v>
      </c>
      <c r="L87" s="36" t="s">
        <v>211</v>
      </c>
      <c r="M87" s="36" t="s">
        <v>179</v>
      </c>
      <c r="R87" s="2" t="str">
        <f t="shared" si="7"/>
        <v>PFHxA (perfluorhexansyre)</v>
      </c>
      <c r="S87"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v>
      </c>
    </row>
    <row r="88" spans="5:19" x14ac:dyDescent="0.2">
      <c r="F88" s="3" t="s">
        <v>102</v>
      </c>
      <c r="G88" s="4" t="str">
        <f>IF((IFERROR(SEARCH(K88,Rådata!$B$1000),-1)+IFERROR(SEARCH(L88,Rådata!$B$1000),-1)+IFERROR(SEARCH(M88,Rådata!$B$1000),-1))&gt;0,"-","NEJ")</f>
        <v>NEJ</v>
      </c>
      <c r="K88" s="36" t="s">
        <v>136</v>
      </c>
      <c r="L88" s="36" t="s">
        <v>212</v>
      </c>
      <c r="M88" s="36" t="s">
        <v>179</v>
      </c>
      <c r="R88" s="2" t="str">
        <f t="shared" si="7"/>
        <v>PFHpA (perfluorheptansyre)</v>
      </c>
      <c r="S88" s="40" t="str">
        <f t="shared" si="4"/>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v>
      </c>
    </row>
    <row r="89" spans="5:19" x14ac:dyDescent="0.2">
      <c r="F89" s="3" t="s">
        <v>103</v>
      </c>
      <c r="G89" s="4" t="str">
        <f>IF((IFERROR(SEARCH(K89,Rådata!$B$1000),-1)+IFERROR(SEARCH(L89,Rådata!$B$1000),-1)+IFERROR(SEARCH(M89,Rådata!$B$1000),-1))&gt;0,"-","NEJ")</f>
        <v>NEJ</v>
      </c>
      <c r="K89" s="36" t="s">
        <v>139</v>
      </c>
      <c r="L89" s="36" t="s">
        <v>179</v>
      </c>
      <c r="M89" s="36" t="s">
        <v>179</v>
      </c>
      <c r="R89" s="2" t="str">
        <f t="shared" si="7"/>
        <v>PFOA (perfluoroctansyre)</v>
      </c>
      <c r="S89" s="40" t="str">
        <f t="shared" ref="S89:S152" si="8">IF(R89="",S88,S88&amp;", "&amp;R89)</f>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v>
      </c>
    </row>
    <row r="90" spans="5:19" x14ac:dyDescent="0.2">
      <c r="F90" s="3" t="s">
        <v>104</v>
      </c>
      <c r="G90" s="4" t="str">
        <f>IF((IFERROR(SEARCH(K90,Rådata!$B$1000),-1)+IFERROR(SEARCH(L90,Rådata!$B$1000),-1)+IFERROR(SEARCH(M90,Rådata!$B$1000),-1))&gt;0,"-","NEJ")</f>
        <v>NEJ</v>
      </c>
      <c r="K90" s="36" t="s">
        <v>137</v>
      </c>
      <c r="L90" s="38" t="s">
        <v>213</v>
      </c>
      <c r="M90" s="36" t="s">
        <v>179</v>
      </c>
      <c r="R90" s="2" t="str">
        <f t="shared" si="7"/>
        <v>PFNA (perfluornonansyre)</v>
      </c>
      <c r="S90"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v>
      </c>
    </row>
    <row r="91" spans="5:19" x14ac:dyDescent="0.2">
      <c r="F91" s="3" t="s">
        <v>105</v>
      </c>
      <c r="G91" s="4" t="str">
        <f>IF((IFERROR(SEARCH(K91,Rådata!$B$1000),-1)+IFERROR(SEARCH(L91,Rådata!$B$1000),-1)+IFERROR(SEARCH(M91,Rådata!$B$1000),-1))&gt;0,"-","NEJ")</f>
        <v>NEJ</v>
      </c>
      <c r="K91" s="36" t="s">
        <v>138</v>
      </c>
      <c r="L91" s="36" t="s">
        <v>214</v>
      </c>
      <c r="M91" s="36" t="s">
        <v>179</v>
      </c>
      <c r="R91" s="2" t="str">
        <f t="shared" si="7"/>
        <v>PFDA (perfluordecansyre)</v>
      </c>
      <c r="S91"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v>
      </c>
    </row>
    <row r="92" spans="5:19" x14ac:dyDescent="0.2">
      <c r="F92" s="10" t="s">
        <v>106</v>
      </c>
      <c r="G92" s="4" t="str">
        <f>IF((IFERROR(SEARCH(K92,Rådata!$B$1000),-1)+IFERROR(SEARCH(L92,Rådata!$B$1000),-1)+IFERROR(SEARCH(M92,Rådata!$B$1000),-1))&gt;0,"-","NEJ")</f>
        <v>NEJ</v>
      </c>
      <c r="K92" s="36" t="s">
        <v>13</v>
      </c>
      <c r="L92" s="36" t="s">
        <v>209</v>
      </c>
      <c r="M92" s="36" t="s">
        <v>179</v>
      </c>
      <c r="R92" s="2" t="str">
        <f t="shared" si="7"/>
        <v>Sum af PFAS</v>
      </c>
      <c r="S92"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3" spans="5:19" x14ac:dyDescent="0.2">
      <c r="E93" s="48" t="s">
        <v>107</v>
      </c>
      <c r="F93" s="48"/>
      <c r="G93" s="20"/>
      <c r="K93" s="34"/>
      <c r="L93" s="36"/>
      <c r="M93" s="36"/>
      <c r="R93" s="42"/>
      <c r="S93"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4" spans="5:19" x14ac:dyDescent="0.2">
      <c r="E94" s="48" t="s">
        <v>108</v>
      </c>
      <c r="F94" s="48"/>
      <c r="G94" s="20"/>
      <c r="H94" s="15" t="str">
        <f>IF(IFERROR(SEARCH("NEJ",CONCATENATE(" ",G95,G96,G97,G98,G99,G100,G101,G102,G103,G104,G105,G106,G107,G108,G109,G110,G111)),1)=1,"OK","NEJ")</f>
        <v>NEJ</v>
      </c>
      <c r="K94" s="34"/>
      <c r="L94" s="36"/>
      <c r="M94" s="36"/>
      <c r="R94" s="42"/>
      <c r="S94"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5" spans="5:19" x14ac:dyDescent="0.2">
      <c r="F95" s="9" t="s">
        <v>17</v>
      </c>
      <c r="G95" s="4" t="str">
        <f>IF((IFERROR(SEARCH(K95,Rådata!$B$1000),-1)+IFERROR(SEARCH(L95,Rådata!$B$1000),-1)+IFERROR(SEARCH(M95,Rådata!$B$1000),-1))&gt;0,"-","NEJ")</f>
        <v>NEJ</v>
      </c>
      <c r="K95" s="36" t="str">
        <f t="shared" ref="K95:K103" si="9">F95</f>
        <v>Aldrin</v>
      </c>
      <c r="L95" s="36" t="s">
        <v>179</v>
      </c>
      <c r="M95" s="36" t="s">
        <v>179</v>
      </c>
      <c r="R95" s="2" t="str">
        <f t="shared" si="7"/>
        <v>Aldrin</v>
      </c>
      <c r="S95"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v>
      </c>
    </row>
    <row r="96" spans="5:19" x14ac:dyDescent="0.2">
      <c r="F96" s="3" t="s">
        <v>236</v>
      </c>
      <c r="G96" s="4" t="str">
        <f>IF((IFERROR(SEARCH(K96,Rådata!$B$1000),-1)+IFERROR(SEARCH(L96,Rådata!$B$1000),-1)+IFERROR(SEARCH(M96,Rådata!$B$1000),-1))&gt;0,"-","NEJ")</f>
        <v>NEJ</v>
      </c>
      <c r="K96" s="36" t="str">
        <f t="shared" si="9"/>
        <v>Dieldrin</v>
      </c>
      <c r="L96" s="36" t="s">
        <v>179</v>
      </c>
      <c r="M96" s="36" t="s">
        <v>179</v>
      </c>
      <c r="R96" s="2" t="str">
        <f t="shared" si="7"/>
        <v>Dieldrin</v>
      </c>
      <c r="S96"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v>
      </c>
    </row>
    <row r="97" spans="5:19" x14ac:dyDescent="0.2">
      <c r="F97" s="3" t="s">
        <v>237</v>
      </c>
      <c r="G97" s="4" t="str">
        <f>IF((IFERROR(SEARCH(K97,Rådata!$B$1000),-1)+IFERROR(SEARCH(L97,Rådata!$B$1000),-1)+IFERROR(SEARCH(M97,Rådata!$B$1000),-1))&gt;0,"-","NEJ")</f>
        <v>NEJ</v>
      </c>
      <c r="K97" s="36" t="str">
        <f t="shared" si="9"/>
        <v>Heptachlor</v>
      </c>
      <c r="L97" s="36" t="s">
        <v>179</v>
      </c>
      <c r="M97" s="36" t="s">
        <v>179</v>
      </c>
      <c r="R97" s="2" t="str">
        <f t="shared" si="7"/>
        <v>Heptachlor</v>
      </c>
      <c r="S97"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v>
      </c>
    </row>
    <row r="98" spans="5:19" x14ac:dyDescent="0.2">
      <c r="F98" s="3" t="s">
        <v>238</v>
      </c>
      <c r="G98" s="4" t="str">
        <f>IF((IFERROR(SEARCH(K98,Rådata!$B$1000),-1)+IFERROR(SEARCH(L98,Rådata!$B$1000),-1)+IFERROR(SEARCH(M98,Rådata!$B$1000),-1))&gt;0,"-","NEJ")</f>
        <v>NEJ</v>
      </c>
      <c r="K98" s="36" t="str">
        <f t="shared" si="9"/>
        <v>Heptachlorepoxid</v>
      </c>
      <c r="L98" s="36" t="s">
        <v>179</v>
      </c>
      <c r="M98" s="36" t="s">
        <v>179</v>
      </c>
      <c r="R98" s="2" t="str">
        <f t="shared" si="7"/>
        <v>Heptachlorepoxid</v>
      </c>
      <c r="S98"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v>
      </c>
    </row>
    <row r="99" spans="5:19" x14ac:dyDescent="0.2">
      <c r="F99" s="3" t="s">
        <v>19</v>
      </c>
      <c r="G99" s="4" t="str">
        <f>IF((IFERROR(SEARCH(K99,Rådata!$B$1000),-1)+IFERROR(SEARCH(L99,Rådata!$B$1000),-1)+IFERROR(SEARCH(M99,Rådata!$B$1000),-1))&gt;0,"-","NEJ")</f>
        <v>NEJ</v>
      </c>
      <c r="K99" s="36" t="str">
        <f t="shared" si="9"/>
        <v>Atrazin</v>
      </c>
      <c r="L99" s="36" t="s">
        <v>179</v>
      </c>
      <c r="M99" s="36" t="s">
        <v>179</v>
      </c>
      <c r="R99" s="2" t="str">
        <f t="shared" si="7"/>
        <v>Atrazin</v>
      </c>
      <c r="S99"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v>
      </c>
    </row>
    <row r="100" spans="5:19" x14ac:dyDescent="0.2">
      <c r="F100" s="3" t="s">
        <v>20</v>
      </c>
      <c r="G100" s="4" t="str">
        <f>IF((IFERROR(SEARCH(K100,Rådata!$B$1000),-1)+IFERROR(SEARCH(L100,Rådata!$B$1000),-1)+IFERROR(SEARCH(M100,Rådata!$B$1000),-1))&gt;0,"-","NEJ")</f>
        <v>NEJ</v>
      </c>
      <c r="K100" s="36" t="str">
        <f t="shared" si="9"/>
        <v>Bentazon</v>
      </c>
      <c r="L100" s="36" t="s">
        <v>179</v>
      </c>
      <c r="M100" s="36" t="s">
        <v>179</v>
      </c>
      <c r="R100" s="2" t="str">
        <f t="shared" si="7"/>
        <v>Bentazon</v>
      </c>
      <c r="S100"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v>
      </c>
    </row>
    <row r="101" spans="5:19" x14ac:dyDescent="0.2">
      <c r="F101" s="3" t="s">
        <v>28</v>
      </c>
      <c r="G101" s="4" t="str">
        <f>IF((IFERROR(SEARCH(K101,Rådata!$B$1000),-1)+IFERROR(SEARCH(L101,Rådata!$B$1000),-1)+IFERROR(SEARCH(M101,Rådata!$B$1000),-1))&gt;0,"-","NEJ")</f>
        <v>NEJ</v>
      </c>
      <c r="K101" s="36" t="str">
        <f t="shared" si="9"/>
        <v>Dichlobenil</v>
      </c>
      <c r="L101" s="36" t="s">
        <v>179</v>
      </c>
      <c r="M101" s="36" t="s">
        <v>179</v>
      </c>
      <c r="R101" s="2" t="str">
        <f t="shared" si="7"/>
        <v>Dichlobenil</v>
      </c>
      <c r="S101"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v>
      </c>
    </row>
    <row r="102" spans="5:19" x14ac:dyDescent="0.2">
      <c r="F102" s="3" t="s">
        <v>109</v>
      </c>
      <c r="G102" s="4" t="str">
        <f>IF((IFERROR(SEARCH(K102,Rådata!$B$1000),-1)+IFERROR(SEARCH(L102,Rådata!$B$1000),-1)+IFERROR(SEARCH(M102,Rådata!$B$1000),-1))&gt;0,"-","NEJ")</f>
        <v>NEJ</v>
      </c>
      <c r="K102" s="36" t="str">
        <f t="shared" si="9"/>
        <v>Dichlorprop</v>
      </c>
      <c r="L102" s="36" t="s">
        <v>179</v>
      </c>
      <c r="M102" s="36" t="s">
        <v>179</v>
      </c>
      <c r="R102" s="2" t="str">
        <f t="shared" si="7"/>
        <v>Dichlorprop</v>
      </c>
      <c r="S102"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v>
      </c>
    </row>
    <row r="103" spans="5:19" x14ac:dyDescent="0.2">
      <c r="F103" s="3" t="s">
        <v>30</v>
      </c>
      <c r="G103" s="4" t="str">
        <f>IF((IFERROR(SEARCH(K103,Rådata!$B$1000),-1)+IFERROR(SEARCH(L103,Rådata!$B$1000),-1)+IFERROR(SEARCH(M103,Rådata!$B$1000),-1))&gt;0,"-","NEJ")</f>
        <v>NEJ</v>
      </c>
      <c r="K103" s="36" t="str">
        <f t="shared" si="9"/>
        <v>Diuron</v>
      </c>
      <c r="L103" s="36" t="s">
        <v>179</v>
      </c>
      <c r="M103" s="36" t="s">
        <v>179</v>
      </c>
      <c r="R103" s="2" t="str">
        <f t="shared" si="7"/>
        <v>Diuron</v>
      </c>
      <c r="S103"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v>
      </c>
    </row>
    <row r="104" spans="5:19" x14ac:dyDescent="0.2">
      <c r="F104" s="3" t="s">
        <v>110</v>
      </c>
      <c r="G104" s="4" t="str">
        <f>IF((IFERROR(SEARCH(K104,Rådata!$B$1000),-1)+IFERROR(SEARCH(L104,Rådata!$B$1000),-1)+IFERROR(SEARCH(M104,Rådata!$B$1000),-1))&gt;0,"-","NEJ")</f>
        <v>NEJ</v>
      </c>
      <c r="K104" s="36" t="s">
        <v>143</v>
      </c>
      <c r="L104" s="36" t="s">
        <v>179</v>
      </c>
      <c r="M104" s="36" t="s">
        <v>179</v>
      </c>
      <c r="R104" s="2" t="str">
        <f t="shared" si="7"/>
        <v>ETU (Ethylenthiourea)</v>
      </c>
      <c r="S104"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v>
      </c>
    </row>
    <row r="105" spans="5:19" x14ac:dyDescent="0.2">
      <c r="F105" s="3" t="s">
        <v>31</v>
      </c>
      <c r="G105" s="4" t="str">
        <f>IF((IFERROR(SEARCH(K105,Rådata!$B$1000),-1)+IFERROR(SEARCH(L105,Rådata!$B$1000),-1)+IFERROR(SEARCH(M105,Rådata!$B$1000),-1))&gt;0,"-","NEJ")</f>
        <v>NEJ</v>
      </c>
      <c r="K105" s="36" t="str">
        <f>F105</f>
        <v>Glyphosat</v>
      </c>
      <c r="L105" s="36" t="s">
        <v>179</v>
      </c>
      <c r="M105" s="36" t="s">
        <v>179</v>
      </c>
      <c r="R105" s="2" t="str">
        <f t="shared" si="7"/>
        <v>Glyphosat</v>
      </c>
      <c r="S105"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v>
      </c>
    </row>
    <row r="106" spans="5:19" x14ac:dyDescent="0.2">
      <c r="F106" s="3" t="s">
        <v>32</v>
      </c>
      <c r="G106" s="4" t="str">
        <f>IF((IFERROR(SEARCH(K106,Rådata!$B$1000),-1)+IFERROR(SEARCH(L106,Rådata!$B$1000),-1)+IFERROR(SEARCH(M106,Rådata!$B$1000),-1))&gt;0,"-","NEJ")</f>
        <v>NEJ</v>
      </c>
      <c r="K106" s="36" t="str">
        <f>F106</f>
        <v>Hexazinon</v>
      </c>
      <c r="L106" s="36" t="s">
        <v>179</v>
      </c>
      <c r="M106" s="36" t="s">
        <v>179</v>
      </c>
      <c r="R106" s="2" t="str">
        <f t="shared" si="7"/>
        <v>Hexazinon</v>
      </c>
      <c r="S106"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v>
      </c>
    </row>
    <row r="107" spans="5:19" x14ac:dyDescent="0.2">
      <c r="F107" s="3" t="s">
        <v>35</v>
      </c>
      <c r="G107" s="4" t="str">
        <f>IF((IFERROR(SEARCH(K107,Rådata!$B$1000),-1)+IFERROR(SEARCH(L107,Rådata!$B$1000),-1)+IFERROR(SEARCH(M107,Rådata!$B$1000),-1))&gt;0,"-","NEJ")</f>
        <v>NEJ</v>
      </c>
      <c r="K107" s="36" t="str">
        <f>F107</f>
        <v>MCPA</v>
      </c>
      <c r="L107" s="36" t="s">
        <v>179</v>
      </c>
      <c r="M107" s="36" t="s">
        <v>179</v>
      </c>
      <c r="R107" s="2" t="str">
        <f t="shared" si="7"/>
        <v>MCPA</v>
      </c>
      <c r="S107"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v>
      </c>
    </row>
    <row r="108" spans="5:19" x14ac:dyDescent="0.2">
      <c r="F108" s="3" t="s">
        <v>111</v>
      </c>
      <c r="G108" s="4" t="str">
        <f>IF((IFERROR(SEARCH(K108,Rådata!$B$1000),-1)+IFERROR(SEARCH(L108,Rådata!$B$1000),-1)+IFERROR(SEARCH(M108,Rådata!$B$1000),-1))&gt;0,"-","NEJ")</f>
        <v>NEJ</v>
      </c>
      <c r="K108" s="36" t="str">
        <f>F108</f>
        <v>Mechlorprop</v>
      </c>
      <c r="L108" s="36" t="s">
        <v>179</v>
      </c>
      <c r="M108" s="36" t="s">
        <v>179</v>
      </c>
      <c r="R108" s="2" t="str">
        <f t="shared" si="7"/>
        <v>Mechlorprop</v>
      </c>
      <c r="S108"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v>
      </c>
    </row>
    <row r="109" spans="5:19" x14ac:dyDescent="0.2">
      <c r="F109" s="3" t="s">
        <v>112</v>
      </c>
      <c r="G109" s="4" t="str">
        <f>IF((IFERROR(SEARCH(K109,Rådata!$B$1000),-1)+IFERROR(SEARCH(L109,Rådata!$B$1000),-1)+IFERROR(SEARCH(M109,Rådata!$B$1000),-1))&gt;0,"-","NEJ")</f>
        <v>NEJ</v>
      </c>
      <c r="K109" s="36" t="s">
        <v>144</v>
      </c>
      <c r="L109" s="36" t="s">
        <v>179</v>
      </c>
      <c r="M109" s="36" t="s">
        <v>179</v>
      </c>
      <c r="R109" s="2" t="str">
        <f t="shared" si="7"/>
        <v>Metalaxyl/metalaxyl-M</v>
      </c>
      <c r="S109"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v>
      </c>
    </row>
    <row r="110" spans="5:19" x14ac:dyDescent="0.2">
      <c r="F110" s="3" t="s">
        <v>36</v>
      </c>
      <c r="G110" s="4" t="str">
        <f>IF((IFERROR(SEARCH(K110,Rådata!$B$1000),-1)+IFERROR(SEARCH(L110,Rådata!$B$1000),-1)+IFERROR(SEARCH(M110,Rådata!$B$1000),-1))&gt;0,"-","NEJ")</f>
        <v>NEJ</v>
      </c>
      <c r="K110" s="36" t="str">
        <f>F110</f>
        <v>Metribuzin</v>
      </c>
      <c r="L110" s="36" t="s">
        <v>179</v>
      </c>
      <c r="M110" s="36" t="s">
        <v>179</v>
      </c>
      <c r="R110" s="2" t="str">
        <f t="shared" si="7"/>
        <v>Metribuzin</v>
      </c>
      <c r="S110"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v>
      </c>
    </row>
    <row r="111" spans="5:19" x14ac:dyDescent="0.2">
      <c r="F111" s="3" t="s">
        <v>40</v>
      </c>
      <c r="G111" s="4" t="str">
        <f>IF((IFERROR(SEARCH(K111,Rådata!$B$1000),-1)+IFERROR(SEARCH(L111,Rådata!$B$1000),-1)+IFERROR(SEARCH(M111,Rådata!$B$1000),-1))&gt;0,"-","NEJ")</f>
        <v>NEJ</v>
      </c>
      <c r="K111" s="36" t="str">
        <f>F111</f>
        <v>Simazin</v>
      </c>
      <c r="L111" s="36" t="s">
        <v>179</v>
      </c>
      <c r="M111" s="36" t="s">
        <v>179</v>
      </c>
      <c r="R111" s="2" t="str">
        <f t="shared" si="7"/>
        <v>Simazin</v>
      </c>
      <c r="S111"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v>
      </c>
    </row>
    <row r="112" spans="5:19" x14ac:dyDescent="0.2">
      <c r="E112" s="48" t="s">
        <v>113</v>
      </c>
      <c r="F112" s="48"/>
      <c r="G112" s="20"/>
      <c r="H112" s="15" t="str">
        <f>IF(IFERROR(SEARCH("NEJ",CONCATENATE(" ",G113,G114,G115,G116,G117,G118,G119,G120,G121,G122,G123,G124,G125,G126,G127,G128,G129,G130,G131,G132,G133,G134,G135,G136,G137,G138)),1)=1,"OK","NEJ")</f>
        <v>NEJ</v>
      </c>
      <c r="K112" s="34"/>
      <c r="L112" s="36"/>
      <c r="M112" s="36"/>
      <c r="R112" s="42"/>
      <c r="S112"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v>
      </c>
    </row>
    <row r="113" spans="6:19" x14ac:dyDescent="0.2">
      <c r="F113" s="9" t="s">
        <v>114</v>
      </c>
      <c r="G113" s="4" t="str">
        <f>IF((IFERROR(SEARCH(K113,Rådata!$B$1000),-1)+IFERROR(SEARCH(L113,Rådata!$B$1000),-1)+IFERROR(SEARCH(M113,Rådata!$B$1000),-1))&gt;0,"-","NEJ")</f>
        <v>NEJ</v>
      </c>
      <c r="K113" s="36" t="s">
        <v>145</v>
      </c>
      <c r="L113" s="36" t="s">
        <v>179</v>
      </c>
      <c r="M113" s="36" t="s">
        <v>179</v>
      </c>
      <c r="R113" s="2" t="str">
        <f t="shared" si="7"/>
        <v>1,2,4-triazol</v>
      </c>
      <c r="S113"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v>
      </c>
    </row>
    <row r="114" spans="6:19" x14ac:dyDescent="0.2">
      <c r="F114" s="3" t="s">
        <v>115</v>
      </c>
      <c r="G114" s="4" t="str">
        <f>IF((IFERROR(SEARCH(K114,Rådata!$B$1000),-1)+IFERROR(SEARCH(L114,Rådata!$B$1000),-1)+IFERROR(SEARCH(M114,Rådata!$B$1000),-1))&gt;0,"-","NEJ")</f>
        <v>NEJ</v>
      </c>
      <c r="K114" s="36" t="str">
        <f>F114</f>
        <v>2,6-Dichlorbenzosyre</v>
      </c>
      <c r="L114" s="36" t="s">
        <v>179</v>
      </c>
      <c r="M114" s="36" t="s">
        <v>179</v>
      </c>
      <c r="R114" s="2" t="str">
        <f t="shared" si="7"/>
        <v>2,6-Dichlorbenzosyre</v>
      </c>
      <c r="S114"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v>
      </c>
    </row>
    <row r="115" spans="6:19" x14ac:dyDescent="0.2">
      <c r="F115" s="3" t="s">
        <v>116</v>
      </c>
      <c r="G115" s="4" t="str">
        <f>IF((IFERROR(SEARCH(K115,Rådata!$B$1000),-1)+IFERROR(SEARCH(L115,Rådata!$B$1000),-1)+IFERROR(SEARCH(M115,Rådata!$B$1000),-1))&gt;0,"-","NEJ")</f>
        <v>NEJ</v>
      </c>
      <c r="K115" s="36" t="str">
        <f>F115</f>
        <v>2,4-Dichlorphenol</v>
      </c>
      <c r="L115" s="36" t="s">
        <v>179</v>
      </c>
      <c r="M115" s="36" t="s">
        <v>179</v>
      </c>
      <c r="R115" s="2" t="str">
        <f t="shared" si="7"/>
        <v>2,4-Dichlorphenol</v>
      </c>
      <c r="S115"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v>
      </c>
    </row>
    <row r="116" spans="6:19" x14ac:dyDescent="0.2">
      <c r="F116" s="3" t="s">
        <v>117</v>
      </c>
      <c r="G116" s="4" t="str">
        <f>IF((IFERROR(SEARCH(K116,Rådata!$B$1000),-1)+IFERROR(SEARCH(L116,Rådata!$B$1000),-1)+IFERROR(SEARCH(M116,Rådata!$B$1000),-1))&gt;0,"-","NEJ")</f>
        <v>NEJ</v>
      </c>
      <c r="K116" s="36" t="str">
        <f>F116</f>
        <v>2,6-Dichlorphenol</v>
      </c>
      <c r="L116" s="36" t="s">
        <v>179</v>
      </c>
      <c r="M116" s="36" t="s">
        <v>179</v>
      </c>
      <c r="R116" s="2" t="str">
        <f t="shared" si="7"/>
        <v>2,6-Dichlorphenol</v>
      </c>
      <c r="S116"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v>
      </c>
    </row>
    <row r="117" spans="6:19" x14ac:dyDescent="0.2">
      <c r="F117" s="3" t="s">
        <v>118</v>
      </c>
      <c r="G117" s="4" t="str">
        <f>IF((IFERROR(SEARCH(K117,Rådata!$B$1000),-1)+IFERROR(SEARCH(L117,Rådata!$B$1000),-1)+IFERROR(SEARCH(M117,Rådata!$B$1000),-1))&gt;0,"-","NEJ")</f>
        <v>NEJ</v>
      </c>
      <c r="K117" s="36" t="s">
        <v>16</v>
      </c>
      <c r="L117" s="36" t="s">
        <v>179</v>
      </c>
      <c r="M117" s="36" t="s">
        <v>179</v>
      </c>
      <c r="R117" s="2" t="str">
        <f t="shared" si="7"/>
        <v>4CPP (2-(4-chlorphenoxy)propionsyre)</v>
      </c>
      <c r="S117"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v>
      </c>
    </row>
    <row r="118" spans="6:19" x14ac:dyDescent="0.2">
      <c r="F118" s="3" t="s">
        <v>119</v>
      </c>
      <c r="G118" s="4" t="str">
        <f>IF((IFERROR(SEARCH(K118,Rådata!$B$1000),-1)+IFERROR(SEARCH(L118,Rådata!$B$1000),-1)+IFERROR(SEARCH(M118,Rådata!$B$1000),-1))&gt;0,"-","NEJ")</f>
        <v>NEJ</v>
      </c>
      <c r="K118" s="36" t="s">
        <v>15</v>
      </c>
      <c r="L118" s="36" t="s">
        <v>179</v>
      </c>
      <c r="M118" s="36" t="s">
        <v>179</v>
      </c>
      <c r="R118" s="2" t="str">
        <f t="shared" si="7"/>
        <v>2,6-DCPP (2-(2,6-dichlorphenoxy-propionsyre))</v>
      </c>
      <c r="S118"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119" spans="6:19" x14ac:dyDescent="0.2">
      <c r="F119" s="3" t="s">
        <v>120</v>
      </c>
      <c r="G119" s="4" t="str">
        <f>IF((IFERROR(SEARCH(K119,Rådata!$B$1000),-1)+IFERROR(SEARCH(L119,Rådata!$B$1000),-1)+IFERROR(SEARCH(M119,Rådata!$B$1000),-1))&gt;0,"-","NEJ")</f>
        <v>NEJ</v>
      </c>
      <c r="K119" s="36" t="str">
        <f>F119</f>
        <v>4-Nitrophenol</v>
      </c>
      <c r="L119" s="36" t="s">
        <v>179</v>
      </c>
      <c r="M119" s="36" t="s">
        <v>179</v>
      </c>
      <c r="R119" s="2" t="str">
        <f t="shared" si="7"/>
        <v>4-Nitrophenol</v>
      </c>
      <c r="S119"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120" spans="6:19" x14ac:dyDescent="0.2">
      <c r="F120" s="3" t="s">
        <v>121</v>
      </c>
      <c r="G120" s="4" t="str">
        <f>IF((IFERROR(SEARCH(K120,Rådata!$B$1000),-1)+IFERROR(SEARCH(L120,Rådata!$B$1000),-1)+IFERROR(SEARCH(M120,Rådata!$B$1000),-1))&gt;0,"-","NEJ")</f>
        <v>NEJ</v>
      </c>
      <c r="K120" s="36" t="s">
        <v>18</v>
      </c>
      <c r="L120" s="36" t="s">
        <v>179</v>
      </c>
      <c r="M120" s="36" t="s">
        <v>179</v>
      </c>
      <c r="R120" s="2" t="str">
        <f t="shared" si="7"/>
        <v>AMPA (Aminomethylphosphorsyre)</v>
      </c>
      <c r="S120"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121" spans="6:19" x14ac:dyDescent="0.2">
      <c r="F121" s="3" t="s">
        <v>122</v>
      </c>
      <c r="G121" s="4" t="str">
        <f>IF((IFERROR(SEARCH(K121,Rådata!$B$1000),-1)+IFERROR(SEARCH(L121,Rådata!$B$1000),-1)+IFERROR(SEARCH(M121,Rådata!$B$1000),-1))&gt;0,"-","NEJ")</f>
        <v>NEJ</v>
      </c>
      <c r="K121" s="36" t="s">
        <v>146</v>
      </c>
      <c r="L121" s="36" t="s">
        <v>179</v>
      </c>
      <c r="M121" s="36" t="s">
        <v>179</v>
      </c>
      <c r="R121" s="2" t="str">
        <f t="shared" si="7"/>
        <v>BAM (2,6-Dichlorbenzamid)</v>
      </c>
      <c r="S121"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122" spans="6:19" x14ac:dyDescent="0.2">
      <c r="F122" s="3" t="s">
        <v>123</v>
      </c>
      <c r="G122" s="4" t="str">
        <f>IF((IFERROR(SEARCH(K122,Rådata!$B$1000),-1)+IFERROR(SEARCH(L122,Rådata!$B$1000),-1)+IFERROR(SEARCH(M122,Rådata!$B$1000),-1))&gt;0,"-","NEJ")</f>
        <v>NEJ</v>
      </c>
      <c r="K122" s="36" t="s">
        <v>149</v>
      </c>
      <c r="L122" s="36" t="s">
        <v>179</v>
      </c>
      <c r="M122" s="36" t="s">
        <v>179</v>
      </c>
      <c r="R122" s="2" t="str">
        <f t="shared" si="7"/>
        <v>N-(2, 6-dimethylphenyl)-N-(Methoxyacetyl)alanin (CGA62826)</v>
      </c>
      <c r="S122"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123" spans="6:19" x14ac:dyDescent="0.2">
      <c r="F123" s="3" t="s">
        <v>124</v>
      </c>
      <c r="G123" s="4" t="str">
        <f>IF((IFERROR(SEARCH(K123,Rådata!$B$1000),-1)+IFERROR(SEARCH(L123,Rådata!$B$1000),-1)+IFERROR(SEARCH(M123,Rådata!$B$1000),-1))&gt;0,"-","NEJ")</f>
        <v>NEJ</v>
      </c>
      <c r="K123" s="36" t="s">
        <v>21</v>
      </c>
      <c r="L123" s="36" t="s">
        <v>179</v>
      </c>
      <c r="M123" s="36" t="s">
        <v>179</v>
      </c>
      <c r="R123" s="2" t="str">
        <f t="shared" si="7"/>
        <v>N-(2-carboxy-6-methylphenyl) N-methoxyacetyl)alanin (CGA108906)</v>
      </c>
      <c r="S123"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124" spans="6:19" x14ac:dyDescent="0.2">
      <c r="F124" s="3" t="s">
        <v>125</v>
      </c>
      <c r="G124" s="4" t="str">
        <f>IF((IFERROR(SEARCH(K124,Rådata!$B$1000),-1)+IFERROR(SEARCH(L124,Rådata!$B$1000),-1)+IFERROR(SEARCH(M124,Rådata!$B$1000),-1))&gt;0,"-","NEJ")</f>
        <v>NEJ</v>
      </c>
      <c r="K124" s="36" t="s">
        <v>24</v>
      </c>
      <c r="L124" s="36" t="s">
        <v>191</v>
      </c>
      <c r="M124" s="36" t="s">
        <v>179</v>
      </c>
      <c r="R124" s="2" t="str">
        <f t="shared" si="7"/>
        <v>DEIA (Desethyldesisopropyl-atrazin)</v>
      </c>
      <c r="S124"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125" spans="6:19" x14ac:dyDescent="0.2">
      <c r="F125" s="3" t="s">
        <v>25</v>
      </c>
      <c r="G125" s="4" t="str">
        <f>IF((IFERROR(SEARCH(K125,Rådata!$B$1000),-1)+IFERROR(SEARCH(L125,Rådata!$B$1000),-1)+IFERROR(SEARCH(M125,Rådata!$B$1000),-1))&gt;0,"-","NEJ")</f>
        <v>NEJ</v>
      </c>
      <c r="K125" s="36" t="str">
        <f>F125</f>
        <v>Desethyl-hydroxy-atrazin</v>
      </c>
      <c r="L125" s="36" t="s">
        <v>185</v>
      </c>
      <c r="M125" s="36" t="s">
        <v>179</v>
      </c>
      <c r="R125" s="2" t="str">
        <f t="shared" si="7"/>
        <v>Desethyl-hydroxy-atrazin</v>
      </c>
      <c r="S125"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126" spans="6:19" x14ac:dyDescent="0.2">
      <c r="F126" s="3" t="s">
        <v>23</v>
      </c>
      <c r="G126" s="4" t="str">
        <f>IF((IFERROR(SEARCH(K126,Rådata!$B$1000),-1)+IFERROR(SEARCH(L126,Rådata!$B$1000),-1)+IFERROR(SEARCH(M126,Rådata!$B$1000),-1))&gt;0,"-","NEJ")</f>
        <v>NEJ</v>
      </c>
      <c r="K126" s="36" t="str">
        <f>F126</f>
        <v>Desethyl-atrazin</v>
      </c>
      <c r="L126" s="36" t="s">
        <v>186</v>
      </c>
      <c r="M126" s="36" t="s">
        <v>220</v>
      </c>
      <c r="R126" s="2" t="str">
        <f t="shared" si="7"/>
        <v>Desethyl-atrazin</v>
      </c>
      <c r="S126"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127" spans="6:19" x14ac:dyDescent="0.2">
      <c r="F127" s="3" t="s">
        <v>26</v>
      </c>
      <c r="G127" s="4" t="str">
        <f>IF((IFERROR(SEARCH(K127,Rådata!$B$1000),-1)+IFERROR(SEARCH(L127,Rådata!$B$1000),-1)+IFERROR(SEARCH(M127,Rådata!$B$1000),-1))&gt;0,"-","NEJ")</f>
        <v>NEJ</v>
      </c>
      <c r="K127" s="36" t="str">
        <f>F127</f>
        <v>Desethyl-terbutylazin</v>
      </c>
      <c r="L127" s="36" t="s">
        <v>187</v>
      </c>
      <c r="M127" s="36" t="s">
        <v>179</v>
      </c>
      <c r="R127" s="2" t="str">
        <f t="shared" si="7"/>
        <v>Desethyl-terbutylazin</v>
      </c>
      <c r="S127"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128" spans="6:19" x14ac:dyDescent="0.2">
      <c r="F128" s="3" t="s">
        <v>27</v>
      </c>
      <c r="G128" s="4" t="str">
        <f>IF((IFERROR(SEARCH(K128,Rådata!$B$1000),-1)+IFERROR(SEARCH(L128,Rådata!$B$1000),-1)+IFERROR(SEARCH(M128,Rådata!$B$1000),-1))&gt;0,"-","NEJ")</f>
        <v>NEJ</v>
      </c>
      <c r="K128" s="36" t="str">
        <f>F128</f>
        <v>Desisopropyl-atrazin</v>
      </c>
      <c r="L128" s="36" t="s">
        <v>188</v>
      </c>
      <c r="M128" s="36" t="s">
        <v>179</v>
      </c>
      <c r="R128" s="2" t="str">
        <f t="shared" si="7"/>
        <v>Desisopropyl-atrazin</v>
      </c>
      <c r="S128"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129" spans="5:19" x14ac:dyDescent="0.2">
      <c r="F129" s="3" t="s">
        <v>22</v>
      </c>
      <c r="G129" s="4" t="str">
        <f>IF((IFERROR(SEARCH(K129,Rådata!$B$1000),-1)+IFERROR(SEARCH(L129,Rådata!$B$1000),-1)+IFERROR(SEARCH(M129,Rådata!$B$1000),-1))&gt;0,"-","NEJ")</f>
        <v>NEJ</v>
      </c>
      <c r="K129" s="36" t="str">
        <f>F129</f>
        <v>Deisopropyl-hydroxy-atrazin</v>
      </c>
      <c r="L129" s="36" t="s">
        <v>193</v>
      </c>
      <c r="M129" s="36" t="s">
        <v>194</v>
      </c>
      <c r="R129" s="2" t="str">
        <f t="shared" si="7"/>
        <v>Deisopropyl-hydroxy-atrazin</v>
      </c>
      <c r="S129"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v>
      </c>
    </row>
    <row r="130" spans="5:19" x14ac:dyDescent="0.2">
      <c r="F130" s="3" t="s">
        <v>126</v>
      </c>
      <c r="G130" s="4" t="str">
        <f>IF((IFERROR(SEARCH(K130,Rådata!$B$1000),-1)+IFERROR(SEARCH(L130,Rådata!$B$1000),-1)+IFERROR(SEARCH(M130,Rådata!$B$1000),-1))&gt;0,"-","NEJ")</f>
        <v>NEJ</v>
      </c>
      <c r="K130" s="36" t="s">
        <v>148</v>
      </c>
      <c r="L130" s="36" t="s">
        <v>189</v>
      </c>
      <c r="M130" s="36" t="s">
        <v>195</v>
      </c>
      <c r="R130" s="2" t="str">
        <f t="shared" si="7"/>
        <v>Desphenyl-chloridazon</v>
      </c>
      <c r="S130"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v>
      </c>
    </row>
    <row r="131" spans="5:19" x14ac:dyDescent="0.2">
      <c r="F131" s="3" t="s">
        <v>29</v>
      </c>
      <c r="G131" s="4" t="str">
        <f>IF((IFERROR(SEARCH(K131,Rådata!$B$1000),-1)+IFERROR(SEARCH(L131,Rådata!$B$1000),-1)+IFERROR(SEARCH(M131,Rådata!$B$1000),-1))&gt;0,"-","NEJ")</f>
        <v>NEJ</v>
      </c>
      <c r="K131" s="36" t="str">
        <f>F131</f>
        <v>Didealkyl-hydroxy-atrazin</v>
      </c>
      <c r="L131" s="36" t="s">
        <v>190</v>
      </c>
      <c r="M131" s="36" t="s">
        <v>179</v>
      </c>
      <c r="R131" s="2" t="str">
        <f t="shared" si="7"/>
        <v>Didealkyl-hydroxy-atrazin</v>
      </c>
      <c r="S131"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v>
      </c>
    </row>
    <row r="132" spans="5:19" x14ac:dyDescent="0.2">
      <c r="F132" s="3" t="s">
        <v>33</v>
      </c>
      <c r="G132" s="4" t="str">
        <f>IF((IFERROR(SEARCH(K132,Rådata!$B$1000),-1)+IFERROR(SEARCH(L132,Rådata!$B$1000),-1)+IFERROR(SEARCH(M132,Rådata!$B$1000),-1))&gt;0,"-","NEJ")</f>
        <v>NEJ</v>
      </c>
      <c r="K132" s="36" t="str">
        <f>F132</f>
        <v>Hydroxyatrazin</v>
      </c>
      <c r="L132" s="36" t="s">
        <v>179</v>
      </c>
      <c r="M132" s="36" t="s">
        <v>179</v>
      </c>
      <c r="R132" s="2" t="str">
        <f t="shared" si="7"/>
        <v>Hydroxyatrazin</v>
      </c>
      <c r="S132"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v>
      </c>
    </row>
    <row r="133" spans="5:19" x14ac:dyDescent="0.2">
      <c r="F133" s="3" t="s">
        <v>34</v>
      </c>
      <c r="G133" s="4" t="str">
        <f>IF((IFERROR(SEARCH(K133,Rådata!$B$1000),-1)+IFERROR(SEARCH(L133,Rådata!$B$1000),-1)+IFERROR(SEARCH(M133,Rådata!$B$1000),-1))&gt;0,"-","NEJ")</f>
        <v>NEJ</v>
      </c>
      <c r="K133" s="36" t="str">
        <f>F133</f>
        <v>Hydroxysimazin</v>
      </c>
      <c r="L133" s="36" t="s">
        <v>179</v>
      </c>
      <c r="M133" s="36" t="s">
        <v>179</v>
      </c>
      <c r="R133" s="2" t="str">
        <f t="shared" si="7"/>
        <v>Hydroxysimazin</v>
      </c>
      <c r="S133"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v>
      </c>
    </row>
    <row r="134" spans="5:19" x14ac:dyDescent="0.2">
      <c r="F134" s="3" t="s">
        <v>127</v>
      </c>
      <c r="G134" s="4" t="str">
        <f>IF((IFERROR(SEARCH(K134,Rådata!$B$1000),-1)+IFERROR(SEARCH(L134,Rådata!$B$1000),-1)+IFERROR(SEARCH(M134,Rådata!$B$1000),-1))&gt;0,"-","NEJ")</f>
        <v>NEJ</v>
      </c>
      <c r="K134" s="36" t="s">
        <v>147</v>
      </c>
      <c r="L134" s="36" t="s">
        <v>127</v>
      </c>
      <c r="M134" s="36" t="s">
        <v>196</v>
      </c>
      <c r="R134" s="2" t="str">
        <f t="shared" ref="R134:R196" si="10">IF(G134="NEJ",F134,"")</f>
        <v>Methyl-desphenyl-chloridazon</v>
      </c>
      <c r="S134"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v>
      </c>
    </row>
    <row r="135" spans="5:19" x14ac:dyDescent="0.2">
      <c r="F135" s="3" t="s">
        <v>38</v>
      </c>
      <c r="G135" s="4" t="str">
        <f>IF((IFERROR(SEARCH(K135,Rådata!$B$1000),-1)+IFERROR(SEARCH(L135,Rådata!$B$1000),-1)+IFERROR(SEARCH(M135,Rådata!$B$1000),-1))&gt;0,"-","NEJ")</f>
        <v>NEJ</v>
      </c>
      <c r="K135" s="36" t="str">
        <f>F135</f>
        <v>Metribuzin-desamino-diketo</v>
      </c>
      <c r="L135" s="36" t="s">
        <v>197</v>
      </c>
      <c r="M135" s="36" t="s">
        <v>179</v>
      </c>
      <c r="R135" s="2" t="str">
        <f t="shared" si="10"/>
        <v>Metribuzin-desamino-diketo</v>
      </c>
      <c r="S135"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v>
      </c>
    </row>
    <row r="136" spans="5:19" x14ac:dyDescent="0.2">
      <c r="F136" s="3" t="s">
        <v>39</v>
      </c>
      <c r="G136" s="4" t="str">
        <f>IF((IFERROR(SEARCH(K136,Rådata!$B$1000),-1)+IFERROR(SEARCH(L136,Rådata!$B$1000),-1)+IFERROR(SEARCH(M136,Rådata!$B$1000),-1))&gt;0,"-","NEJ")</f>
        <v>NEJ</v>
      </c>
      <c r="K136" s="36" t="str">
        <f>F136</f>
        <v>Metribuzin-diketo</v>
      </c>
      <c r="L136" s="36" t="s">
        <v>222</v>
      </c>
      <c r="M136" s="36" t="s">
        <v>179</v>
      </c>
      <c r="R136" s="2" t="str">
        <f t="shared" si="10"/>
        <v>Metribuzin-diketo</v>
      </c>
      <c r="S136"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137" spans="5:19" x14ac:dyDescent="0.2">
      <c r="F137" s="3" t="s">
        <v>37</v>
      </c>
      <c r="G137" s="4" t="str">
        <f>IF((IFERROR(SEARCH(K137,Rådata!$B$1000),-1)+IFERROR(SEARCH(L137,Rådata!$B$1000),-1)+IFERROR(SEARCH(M137,Rådata!$B$1000),-1))&gt;0,"-","NEJ")</f>
        <v>NEJ</v>
      </c>
      <c r="K137" s="36" t="str">
        <f>F137</f>
        <v>Metribuzin-desamino</v>
      </c>
      <c r="L137" s="36" t="s">
        <v>179</v>
      </c>
      <c r="M137" s="36" t="s">
        <v>179</v>
      </c>
      <c r="R137" s="2" t="str">
        <f t="shared" si="10"/>
        <v>Metribuzin-desamino</v>
      </c>
      <c r="S137"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138" spans="5:19" x14ac:dyDescent="0.2">
      <c r="F138" s="3" t="s">
        <v>128</v>
      </c>
      <c r="G138" s="4" t="str">
        <f>IF((IFERROR(SEARCH(K138,Rådata!$B$1000),-1)+IFERROR(SEARCH(L138,Rådata!$B$1000),-1)+IFERROR(SEARCH(M138,Rådata!$B$1000),-1))&gt;0,"-","NEJ")</f>
        <v>NEJ</v>
      </c>
      <c r="K138" s="36" t="str">
        <f>F138</f>
        <v>Sum af pesticider</v>
      </c>
      <c r="L138" s="36" t="s">
        <v>180</v>
      </c>
      <c r="M138" s="36" t="s">
        <v>181</v>
      </c>
      <c r="R138" s="2" t="str">
        <f t="shared" si="10"/>
        <v>Sum af pesticider</v>
      </c>
      <c r="S138" s="40" t="str">
        <f t="shared" si="8"/>
        <v>Enterokokker, Temperatur, NVOC, Natrium, Ammonium, Mangan, Chlorid, Sulfat, Nitrat, Nitrit, Fluorid, Aluminium, Antimon, Arsen, Bly,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139" spans="5:19" x14ac:dyDescent="0.2">
      <c r="K139" s="35"/>
      <c r="L139" s="35"/>
      <c r="M139" s="35"/>
      <c r="R139" s="42"/>
      <c r="S139" s="40"/>
    </row>
    <row r="140" spans="5:19" x14ac:dyDescent="0.2">
      <c r="E140" s="47" t="s">
        <v>176</v>
      </c>
      <c r="F140" s="47"/>
      <c r="G140" s="17" t="str">
        <f>IF(IFERROR(SEARCH("NEJ",CONCATENATE(" ",H142,H144,H149)),1)=1,"OK","NEJ")</f>
        <v>NEJ</v>
      </c>
      <c r="H140" s="12" t="str">
        <f>IF(G140="OK","",RIGHT(S157,LEN(S157)))</f>
        <v>Nitrit, Enterokokker, Aluminium, Arsen, Bly, Cadmium, Chrom, Kobber, Nikkel, Zink</v>
      </c>
      <c r="K140" s="39"/>
      <c r="L140" s="35"/>
      <c r="M140" s="35"/>
      <c r="R140" s="42"/>
      <c r="S140" s="40"/>
    </row>
    <row r="141" spans="5:19" x14ac:dyDescent="0.2">
      <c r="F141" s="19"/>
      <c r="G141" s="5"/>
      <c r="K141" s="35"/>
      <c r="L141" s="35"/>
      <c r="M141" s="35"/>
      <c r="R141" s="42"/>
      <c r="S141" s="40"/>
    </row>
    <row r="142" spans="5:19" x14ac:dyDescent="0.2">
      <c r="E142" s="48" t="s">
        <v>63</v>
      </c>
      <c r="F142" s="48"/>
      <c r="G142" s="14"/>
      <c r="H142" s="15" t="str">
        <f>IF(IFERROR(SEARCH("NEJ"," "&amp;G143),1)=1,"OK","NEJ")</f>
        <v>NEJ</v>
      </c>
      <c r="K142" s="31"/>
      <c r="L142" s="35"/>
      <c r="M142" s="35"/>
      <c r="R142" s="42"/>
      <c r="S142" s="40"/>
    </row>
    <row r="143" spans="5:19" x14ac:dyDescent="0.2">
      <c r="F143" s="7" t="s">
        <v>4</v>
      </c>
      <c r="G143" s="4" t="str">
        <f>IF((IFERROR(SEARCH(K143,Rådata!$B$1000),-1)+IFERROR(SEARCH(L143,Rådata!$B$1000),-1)+IFERROR(SEARCH(M143,Rådata!$B$1000),-1))&gt;0,"-","NEJ")</f>
        <v>NEJ</v>
      </c>
      <c r="K143" s="32" t="str">
        <f>K18</f>
        <v>Nitrit</v>
      </c>
      <c r="L143" s="32" t="str">
        <f t="shared" ref="L143:M143" si="11">L18</f>
        <v>Her kan et synonym indsættes</v>
      </c>
      <c r="M143" s="32" t="str">
        <f t="shared" si="11"/>
        <v>Her kan et synonym indsættes</v>
      </c>
      <c r="R143" s="2" t="str">
        <f t="shared" si="10"/>
        <v>Nitrit</v>
      </c>
      <c r="S143" s="40" t="str">
        <f>R143</f>
        <v>Nitrit</v>
      </c>
    </row>
    <row r="144" spans="5:19" x14ac:dyDescent="0.2">
      <c r="E144" s="48" t="s">
        <v>150</v>
      </c>
      <c r="F144" s="48"/>
      <c r="G144" s="14"/>
      <c r="H144" s="15" t="str">
        <f>IF(IFERROR(SEARCH("NEJ",CONCATENATE(" ",G145,G146,G147,G148)),1)=1,"OK","NEJ")</f>
        <v>NEJ</v>
      </c>
      <c r="K144" s="37"/>
      <c r="L144" s="32"/>
      <c r="M144" s="32"/>
      <c r="R144" s="42"/>
      <c r="S144" s="40" t="str">
        <f t="shared" si="8"/>
        <v>Nitrit</v>
      </c>
    </row>
    <row r="145" spans="5:19" x14ac:dyDescent="0.2">
      <c r="F145" s="3" t="s">
        <v>58</v>
      </c>
      <c r="G145" s="4" t="str">
        <f>IF((IFERROR(SEARCH(K145,Rådata!$B$1000),-1)+IFERROR(SEARCH(L145,Rådata!$B$1000),-1)+IFERROR(SEARCH(M145,Rådata!$B$1000),-1))&gt;0,"-","NEJ")</f>
        <v>-</v>
      </c>
      <c r="K145" s="32" t="str">
        <f>K15</f>
        <v>Coliforme bakterier</v>
      </c>
      <c r="L145" s="32" t="str">
        <f t="shared" ref="L145:M145" si="12">L15</f>
        <v>Coliforme bakt.</v>
      </c>
      <c r="M145" s="32" t="str">
        <f t="shared" si="12"/>
        <v>Her kan et synonym indsættes</v>
      </c>
      <c r="R145" s="2" t="str">
        <f t="shared" si="10"/>
        <v/>
      </c>
      <c r="S145" s="40" t="str">
        <f t="shared" si="8"/>
        <v>Nitrit</v>
      </c>
    </row>
    <row r="146" spans="5:19" x14ac:dyDescent="0.2">
      <c r="F146" s="3" t="s">
        <v>59</v>
      </c>
      <c r="G146" s="4" t="str">
        <f>IF((IFERROR(SEARCH(K146,Rådata!$B$1000),-1)+IFERROR(SEARCH(L146,Rådata!$B$1000),-1)+IFERROR(SEARCH(M146,Rådata!$B$1000),-1))&gt;0,"-","NEJ")</f>
        <v>-</v>
      </c>
      <c r="K146" s="32" t="str">
        <f>K16</f>
        <v>Escherichia coli</v>
      </c>
      <c r="L146" s="32" t="str">
        <f t="shared" ref="L146:M146" si="13">L16</f>
        <v>E. coli</v>
      </c>
      <c r="M146" s="32" t="str">
        <f>M16</f>
        <v>E.coli</v>
      </c>
      <c r="R146" s="2" t="str">
        <f t="shared" si="10"/>
        <v/>
      </c>
      <c r="S146" s="40" t="str">
        <f t="shared" si="8"/>
        <v>Nitrit</v>
      </c>
    </row>
    <row r="147" spans="5:19" x14ac:dyDescent="0.2">
      <c r="F147" s="3" t="s">
        <v>57</v>
      </c>
      <c r="G147" s="4" t="str">
        <f>IF((IFERROR(SEARCH(K147,Rådata!$B$1000),-1)+IFERROR(SEARCH(L147,Rådata!$B$1000),-1)+IFERROR(SEARCH(M147,Rådata!$B$1000),-1))&gt;0,"-","NEJ")</f>
        <v>-</v>
      </c>
      <c r="K147" s="32" t="str">
        <f>K14</f>
        <v>Kimtal</v>
      </c>
      <c r="L147" s="32" t="str">
        <f t="shared" ref="L147:M147" si="14">L14</f>
        <v>Her kan et synonym indsættes</v>
      </c>
      <c r="M147" s="32" t="str">
        <f t="shared" si="14"/>
        <v>Her kan et synonym indsættes</v>
      </c>
      <c r="R147" s="2" t="str">
        <f t="shared" si="10"/>
        <v/>
      </c>
      <c r="S147" s="40" t="str">
        <f t="shared" si="8"/>
        <v>Nitrit</v>
      </c>
    </row>
    <row r="148" spans="5:19" x14ac:dyDescent="0.2">
      <c r="F148" s="10" t="s">
        <v>3</v>
      </c>
      <c r="G148" s="4" t="str">
        <f>IF((IFERROR(SEARCH(K148,Rådata!$B$1000),-1)+IFERROR(SEARCH(L148,Rådata!$B$1000),-1)+IFERROR(SEARCH(M148,Rådata!$B$1000),-1))&gt;0,"-","NEJ")</f>
        <v>NEJ</v>
      </c>
      <c r="K148" s="32" t="str">
        <f>K23</f>
        <v>Enterokokker</v>
      </c>
      <c r="L148" s="32" t="str">
        <f t="shared" ref="L148:M148" si="15">L23</f>
        <v>Her kan et synonym indsættes</v>
      </c>
      <c r="M148" s="32" t="str">
        <f t="shared" si="15"/>
        <v>Her kan et synonym indsættes</v>
      </c>
      <c r="R148" s="2" t="str">
        <f t="shared" si="10"/>
        <v>Enterokokker</v>
      </c>
      <c r="S148" s="40" t="str">
        <f t="shared" si="8"/>
        <v>Nitrit, Enterokokker</v>
      </c>
    </row>
    <row r="149" spans="5:19" x14ac:dyDescent="0.2">
      <c r="E149" s="49" t="s">
        <v>151</v>
      </c>
      <c r="F149" s="49"/>
      <c r="G149" s="20"/>
      <c r="H149" s="15" t="str">
        <f>IF(IFERROR(SEARCH("NEJ",CONCATENATE(" ",G150,G151,G152,G153,G154,G155,G156,G157)),1)=1,"OK","NEJ")</f>
        <v>NEJ</v>
      </c>
      <c r="K149" s="32"/>
      <c r="L149" s="32"/>
      <c r="M149" s="32"/>
      <c r="R149" s="42"/>
      <c r="S149" s="40" t="str">
        <f t="shared" si="8"/>
        <v>Nitrit, Enterokokker</v>
      </c>
    </row>
    <row r="150" spans="5:19" x14ac:dyDescent="0.2">
      <c r="F150" s="3" t="s">
        <v>71</v>
      </c>
      <c r="G150" s="4" t="str">
        <f>IF((IFERROR(SEARCH(K150,Rådata!$B$1000),-1)+IFERROR(SEARCH(L150,Rådata!$B$1000),-1)+IFERROR(SEARCH(M150,Rådata!$B$1000),-1))&gt;0,"-","NEJ")</f>
        <v>NEJ</v>
      </c>
      <c r="K150" s="32" t="str">
        <f>K36</f>
        <v>Aluminium</v>
      </c>
      <c r="L150" s="32" t="str">
        <f t="shared" ref="L150:M150" si="16">L36</f>
        <v>Her kan et synonym indsættes</v>
      </c>
      <c r="M150" s="32" t="str">
        <f t="shared" si="16"/>
        <v>Her kan et synonym indsættes</v>
      </c>
      <c r="R150" s="2" t="str">
        <f t="shared" si="10"/>
        <v>Aluminium</v>
      </c>
      <c r="S150" s="40" t="str">
        <f t="shared" si="8"/>
        <v>Nitrit, Enterokokker, Aluminium</v>
      </c>
    </row>
    <row r="151" spans="5:19" x14ac:dyDescent="0.2">
      <c r="F151" s="3" t="s">
        <v>73</v>
      </c>
      <c r="G151" s="4" t="str">
        <f>IF((IFERROR(SEARCH(K151,Rådata!$B$1000),-1)+IFERROR(SEARCH(L151,Rådata!$B$1000),-1)+IFERROR(SEARCH(M151,Rådata!$B$1000),-1))&gt;0,"-","NEJ")</f>
        <v>NEJ</v>
      </c>
      <c r="K151" s="32" t="str">
        <f>K38</f>
        <v>Arsen</v>
      </c>
      <c r="L151" s="32" t="str">
        <f t="shared" ref="L151:M151" si="17">L38</f>
        <v>Her kan et synonym indsættes</v>
      </c>
      <c r="M151" s="32" t="str">
        <f t="shared" si="17"/>
        <v>Her kan et synonym indsættes</v>
      </c>
      <c r="R151" s="2" t="str">
        <f t="shared" si="10"/>
        <v>Arsen</v>
      </c>
      <c r="S151" s="40" t="str">
        <f t="shared" si="8"/>
        <v>Nitrit, Enterokokker, Aluminium, Arsen</v>
      </c>
    </row>
    <row r="152" spans="5:19" x14ac:dyDescent="0.2">
      <c r="F152" s="3" t="s">
        <v>74</v>
      </c>
      <c r="G152" s="4" t="str">
        <f>IF((IFERROR(SEARCH(K152,Rådata!$B$1000),-1)+IFERROR(SEARCH(L152,Rådata!$B$1000),-1)+IFERROR(SEARCH(M152,Rådata!$B$1000),-1))&gt;0,"-","NEJ")</f>
        <v>NEJ</v>
      </c>
      <c r="K152" s="32" t="str">
        <f>K39</f>
        <v>Bly</v>
      </c>
      <c r="L152" s="32" t="str">
        <f t="shared" ref="L152:M152" si="18">L39</f>
        <v>Her kan et synonym indsættes</v>
      </c>
      <c r="M152" s="32" t="str">
        <f t="shared" si="18"/>
        <v>Her kan et synonym indsættes</v>
      </c>
      <c r="R152" s="2" t="str">
        <f t="shared" si="10"/>
        <v>Bly</v>
      </c>
      <c r="S152" s="40" t="str">
        <f t="shared" si="8"/>
        <v>Nitrit, Enterokokker, Aluminium, Arsen, Bly</v>
      </c>
    </row>
    <row r="153" spans="5:19" x14ac:dyDescent="0.2">
      <c r="F153" s="3" t="s">
        <v>76</v>
      </c>
      <c r="G153" s="4" t="str">
        <f>IF((IFERROR(SEARCH(K153,Rådata!$B$1000),-1)+IFERROR(SEARCH(L153,Rådata!$B$1000),-1)+IFERROR(SEARCH(M153,Rådata!$B$1000),-1))&gt;0,"-","NEJ")</f>
        <v>NEJ</v>
      </c>
      <c r="K153" s="32" t="str">
        <f>K41</f>
        <v>Cadmium</v>
      </c>
      <c r="L153" s="32" t="str">
        <f t="shared" ref="L153:M153" si="19">L41</f>
        <v>Her kan et synonym indsættes</v>
      </c>
      <c r="M153" s="32" t="str">
        <f t="shared" si="19"/>
        <v>Her kan et synonym indsættes</v>
      </c>
      <c r="R153" s="2" t="str">
        <f t="shared" si="10"/>
        <v>Cadmium</v>
      </c>
      <c r="S153" s="40" t="str">
        <f t="shared" ref="S153:S216" si="20">IF(R153="",S152,S152&amp;", "&amp;R153)</f>
        <v>Nitrit, Enterokokker, Aluminium, Arsen, Bly, Cadmium</v>
      </c>
    </row>
    <row r="154" spans="5:19" x14ac:dyDescent="0.2">
      <c r="F154" s="3" t="s">
        <v>77</v>
      </c>
      <c r="G154" s="4" t="str">
        <f>IF((IFERROR(SEARCH(K154,Rådata!$B$1000),-1)+IFERROR(SEARCH(L154,Rådata!$B$1000),-1)+IFERROR(SEARCH(M154,Rådata!$B$1000),-1))&gt;0,"-","NEJ")</f>
        <v>NEJ</v>
      </c>
      <c r="K154" s="32" t="str">
        <f>K43</f>
        <v>Chrom</v>
      </c>
      <c r="L154" s="32" t="str">
        <f t="shared" ref="L154:M154" si="21">L43</f>
        <v>krom</v>
      </c>
      <c r="M154" s="32" t="str">
        <f t="shared" si="21"/>
        <v>Her kan et synonym indsættes</v>
      </c>
      <c r="R154" s="2" t="str">
        <f t="shared" si="10"/>
        <v>Chrom</v>
      </c>
      <c r="S154" s="40" t="str">
        <f t="shared" si="20"/>
        <v>Nitrit, Enterokokker, Aluminium, Arsen, Bly, Cadmium, Chrom</v>
      </c>
    </row>
    <row r="155" spans="5:19" x14ac:dyDescent="0.2">
      <c r="F155" s="3" t="s">
        <v>79</v>
      </c>
      <c r="G155" s="4" t="str">
        <f>IF((IFERROR(SEARCH(K155,Rådata!$B$1000),-1)+IFERROR(SEARCH(L155,Rådata!$B$1000),-1)+IFERROR(SEARCH(M155,Rådata!$B$1000),-1))&gt;0,"-","NEJ")</f>
        <v>NEJ</v>
      </c>
      <c r="K155" s="32" t="str">
        <f>K45</f>
        <v>Kobber</v>
      </c>
      <c r="L155" s="32" t="str">
        <f t="shared" ref="L155:M155" si="22">L45</f>
        <v>Copper</v>
      </c>
      <c r="M155" s="32" t="str">
        <f t="shared" si="22"/>
        <v>Her kan et synonym indsættes</v>
      </c>
      <c r="R155" s="2" t="str">
        <f t="shared" si="10"/>
        <v>Kobber</v>
      </c>
      <c r="S155" s="40" t="str">
        <f t="shared" si="20"/>
        <v>Nitrit, Enterokokker, Aluminium, Arsen, Bly, Cadmium, Chrom, Kobber</v>
      </c>
    </row>
    <row r="156" spans="5:19" x14ac:dyDescent="0.2">
      <c r="F156" s="3" t="s">
        <v>81</v>
      </c>
      <c r="G156" s="4" t="str">
        <f>IF((IFERROR(SEARCH(K156,Rådata!$B$1000),-1)+IFERROR(SEARCH(L156,Rådata!$B$1000),-1)+IFERROR(SEARCH(M156,Rådata!$B$1000),-1))&gt;0,"-","NEJ")</f>
        <v>NEJ</v>
      </c>
      <c r="K156" s="32" t="str">
        <f>K47</f>
        <v>Nikkel</v>
      </c>
      <c r="L156" s="32" t="str">
        <f t="shared" ref="L156:M156" si="23">L47</f>
        <v>Her kan et synonym indsættes</v>
      </c>
      <c r="M156" s="32" t="str">
        <f t="shared" si="23"/>
        <v>Her kan et synonym indsættes</v>
      </c>
      <c r="R156" s="2" t="str">
        <f t="shared" si="10"/>
        <v>Nikkel</v>
      </c>
      <c r="S156" s="40" t="str">
        <f t="shared" si="20"/>
        <v>Nitrit, Enterokokker, Aluminium, Arsen, Bly, Cadmium, Chrom, Kobber, Nikkel</v>
      </c>
    </row>
    <row r="157" spans="5:19" x14ac:dyDescent="0.2">
      <c r="F157" s="10" t="s">
        <v>84</v>
      </c>
      <c r="G157" s="4" t="str">
        <f>IF((IFERROR(SEARCH(K157,Rådata!$B$1000),-1)+IFERROR(SEARCH(L157,Rådata!$B$1000),-1)+IFERROR(SEARCH(M157,Rådata!$B$1000),-1))&gt;0,"-","NEJ")</f>
        <v>NEJ</v>
      </c>
      <c r="K157" s="32" t="str">
        <f>K50</f>
        <v>Zink</v>
      </c>
      <c r="L157" s="32" t="str">
        <f t="shared" ref="L157:M157" si="24">L50</f>
        <v>Her kan et synonym indsættes</v>
      </c>
      <c r="M157" s="32" t="str">
        <f t="shared" si="24"/>
        <v>Her kan et synonym indsættes</v>
      </c>
      <c r="R157" s="2" t="str">
        <f t="shared" si="10"/>
        <v>Zink</v>
      </c>
      <c r="S157" s="40" t="str">
        <f t="shared" si="20"/>
        <v>Nitrit, Enterokokker, Aluminium, Arsen, Bly, Cadmium, Chrom, Kobber, Nikkel, Zink</v>
      </c>
    </row>
    <row r="158" spans="5:19" x14ac:dyDescent="0.2">
      <c r="E158" s="46" t="s">
        <v>152</v>
      </c>
      <c r="F158" s="46"/>
      <c r="G158" s="21"/>
      <c r="H158" s="22" t="str">
        <f>IF(IFERROR(SEARCH("NEJ",CONCATENATE(" ",G159,G160,G161)),1)=1,"OK","NEJ")</f>
        <v>NEJ</v>
      </c>
      <c r="K158" s="32"/>
      <c r="L158" s="32"/>
      <c r="M158" s="32"/>
      <c r="R158" s="42"/>
      <c r="S158" s="40"/>
    </row>
    <row r="159" spans="5:19" x14ac:dyDescent="0.2">
      <c r="F159" s="9" t="s">
        <v>8</v>
      </c>
      <c r="G159" s="4" t="str">
        <f>IF((IFERROR(SEARCH(K159,Rådata!$B$1000),-1)+IFERROR(SEARCH(L159,Rådata!$B$1000),-1)+IFERROR(SEARCH(M159,Rådata!$B$1000),-1))&gt;0,"-","NEJ")</f>
        <v>NEJ</v>
      </c>
      <c r="K159" s="32" t="str">
        <f>K52</f>
        <v>Acrylamid</v>
      </c>
      <c r="L159" s="32" t="str">
        <f t="shared" ref="L159:M159" si="25">L52</f>
        <v>Her kan et synonym indsættes</v>
      </c>
      <c r="M159" s="32" t="str">
        <f t="shared" si="25"/>
        <v>Her kan et synonym indsættes</v>
      </c>
      <c r="R159" s="43"/>
      <c r="S159" s="40"/>
    </row>
    <row r="160" spans="5:19" x14ac:dyDescent="0.2">
      <c r="F160" s="3" t="s">
        <v>9</v>
      </c>
      <c r="G160" s="4" t="str">
        <f>IF((IFERROR(SEARCH(K160,Rådata!$B$1000),-1)+IFERROR(SEARCH(L160,Rådata!$B$1000),-1)+IFERROR(SEARCH(M160,Rådata!$B$1000),-1))&gt;0,"-","NEJ")</f>
        <v>NEJ</v>
      </c>
      <c r="K160" s="32" t="str">
        <f t="shared" ref="K160:M161" si="26">K53</f>
        <v>Epichlorhydrin</v>
      </c>
      <c r="L160" s="32" t="str">
        <f t="shared" si="26"/>
        <v>Her kan et synonym indsættes</v>
      </c>
      <c r="M160" s="32" t="str">
        <f t="shared" si="26"/>
        <v>Her kan et synonym indsættes</v>
      </c>
      <c r="R160" s="43"/>
      <c r="S160" s="40"/>
    </row>
    <row r="161" spans="5:19" x14ac:dyDescent="0.2">
      <c r="F161" s="10" t="s">
        <v>41</v>
      </c>
      <c r="G161" s="4" t="str">
        <f>IF((IFERROR(SEARCH(K161,Rådata!$B$1000),-1)+IFERROR(SEARCH(L161,Rådata!$B$1000),-1)+IFERROR(SEARCH(M161,Rådata!$B$1000),-1))&gt;0,"-","NEJ")</f>
        <v>NEJ</v>
      </c>
      <c r="K161" s="32" t="str">
        <f t="shared" si="26"/>
        <v>Vinylchlorid</v>
      </c>
      <c r="L161" s="32" t="str">
        <f t="shared" si="26"/>
        <v>Her kan et synonym indsættes</v>
      </c>
      <c r="M161" s="32" t="str">
        <f t="shared" si="26"/>
        <v>Her kan et synonym indsættes</v>
      </c>
      <c r="R161" s="43"/>
      <c r="S161" s="40"/>
    </row>
    <row r="162" spans="5:19" x14ac:dyDescent="0.2">
      <c r="E162" s="46" t="s">
        <v>182</v>
      </c>
      <c r="F162" s="46"/>
      <c r="G162" s="21"/>
      <c r="H162" s="22" t="str">
        <f>IF(IFERROR(SEARCH("NEJ",CONCATENATE(" ",G163,G164,G165,G166,G167,G168,G169,G170,G171,G172,G173,G174)),1)=1,"OK","NEJ")</f>
        <v>NEJ</v>
      </c>
      <c r="K162" s="32"/>
      <c r="L162" s="32"/>
      <c r="M162" s="32"/>
      <c r="R162" s="42"/>
      <c r="S162" s="40"/>
    </row>
    <row r="163" spans="5:19" x14ac:dyDescent="0.2">
      <c r="F163" s="9" t="s">
        <v>42</v>
      </c>
      <c r="G163" s="4" t="str">
        <f>IF((IFERROR(SEARCH(K163,Rådata!$B$1000),-1)+IFERROR(SEARCH(L163,Rådata!$B$1000),-1)+IFERROR(SEARCH(M163,Rådata!$B$1000),-1))&gt;0,"-","NEJ")</f>
        <v>NEJ</v>
      </c>
      <c r="K163" s="32" t="str">
        <f>K58</f>
        <v>Dichlormethan</v>
      </c>
      <c r="L163" s="32" t="str">
        <f t="shared" ref="L163:M163" si="27">L58</f>
        <v>Dichlormetan</v>
      </c>
      <c r="M163" s="32" t="str">
        <f t="shared" si="27"/>
        <v>Her kan et synonym indsættes</v>
      </c>
      <c r="R163" s="43"/>
      <c r="S163" s="40"/>
    </row>
    <row r="164" spans="5:19" x14ac:dyDescent="0.2">
      <c r="F164" s="3" t="s">
        <v>92</v>
      </c>
      <c r="G164" s="4" t="str">
        <f>IF((IFERROR(SEARCH(K164,Rådata!$B$1000),-1)+IFERROR(SEARCH(L164,Rådata!$B$1000),-1)+IFERROR(SEARCH(M164,Rådata!$B$1000),-1))&gt;0,"-","NEJ")</f>
        <v>NEJ</v>
      </c>
      <c r="K164" s="32" t="str">
        <f t="shared" ref="K164:M174" si="28">K59</f>
        <v>Trichlormethan</v>
      </c>
      <c r="L164" s="32" t="str">
        <f t="shared" si="28"/>
        <v>Her kan et synonym indsættes</v>
      </c>
      <c r="M164" s="32" t="str">
        <f t="shared" si="28"/>
        <v>Her kan et synonym indsættes</v>
      </c>
      <c r="R164" s="43"/>
      <c r="S164" s="40"/>
    </row>
    <row r="165" spans="5:19" x14ac:dyDescent="0.2">
      <c r="F165" s="3" t="s">
        <v>44</v>
      </c>
      <c r="G165" s="4" t="str">
        <f>IF((IFERROR(SEARCH(K165,Rådata!$B$1000),-1)+IFERROR(SEARCH(L165,Rådata!$B$1000),-1)+IFERROR(SEARCH(M165,Rådata!$B$1000),-1))&gt;0,"-","NEJ")</f>
        <v>NEJ</v>
      </c>
      <c r="K165" s="32" t="str">
        <f t="shared" si="28"/>
        <v>1,2-dichlorethan</v>
      </c>
      <c r="L165" s="32" t="str">
        <f t="shared" si="28"/>
        <v>Her kan et synonym indsættes</v>
      </c>
      <c r="M165" s="32" t="str">
        <f t="shared" si="28"/>
        <v>Her kan et synonym indsættes</v>
      </c>
      <c r="R165" s="43"/>
      <c r="S165" s="40"/>
    </row>
    <row r="166" spans="5:19" x14ac:dyDescent="0.2">
      <c r="F166" s="3" t="s">
        <v>47</v>
      </c>
      <c r="G166" s="4" t="str">
        <f>IF((IFERROR(SEARCH(K166,Rådata!$B$1000),-1)+IFERROR(SEARCH(L166,Rådata!$B$1000),-1)+IFERROR(SEARCH(M166,Rådata!$B$1000),-1))&gt;0,"-","NEJ")</f>
        <v>NEJ</v>
      </c>
      <c r="K166" s="32" t="str">
        <f t="shared" si="28"/>
        <v>Trichlorethen</v>
      </c>
      <c r="L166" s="32" t="str">
        <f t="shared" si="28"/>
        <v>Trichlorethylen</v>
      </c>
      <c r="M166" s="32" t="str">
        <f t="shared" si="28"/>
        <v>Her kan et synonym indsættes</v>
      </c>
      <c r="R166" s="43"/>
      <c r="S166" s="40"/>
    </row>
    <row r="167" spans="5:19" x14ac:dyDescent="0.2">
      <c r="F167" s="3" t="s">
        <v>50</v>
      </c>
      <c r="G167" s="4" t="str">
        <f>IF((IFERROR(SEARCH(K167,Rådata!$B$1000),-1)+IFERROR(SEARCH(L167,Rådata!$B$1000),-1)+IFERROR(SEARCH(M167,Rådata!$B$1000),-1))&gt;0,"-","NEJ")</f>
        <v>NEJ</v>
      </c>
      <c r="K167" s="32" t="str">
        <f t="shared" si="28"/>
        <v>Tetrachlorethen</v>
      </c>
      <c r="L167" s="32" t="str">
        <f t="shared" si="28"/>
        <v>Tetrachlorethylen</v>
      </c>
      <c r="M167" s="32" t="str">
        <f t="shared" si="28"/>
        <v>Her kan et synonym indsættes</v>
      </c>
      <c r="R167" s="43"/>
      <c r="S167" s="40"/>
    </row>
    <row r="168" spans="5:19" x14ac:dyDescent="0.2">
      <c r="F168" s="3" t="s">
        <v>43</v>
      </c>
      <c r="G168" s="4" t="str">
        <f>IF((IFERROR(SEARCH(K168,Rådata!$B$1000),-1)+IFERROR(SEARCH(L168,Rådata!$B$1000),-1)+IFERROR(SEARCH(M168,Rådata!$B$1000),-1))&gt;0,"-","NEJ")</f>
        <v>NEJ</v>
      </c>
      <c r="K168" s="32" t="str">
        <f t="shared" si="28"/>
        <v>1,1-dichlorethen</v>
      </c>
      <c r="L168" s="32" t="str">
        <f t="shared" si="28"/>
        <v>1,1-dichlorethylen</v>
      </c>
      <c r="M168" s="32" t="str">
        <f t="shared" si="28"/>
        <v>Her kan et synonym indsættes</v>
      </c>
      <c r="R168" s="43"/>
      <c r="S168" s="40"/>
    </row>
    <row r="169" spans="5:19" x14ac:dyDescent="0.2">
      <c r="F169" s="3" t="s">
        <v>231</v>
      </c>
      <c r="G169" s="4" t="str">
        <f>IF((IFERROR(SEARCH(K169,Rådata!$B$1000),-1)+IFERROR(SEARCH(L169,Rådata!$B$1000),-1)+IFERROR(SEARCH(M169,Rådata!$B$1000),-1))&gt;0,"-","NEJ")</f>
        <v>NEJ</v>
      </c>
      <c r="K169" s="32" t="str">
        <f t="shared" si="28"/>
        <v>Cis-1,2-dichlorethen</v>
      </c>
      <c r="L169" s="32" t="str">
        <f t="shared" si="28"/>
        <v>cis-1,2-dichlorethylen</v>
      </c>
      <c r="M169" s="32" t="str">
        <f t="shared" si="28"/>
        <v>Her kan et synonym indsættes</v>
      </c>
      <c r="R169" s="43"/>
      <c r="S169" s="40"/>
    </row>
    <row r="170" spans="5:19" x14ac:dyDescent="0.2">
      <c r="F170" s="3" t="s">
        <v>93</v>
      </c>
      <c r="G170" s="4" t="str">
        <f>IF((IFERROR(SEARCH(K170,Rådata!$B$1000),-1)+IFERROR(SEARCH(L170,Rådata!$B$1000),-1)+IFERROR(SEARCH(M170,Rådata!$B$1000),-1))&gt;0,"-","NEJ")</f>
        <v>NEJ</v>
      </c>
      <c r="K170" s="32" t="str">
        <f t="shared" si="28"/>
        <v>Trans-1,2-dichlorethen</v>
      </c>
      <c r="L170" s="32" t="str">
        <f t="shared" si="28"/>
        <v>Trans-1,2-dichlorethylen</v>
      </c>
      <c r="M170" s="32" t="str">
        <f t="shared" si="28"/>
        <v>Her kan et synonym indsættes</v>
      </c>
      <c r="R170" s="43"/>
      <c r="S170" s="40"/>
    </row>
    <row r="171" spans="5:19" x14ac:dyDescent="0.2">
      <c r="F171" s="3" t="s">
        <v>45</v>
      </c>
      <c r="G171" s="4" t="str">
        <f>IF((IFERROR(SEARCH(K171,Rådata!$B$1000),-1)+IFERROR(SEARCH(L171,Rådata!$B$1000),-1)+IFERROR(SEARCH(M171,Rådata!$B$1000),-1))&gt;0,"-","NEJ")</f>
        <v>NEJ</v>
      </c>
      <c r="K171" s="32" t="str">
        <f t="shared" si="28"/>
        <v>1,1,1-trichlorethan</v>
      </c>
      <c r="L171" s="32" t="str">
        <f t="shared" si="28"/>
        <v>Her kan et synonym indsættes</v>
      </c>
      <c r="M171" s="32" t="str">
        <f t="shared" si="28"/>
        <v>Her kan et synonym indsættes</v>
      </c>
      <c r="R171" s="43"/>
      <c r="S171" s="40"/>
    </row>
    <row r="172" spans="5:19" x14ac:dyDescent="0.2">
      <c r="F172" s="3" t="s">
        <v>46</v>
      </c>
      <c r="G172" s="4" t="str">
        <f>IF((IFERROR(SEARCH(K172,Rådata!$B$1000),-1)+IFERROR(SEARCH(L172,Rådata!$B$1000),-1)+IFERROR(SEARCH(M172,Rådata!$B$1000),-1))&gt;0,"-","NEJ")</f>
        <v>NEJ</v>
      </c>
      <c r="K172" s="32" t="str">
        <f t="shared" si="28"/>
        <v>1,1,2-trichlorethan</v>
      </c>
      <c r="L172" s="32" t="str">
        <f t="shared" si="28"/>
        <v>Her kan et synonym indsættes</v>
      </c>
      <c r="M172" s="32" t="str">
        <f t="shared" si="28"/>
        <v>Her kan et synonym indsættes</v>
      </c>
      <c r="R172" s="43"/>
      <c r="S172" s="40"/>
    </row>
    <row r="173" spans="5:19" x14ac:dyDescent="0.2">
      <c r="F173" s="3" t="s">
        <v>49</v>
      </c>
      <c r="G173" s="4" t="str">
        <f>IF((IFERROR(SEARCH(K173,Rådata!$B$1000),-1)+IFERROR(SEARCH(L173,Rådata!$B$1000),-1)+IFERROR(SEARCH(M173,Rådata!$B$1000),-1))&gt;0,"-","NEJ")</f>
        <v>NEJ</v>
      </c>
      <c r="K173" s="32" t="str">
        <f t="shared" si="28"/>
        <v>1,1,2,2-tetrachlorethan</v>
      </c>
      <c r="L173" s="32" t="str">
        <f t="shared" si="28"/>
        <v>Her kan et synonym indsættes</v>
      </c>
      <c r="M173" s="32" t="str">
        <f t="shared" si="28"/>
        <v>Her kan et synonym indsættes</v>
      </c>
      <c r="R173" s="43"/>
      <c r="S173" s="40"/>
    </row>
    <row r="174" spans="5:19" x14ac:dyDescent="0.2">
      <c r="F174" s="10" t="s">
        <v>48</v>
      </c>
      <c r="G174" s="4" t="str">
        <f>IF((IFERROR(SEARCH(K174,Rådata!$B$1000),-1)+IFERROR(SEARCH(L174,Rådata!$B$1000),-1)+IFERROR(SEARCH(M174,Rådata!$B$1000),-1))&gt;0,"-","NEJ")</f>
        <v>NEJ</v>
      </c>
      <c r="K174" s="32" t="str">
        <f t="shared" si="28"/>
        <v>1,1,1,2-tetrachlorethan</v>
      </c>
      <c r="L174" s="32" t="str">
        <f t="shared" si="28"/>
        <v>Her kan et synonym indsættes</v>
      </c>
      <c r="M174" s="32" t="str">
        <f t="shared" si="28"/>
        <v>Her kan et synonym indsættes</v>
      </c>
      <c r="R174" s="43"/>
      <c r="S174" s="40"/>
    </row>
    <row r="175" spans="5:19" x14ac:dyDescent="0.2">
      <c r="E175" s="46" t="s">
        <v>153</v>
      </c>
      <c r="F175" s="46"/>
      <c r="G175" s="21"/>
      <c r="H175" s="22" t="str">
        <f>IF(IFERROR(SEARCH("NEJ"," "&amp;G176),1)=1,"OK","NEJ")</f>
        <v>NEJ</v>
      </c>
      <c r="K175" s="32"/>
      <c r="L175" s="32"/>
      <c r="M175" s="32"/>
      <c r="R175" s="42"/>
      <c r="S175" s="40"/>
    </row>
    <row r="176" spans="5:19" x14ac:dyDescent="0.2">
      <c r="F176" s="7" t="s">
        <v>10</v>
      </c>
      <c r="G176" s="4" t="str">
        <f>IF((IFERROR(SEARCH(K176,Rådata!$B$1000),-1)+IFERROR(SEARCH(L176,Rådata!$B$1000),-1)+IFERROR(SEARCH(M176,Rådata!$B$1000),-1))&gt;0,"-","NEJ")</f>
        <v>NEJ</v>
      </c>
      <c r="K176" s="32" t="str">
        <f>K71</f>
        <v>Benzen</v>
      </c>
      <c r="L176" s="32" t="str">
        <f t="shared" ref="L176:M176" si="29">L71</f>
        <v>Her kan et synonym indsættes</v>
      </c>
      <c r="M176" s="32" t="str">
        <f t="shared" si="29"/>
        <v>Her kan et synonym indsættes</v>
      </c>
      <c r="R176" s="43"/>
      <c r="S176" s="40"/>
    </row>
    <row r="177" spans="5:19" x14ac:dyDescent="0.2">
      <c r="E177" s="46" t="s">
        <v>154</v>
      </c>
      <c r="F177" s="46"/>
      <c r="G177" s="21"/>
      <c r="H177" s="22" t="str">
        <f>IF(IFERROR(SEARCH("NEJ",CONCATENATE(" ",G178,G179,G180,G181,G182,G183)),1)=1,"OK","NEJ")</f>
        <v>NEJ</v>
      </c>
      <c r="K177" s="32"/>
      <c r="L177" s="32"/>
      <c r="M177" s="32"/>
      <c r="R177" s="42"/>
      <c r="S177" s="40"/>
    </row>
    <row r="178" spans="5:19" x14ac:dyDescent="0.2">
      <c r="F178" s="9" t="s">
        <v>12</v>
      </c>
      <c r="G178" s="4" t="str">
        <f>IF((IFERROR(SEARCH(K178,Rådata!$B$1000),-1)+IFERROR(SEARCH(L178,Rådata!$B$1000),-1)+IFERROR(SEARCH(M178,Rådata!$B$1000),-1))&gt;0,"-","NEJ")</f>
        <v>NEJ</v>
      </c>
      <c r="K178" s="32" t="str">
        <f>K73</f>
        <v>Benzo(a)pyren</v>
      </c>
      <c r="L178" s="32" t="str">
        <f t="shared" ref="L178:M178" si="30">L73</f>
        <v>Her kan et synonym indsættes</v>
      </c>
      <c r="M178" s="32" t="str">
        <f t="shared" si="30"/>
        <v>Her kan et synonym indsættes</v>
      </c>
      <c r="R178" s="43"/>
      <c r="S178" s="40"/>
    </row>
    <row r="179" spans="5:19" x14ac:dyDescent="0.2">
      <c r="F179" s="3" t="s">
        <v>11</v>
      </c>
      <c r="G179" s="4" t="str">
        <f>IF((IFERROR(SEARCH(K179,Rådata!$B$1000),-1)+IFERROR(SEARCH(L179,Rådata!$B$1000),-1)+IFERROR(SEARCH(M179,Rådata!$B$1000),-1))&gt;0,"-","NEJ")</f>
        <v>NEJ</v>
      </c>
      <c r="K179" s="32" t="str">
        <f t="shared" ref="K179:M183" si="31">K74</f>
        <v>Fluoranthen</v>
      </c>
      <c r="L179" s="32" t="str">
        <f t="shared" si="31"/>
        <v>Her kan et synonym indsættes</v>
      </c>
      <c r="M179" s="32" t="str">
        <f t="shared" si="31"/>
        <v>Her kan et synonym indsættes</v>
      </c>
      <c r="R179" s="43"/>
      <c r="S179" s="40"/>
    </row>
    <row r="180" spans="5:19" x14ac:dyDescent="0.2">
      <c r="F180" s="3" t="s">
        <v>232</v>
      </c>
      <c r="G180" s="4" t="str">
        <f>IF((IFERROR(SEARCH(K180,Rådata!$B$1000),-1)+IFERROR(SEARCH(L180,Rådata!$B$1000),-1)+IFERROR(SEARCH(M180,Rådata!$B$1000),-1))&gt;0,"-","NEJ")</f>
        <v>NEJ</v>
      </c>
      <c r="K180" s="32" t="str">
        <f t="shared" si="31"/>
        <v>Benzo(b)fluoranthen</v>
      </c>
      <c r="L180" s="32" t="str">
        <f t="shared" si="31"/>
        <v>Benzo(b+j+k)fluoranthen</v>
      </c>
      <c r="M180" s="32" t="str">
        <f t="shared" si="31"/>
        <v>Her kan et synonym indsættes</v>
      </c>
      <c r="R180" s="43"/>
      <c r="S180" s="40"/>
    </row>
    <row r="181" spans="5:19" x14ac:dyDescent="0.2">
      <c r="F181" s="3" t="s">
        <v>233</v>
      </c>
      <c r="G181" s="4" t="str">
        <f>IF((IFERROR(SEARCH(K181,Rådata!$B$1000),-1)+IFERROR(SEARCH(L181,Rådata!$B$1000),-1)+IFERROR(SEARCH(M181,Rådata!$B$1000),-1))&gt;0,"-","NEJ")</f>
        <v>NEJ</v>
      </c>
      <c r="K181" s="32" t="str">
        <f t="shared" si="31"/>
        <v>Benzo(k)fluoranthen</v>
      </c>
      <c r="L181" s="32" t="str">
        <f t="shared" si="31"/>
        <v>Benzo(b+j+k)fluoranthen</v>
      </c>
      <c r="M181" s="32" t="str">
        <f t="shared" si="31"/>
        <v>Her kan et synonym indsættes</v>
      </c>
      <c r="R181" s="43"/>
      <c r="S181" s="40"/>
    </row>
    <row r="182" spans="5:19" x14ac:dyDescent="0.2">
      <c r="F182" s="3" t="s">
        <v>234</v>
      </c>
      <c r="G182" s="4" t="str">
        <f>IF((IFERROR(SEARCH(K182,Rådata!$B$1000),-1)+IFERROR(SEARCH(L182,Rådata!$B$1000),-1)+IFERROR(SEARCH(M182,Rådata!$B$1000),-1))&gt;0,"-","NEJ")</f>
        <v>NEJ</v>
      </c>
      <c r="K182" s="32" t="str">
        <f t="shared" si="31"/>
        <v>benzo(g,h,i)perylen</v>
      </c>
      <c r="L182" s="32" t="str">
        <f t="shared" si="31"/>
        <v>Her kan et synonym indsættes</v>
      </c>
      <c r="M182" s="32" t="str">
        <f t="shared" si="31"/>
        <v>Her kan et synonym indsættes</v>
      </c>
      <c r="R182" s="43"/>
      <c r="S182" s="40"/>
    </row>
    <row r="183" spans="5:19" x14ac:dyDescent="0.2">
      <c r="F183" s="3" t="s">
        <v>235</v>
      </c>
      <c r="G183" s="4" t="str">
        <f>IF((IFERROR(SEARCH(K183,Rådata!$B$1000),-1)+IFERROR(SEARCH(L183,Rådata!$B$1000),-1)+IFERROR(SEARCH(M183,Rådata!$B$1000),-1))&gt;0,"-","NEJ")</f>
        <v>NEJ</v>
      </c>
      <c r="K183" s="32" t="str">
        <f t="shared" si="31"/>
        <v>Indeno(1,2,3-cd)pyren</v>
      </c>
      <c r="L183" s="32" t="str">
        <f t="shared" si="31"/>
        <v>Her kan et synonym indsættes</v>
      </c>
      <c r="M183" s="32" t="str">
        <f t="shared" si="31"/>
        <v>Her kan et synonym indsættes</v>
      </c>
      <c r="R183" s="43"/>
      <c r="S183" s="40"/>
    </row>
    <row r="184" spans="5:19" x14ac:dyDescent="0.2">
      <c r="K184" s="35"/>
      <c r="L184" s="35"/>
      <c r="M184" s="35"/>
      <c r="R184" s="42" t="str">
        <f t="shared" si="10"/>
        <v/>
      </c>
      <c r="S184" s="40"/>
    </row>
    <row r="185" spans="5:19" x14ac:dyDescent="0.2">
      <c r="E185" s="47" t="s">
        <v>175</v>
      </c>
      <c r="F185" s="47"/>
      <c r="G185" s="17" t="str">
        <f>IF(IFERROR(SEARCH("NEJ",CONCATENATE(" ",H187,H192,H207,H211,H229)),1)=1,"OK","NEJ")</f>
        <v>NEJ</v>
      </c>
      <c r="H185" s="12" t="str">
        <f>IF(G185="OK","",RIGHT(S255,LEN(S255)))</f>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185" s="39"/>
      <c r="L185" s="35"/>
      <c r="M185" s="35"/>
      <c r="R185" s="42"/>
      <c r="S185" s="40"/>
    </row>
    <row r="186" spans="5:19" x14ac:dyDescent="0.2">
      <c r="F186" s="19"/>
      <c r="G186" s="8"/>
      <c r="K186" s="35"/>
      <c r="L186" s="35"/>
      <c r="M186" s="35"/>
      <c r="R186" s="42"/>
      <c r="S186" s="40"/>
    </row>
    <row r="187" spans="5:19" x14ac:dyDescent="0.2">
      <c r="E187" s="49" t="s">
        <v>62</v>
      </c>
      <c r="F187" s="49"/>
      <c r="G187" s="16"/>
      <c r="H187" s="15" t="str">
        <f>IF(IFERROR(SEARCH("NEJ",CONCATENATE(" ",G188,G189,G190,G191)),1)=1,"OK","NEJ")</f>
        <v>NEJ</v>
      </c>
      <c r="K187" s="35"/>
      <c r="L187" s="35"/>
      <c r="M187" s="35"/>
      <c r="R187" s="42"/>
      <c r="S187" s="40"/>
    </row>
    <row r="188" spans="5:19" x14ac:dyDescent="0.2">
      <c r="F188" s="9" t="s">
        <v>58</v>
      </c>
      <c r="G188" s="4" t="str">
        <f>IF((IFERROR(SEARCH(K188,Rådata!$B$1000),-1)+IFERROR(SEARCH(L188,Rådata!$B$1000),-1)+IFERROR(SEARCH(M188,Rådata!$B$1000),-1))&gt;0,"-","NEJ")</f>
        <v>-</v>
      </c>
      <c r="K188" s="32" t="str">
        <f>K15</f>
        <v>Coliforme bakterier</v>
      </c>
      <c r="L188" s="32" t="str">
        <f t="shared" ref="L188:M188" si="32">L15</f>
        <v>Coliforme bakt.</v>
      </c>
      <c r="M188" s="32" t="str">
        <f t="shared" si="32"/>
        <v>Her kan et synonym indsættes</v>
      </c>
      <c r="R188" s="2" t="str">
        <f t="shared" si="10"/>
        <v/>
      </c>
      <c r="S188" s="40" t="str">
        <f>R188</f>
        <v/>
      </c>
    </row>
    <row r="189" spans="5:19" x14ac:dyDescent="0.2">
      <c r="F189" s="3" t="s">
        <v>59</v>
      </c>
      <c r="G189" s="4" t="str">
        <f>IF((IFERROR(SEARCH(K189,Rådata!$B$1000),-1)+IFERROR(SEARCH(L189,Rådata!$B$1000),-1)+IFERROR(SEARCH(M189,Rådata!$B$1000),-1))&gt;0,"-","NEJ")</f>
        <v>-</v>
      </c>
      <c r="K189" s="32" t="str">
        <f>K16</f>
        <v>Escherichia coli</v>
      </c>
      <c r="L189" s="32" t="str">
        <f t="shared" ref="L189:M189" si="33">L16</f>
        <v>E. coli</v>
      </c>
      <c r="M189" s="32" t="str">
        <f t="shared" si="33"/>
        <v>E.coli</v>
      </c>
      <c r="R189" s="2" t="str">
        <f t="shared" si="10"/>
        <v/>
      </c>
      <c r="S189" s="40" t="str">
        <f t="shared" si="20"/>
        <v/>
      </c>
    </row>
    <row r="190" spans="5:19" x14ac:dyDescent="0.2">
      <c r="F190" s="3" t="s">
        <v>155</v>
      </c>
      <c r="G190" s="4" t="str">
        <f>IF((IFERROR(SEARCH(K190,Rådata!$B$1000),-1)+IFERROR(SEARCH(L190,Rådata!$B$1000),-1)+IFERROR(SEARCH(M190,Rådata!$B$1000),-1))&gt;0,"-","NEJ")</f>
        <v>-</v>
      </c>
      <c r="K190" s="32" t="str">
        <f>K14</f>
        <v>Kimtal</v>
      </c>
      <c r="L190" s="32" t="str">
        <f t="shared" ref="L190:M190" si="34">L14</f>
        <v>Her kan et synonym indsættes</v>
      </c>
      <c r="M190" s="32" t="str">
        <f t="shared" si="34"/>
        <v>Her kan et synonym indsættes</v>
      </c>
      <c r="R190" s="2" t="str">
        <f t="shared" si="10"/>
        <v/>
      </c>
      <c r="S190" s="40" t="str">
        <f t="shared" si="20"/>
        <v/>
      </c>
    </row>
    <row r="191" spans="5:19" x14ac:dyDescent="0.2">
      <c r="F191" s="10" t="s">
        <v>3</v>
      </c>
      <c r="G191" s="4" t="str">
        <f>IF((IFERROR(SEARCH(K191,Rådata!$B$1000),-1)+IFERROR(SEARCH(L191,Rådata!$B$1000),-1)+IFERROR(SEARCH(M191,Rådata!$B$1000),-1))&gt;0,"-","NEJ")</f>
        <v>NEJ</v>
      </c>
      <c r="K191" s="32" t="str">
        <f>K23</f>
        <v>Enterokokker</v>
      </c>
      <c r="L191" s="32" t="str">
        <f t="shared" ref="L191:M191" si="35">L23</f>
        <v>Her kan et synonym indsættes</v>
      </c>
      <c r="M191" s="32" t="str">
        <f t="shared" si="35"/>
        <v>Her kan et synonym indsættes</v>
      </c>
      <c r="R191" s="2" t="str">
        <f t="shared" si="10"/>
        <v>Enterokokker</v>
      </c>
      <c r="S191" s="40" t="str">
        <f t="shared" si="20"/>
        <v>, Enterokokker</v>
      </c>
    </row>
    <row r="192" spans="5:19" x14ac:dyDescent="0.2">
      <c r="E192" s="49" t="s">
        <v>63</v>
      </c>
      <c r="F192" s="49"/>
      <c r="G192" s="20"/>
      <c r="H192" s="15" t="str">
        <f>IF(IFERROR(SEARCH("NEJ",CONCATENATE(" ",G193,G194,G195,G196,G197,G198,G199,G200,G201,G202,G203,G204,G205,G206)),1)=1,"OK","NEJ")</f>
        <v>NEJ</v>
      </c>
      <c r="K192" s="32"/>
      <c r="L192" s="32"/>
      <c r="M192" s="32"/>
      <c r="R192" s="42"/>
      <c r="S192" s="40" t="str">
        <f t="shared" si="20"/>
        <v>, Enterokokker</v>
      </c>
    </row>
    <row r="193" spans="5:19" x14ac:dyDescent="0.2">
      <c r="F193" s="9" t="s">
        <v>64</v>
      </c>
      <c r="G193" s="4" t="str">
        <f>IF((IFERROR(SEARCH(K193,Rådata!$B$1000),-1)+IFERROR(SEARCH(L193,Rådata!$B$1000),-1)+IFERROR(SEARCH(M193,Rådata!$B$1000),-1))&gt;0,"-","NEJ")</f>
        <v>NEJ</v>
      </c>
      <c r="K193" s="32" t="str">
        <f t="shared" ref="K193:K206" si="36">F193</f>
        <v>Temperatur</v>
      </c>
      <c r="L193" s="32" t="s">
        <v>179</v>
      </c>
      <c r="M193" s="32" t="s">
        <v>179</v>
      </c>
      <c r="R193" s="2" t="str">
        <f t="shared" si="10"/>
        <v>Temperatur</v>
      </c>
      <c r="S193" s="40" t="str">
        <f t="shared" si="20"/>
        <v>, Enterokokker, Temperatur</v>
      </c>
    </row>
    <row r="194" spans="5:19" x14ac:dyDescent="0.2">
      <c r="F194" s="3" t="s">
        <v>51</v>
      </c>
      <c r="G194" s="4" t="str">
        <f>IF((IFERROR(SEARCH(K194,Rådata!$B$1000),-1)+IFERROR(SEARCH(L194,Rådata!$B$1000),-1)+IFERROR(SEARCH(M194,Rådata!$B$1000),-1))&gt;0,"-","NEJ")</f>
        <v>-</v>
      </c>
      <c r="K194" s="32" t="str">
        <f>K12</f>
        <v>pH</v>
      </c>
      <c r="L194" s="32" t="str">
        <f t="shared" ref="L194:M194" si="37">L12</f>
        <v>Her kan et synonym indsættes</v>
      </c>
      <c r="M194" s="32" t="str">
        <f t="shared" si="37"/>
        <v>Her kan et synonym indsættes</v>
      </c>
      <c r="R194" s="2" t="str">
        <f t="shared" si="10"/>
        <v/>
      </c>
      <c r="S194" s="40" t="str">
        <f t="shared" si="20"/>
        <v>, Enterokokker, Temperatur</v>
      </c>
    </row>
    <row r="195" spans="5:19" x14ac:dyDescent="0.2">
      <c r="F195" s="3" t="s">
        <v>52</v>
      </c>
      <c r="G195" s="4" t="str">
        <f>IF((IFERROR(SEARCH(K195,Rådata!$B$1000),-1)+IFERROR(SEARCH(L195,Rådata!$B$1000),-1)+IFERROR(SEARCH(M195,Rådata!$B$1000),-1))&gt;0,"-","NEJ")</f>
        <v>NEJ</v>
      </c>
      <c r="K195" s="32" t="str">
        <f>K13</f>
        <v>Ledningsevne</v>
      </c>
      <c r="L195" s="32" t="str">
        <f t="shared" ref="L195:M195" si="38">L13</f>
        <v>Her kan et synonym indsættes</v>
      </c>
      <c r="M195" s="32" t="str">
        <f t="shared" si="38"/>
        <v>Her kan et synonym indsættes</v>
      </c>
      <c r="R195" s="2" t="str">
        <f t="shared" si="10"/>
        <v>Ledningsevne</v>
      </c>
      <c r="S195" s="40" t="str">
        <f t="shared" si="20"/>
        <v>, Enterokokker, Temperatur, Ledningsevne</v>
      </c>
    </row>
    <row r="196" spans="5:19" x14ac:dyDescent="0.2">
      <c r="F196" s="3" t="s">
        <v>65</v>
      </c>
      <c r="G196" s="4" t="str">
        <f>IF((IFERROR(SEARCH(K196,Rådata!$B$1000),-1)+IFERROR(SEARCH(L196,Rådata!$B$1000),-1)+IFERROR(SEARCH(M196,Rådata!$B$1000),-1))&gt;0,"-","NEJ")</f>
        <v>NEJ</v>
      </c>
      <c r="K196" s="32" t="str">
        <f>K26</f>
        <v>NVOC</v>
      </c>
      <c r="L196" s="32" t="str">
        <f t="shared" ref="L196:M196" si="39">L26</f>
        <v>Her kan et synonym indsættes</v>
      </c>
      <c r="M196" s="32" t="str">
        <f t="shared" si="39"/>
        <v>Her kan et synonym indsættes</v>
      </c>
      <c r="R196" s="2" t="str">
        <f t="shared" si="10"/>
        <v>NVOC</v>
      </c>
      <c r="S196" s="40" t="str">
        <f t="shared" si="20"/>
        <v>, Enterokokker, Temperatur, Ledningsevne, NVOC</v>
      </c>
    </row>
    <row r="197" spans="5:19" x14ac:dyDescent="0.2">
      <c r="F197" s="27" t="s">
        <v>66</v>
      </c>
      <c r="G197" s="4" t="str">
        <f>IF((IFERROR(SEARCH(K197,Rådata!$B$1000),-1)+IFERROR(SEARCH(L197,Rådata!$B$1000),-1)+IFERROR(SEARCH(M197,Rådata!$B$1000),-1))&gt;0,"-","NEJ")</f>
        <v>NEJ</v>
      </c>
      <c r="K197" s="32" t="str">
        <f>K27</f>
        <v>Natrium</v>
      </c>
      <c r="L197" s="32" t="str">
        <f t="shared" ref="L197:M197" si="40">L27</f>
        <v>Her kan et synonym indsættes</v>
      </c>
      <c r="M197" s="32" t="str">
        <f t="shared" si="40"/>
        <v>Her kan et synonym indsættes</v>
      </c>
      <c r="R197" s="43"/>
      <c r="S197" s="40" t="str">
        <f t="shared" si="20"/>
        <v>, Enterokokker, Temperatur, Ledningsevne, NVOC</v>
      </c>
    </row>
    <row r="198" spans="5:19" x14ac:dyDescent="0.2">
      <c r="F198" s="3" t="s">
        <v>67</v>
      </c>
      <c r="G198" s="4" t="str">
        <f>IF((IFERROR(SEARCH(K198,Rådata!$B$1000),-1)+IFERROR(SEARCH(L198,Rådata!$B$1000),-1)+IFERROR(SEARCH(M198,Rådata!$B$1000),-1))&gt;0,"-","NEJ")</f>
        <v>NEJ</v>
      </c>
      <c r="K198" s="32" t="str">
        <f>K28</f>
        <v>Ammonium</v>
      </c>
      <c r="L198" s="32" t="str">
        <f t="shared" ref="L198:M198" si="41">L28</f>
        <v>Her kan et synonym indsættes</v>
      </c>
      <c r="M198" s="32" t="str">
        <f t="shared" si="41"/>
        <v>Her kan et synonym indsættes</v>
      </c>
      <c r="R198" s="2" t="str">
        <f t="shared" ref="R198:R261" si="42">IF(G198="NEJ",F198,"")</f>
        <v>Ammonium</v>
      </c>
      <c r="S198" s="40" t="str">
        <f t="shared" si="20"/>
        <v>, Enterokokker, Temperatur, Ledningsevne, NVOC, Ammonium</v>
      </c>
    </row>
    <row r="199" spans="5:19" x14ac:dyDescent="0.2">
      <c r="F199" s="3" t="s">
        <v>60</v>
      </c>
      <c r="G199" s="4" t="str">
        <f>IF((IFERROR(SEARCH(K199,Rådata!$B$1000),-1)+IFERROR(SEARCH(L199,Rådata!$B$1000),-1)+IFERROR(SEARCH(M199,Rådata!$B$1000),-1))&gt;0,"-","NEJ")</f>
        <v>-</v>
      </c>
      <c r="K199" s="32" t="str">
        <f>K17</f>
        <v>Jern</v>
      </c>
      <c r="L199" s="32" t="str">
        <f t="shared" ref="L199:M199" si="43">L17</f>
        <v>Her kan et synonym indsættes</v>
      </c>
      <c r="M199" s="32" t="str">
        <f t="shared" si="43"/>
        <v>Her kan et synonym indsættes</v>
      </c>
      <c r="R199" s="2" t="str">
        <f t="shared" si="42"/>
        <v/>
      </c>
      <c r="S199" s="40" t="str">
        <f t="shared" si="20"/>
        <v>, Enterokokker, Temperatur, Ledningsevne, NVOC, Ammonium</v>
      </c>
    </row>
    <row r="200" spans="5:19" x14ac:dyDescent="0.2">
      <c r="F200" s="3" t="s">
        <v>68</v>
      </c>
      <c r="G200" s="4" t="str">
        <f>IF((IFERROR(SEARCH(K200,Rådata!$B$1000),-1)+IFERROR(SEARCH(L200,Rådata!$B$1000),-1)+IFERROR(SEARCH(M200,Rådata!$B$1000),-1))&gt;0,"-","NEJ")</f>
        <v>NEJ</v>
      </c>
      <c r="K200" s="32" t="str">
        <f>K29</f>
        <v>Mangan</v>
      </c>
      <c r="L200" s="32" t="str">
        <f t="shared" ref="L200:M200" si="44">L29</f>
        <v>Her kan et synonym indsættes</v>
      </c>
      <c r="M200" s="32" t="str">
        <f t="shared" si="44"/>
        <v>Her kan et synonym indsættes</v>
      </c>
      <c r="R200" s="2" t="str">
        <f t="shared" si="42"/>
        <v>Mangan</v>
      </c>
      <c r="S200" s="40" t="str">
        <f t="shared" si="20"/>
        <v>, Enterokokker, Temperatur, Ledningsevne, NVOC, Ammonium, Mangan</v>
      </c>
    </row>
    <row r="201" spans="5:19" x14ac:dyDescent="0.2">
      <c r="F201" s="3" t="s">
        <v>4</v>
      </c>
      <c r="G201" s="4" t="str">
        <f>IF((IFERROR(SEARCH(K201,Rådata!$B$1000),-1)+IFERROR(SEARCH(L201,Rådata!$B$1000),-1)+IFERROR(SEARCH(M201,Rådata!$B$1000),-1))&gt;0,"-","NEJ")</f>
        <v>NEJ</v>
      </c>
      <c r="K201" s="32" t="str">
        <f>K18</f>
        <v>Nitrit</v>
      </c>
      <c r="L201" s="32" t="str">
        <f t="shared" ref="L201:M201" si="45">L18</f>
        <v>Her kan et synonym indsættes</v>
      </c>
      <c r="M201" s="32" t="str">
        <f t="shared" si="45"/>
        <v>Her kan et synonym indsættes</v>
      </c>
      <c r="R201" s="2" t="str">
        <f t="shared" si="42"/>
        <v>Nitrit</v>
      </c>
      <c r="S201" s="40" t="str">
        <f t="shared" si="20"/>
        <v>, Enterokokker, Temperatur, Ledningsevne, NVOC, Ammonium, Mangan, Nitrit</v>
      </c>
    </row>
    <row r="202" spans="5:19" x14ac:dyDescent="0.2">
      <c r="F202" s="3" t="s">
        <v>5</v>
      </c>
      <c r="G202" s="4" t="str">
        <f>IF((IFERROR(SEARCH(K202,Rådata!$B$1000),-1)+IFERROR(SEARCH(L202,Rådata!$B$1000),-1)+IFERROR(SEARCH(M202,Rådata!$B$1000),-1))&gt;0,"-","NEJ")</f>
        <v>NEJ</v>
      </c>
      <c r="K202" s="32" t="str">
        <f>K32</f>
        <v>Nitrat</v>
      </c>
      <c r="L202" s="32" t="str">
        <f t="shared" ref="L202:M202" si="46">L32</f>
        <v>Her kan et synonym indsættes</v>
      </c>
      <c r="M202" s="32" t="str">
        <f t="shared" si="46"/>
        <v>Her kan et synonym indsættes</v>
      </c>
      <c r="R202" s="2" t="str">
        <f t="shared" si="42"/>
        <v>Nitrat</v>
      </c>
      <c r="S202" s="40" t="str">
        <f t="shared" si="20"/>
        <v>, Enterokokker, Temperatur, Ledningsevne, NVOC, Ammonium, Mangan, Nitrit, Nitrat</v>
      </c>
    </row>
    <row r="203" spans="5:19" x14ac:dyDescent="0.2">
      <c r="F203" s="3" t="s">
        <v>156</v>
      </c>
      <c r="G203" s="4" t="str">
        <f>IF((IFERROR(SEARCH(K203,Rådata!$B$1000),-1)+IFERROR(SEARCH(L203,Rådata!$B$1000),-1)+IFERROR(SEARCH(M203,Rådata!$B$1000),-1))&gt;0,"-","NEJ")</f>
        <v>-</v>
      </c>
      <c r="K203" s="36" t="str">
        <f t="shared" si="36"/>
        <v>Ilt</v>
      </c>
      <c r="L203" s="36" t="s">
        <v>179</v>
      </c>
      <c r="M203" s="36" t="s">
        <v>179</v>
      </c>
      <c r="R203" s="2" t="str">
        <f t="shared" si="42"/>
        <v/>
      </c>
      <c r="S203" s="40" t="str">
        <f t="shared" si="20"/>
        <v>, Enterokokker, Temperatur, Ledningsevne, NVOC, Ammonium, Mangan, Nitrit, Nitrat</v>
      </c>
    </row>
    <row r="204" spans="5:19" x14ac:dyDescent="0.2">
      <c r="F204" s="27" t="s">
        <v>157</v>
      </c>
      <c r="G204" s="4" t="str">
        <f>IF((IFERROR(SEARCH(K204,Rådata!$B$1000),-1)+IFERROR(SEARCH(L204,Rådata!$B$1000),-1)+IFERROR(SEARCH(M204,Rådata!$B$1000),-1))&gt;0,"-","NEJ")</f>
        <v>NEJ</v>
      </c>
      <c r="K204" s="36" t="str">
        <f t="shared" si="36"/>
        <v>Methan</v>
      </c>
      <c r="L204" s="36" t="s">
        <v>227</v>
      </c>
      <c r="M204" s="36" t="s">
        <v>179</v>
      </c>
      <c r="R204" s="43"/>
      <c r="S204" s="40" t="str">
        <f t="shared" si="20"/>
        <v>, Enterokokker, Temperatur, Ledningsevne, NVOC, Ammonium, Mangan, Nitrit, Nitrat</v>
      </c>
    </row>
    <row r="205" spans="5:19" x14ac:dyDescent="0.2">
      <c r="F205" s="27" t="s">
        <v>158</v>
      </c>
      <c r="G205" s="4" t="str">
        <f>IF((IFERROR(SEARCH(K205,Rådata!$B$1000),-1)+IFERROR(SEARCH(L205,Rådata!$B$1000),-1)+IFERROR(SEARCH(M205,Rådata!$B$1000),-1))&gt;0,"-","NEJ")</f>
        <v>NEJ</v>
      </c>
      <c r="K205" s="36" t="str">
        <f t="shared" si="36"/>
        <v>Svovlbrinte</v>
      </c>
      <c r="L205" s="36" t="s">
        <v>226</v>
      </c>
      <c r="M205" s="36" t="s">
        <v>179</v>
      </c>
      <c r="R205" s="43"/>
      <c r="S205" s="40" t="str">
        <f t="shared" si="20"/>
        <v>, Enterokokker, Temperatur, Ledningsevne, NVOC, Ammonium, Mangan, Nitrit, Nitrat</v>
      </c>
    </row>
    <row r="206" spans="5:19" x14ac:dyDescent="0.2">
      <c r="F206" s="10" t="s">
        <v>159</v>
      </c>
      <c r="G206" s="4" t="str">
        <f>IF((IFERROR(SEARCH(K206,Rådata!$B$1000),-1)+IFERROR(SEARCH(L206,Rådata!$B$1000),-1)+IFERROR(SEARCH(M206,Rådata!$B$1000),-1))&gt;0,"-","NEJ")</f>
        <v>NEJ</v>
      </c>
      <c r="K206" s="36" t="str">
        <f t="shared" si="36"/>
        <v>Hårdhed</v>
      </c>
      <c r="L206" s="36" t="s">
        <v>179</v>
      </c>
      <c r="M206" s="36" t="s">
        <v>179</v>
      </c>
      <c r="R206" s="2" t="str">
        <f t="shared" si="42"/>
        <v>Hårdhed</v>
      </c>
      <c r="S206" s="40" t="str">
        <f t="shared" si="20"/>
        <v>, Enterokokker, Temperatur, Ledningsevne, NVOC, Ammonium, Mangan, Nitrit, Nitrat, Hårdhed</v>
      </c>
    </row>
    <row r="207" spans="5:19" x14ac:dyDescent="0.2">
      <c r="E207" s="49" t="s">
        <v>70</v>
      </c>
      <c r="F207" s="49"/>
      <c r="G207" s="20"/>
      <c r="H207" s="15" t="str">
        <f>IF(IFERROR(SEARCH("NEJ",CONCATENATE(" ",G208,G209)),1)=1,"OK","NEJ")</f>
        <v>NEJ</v>
      </c>
      <c r="K207" s="32"/>
      <c r="L207" s="32"/>
      <c r="M207" s="32"/>
      <c r="R207" s="42"/>
      <c r="S207" s="40" t="str">
        <f t="shared" si="20"/>
        <v>, Enterokokker, Temperatur, Ledningsevne, NVOC, Ammonium, Mangan, Nitrit, Nitrat, Hårdhed</v>
      </c>
    </row>
    <row r="208" spans="5:19" x14ac:dyDescent="0.2">
      <c r="F208" s="9" t="s">
        <v>73</v>
      </c>
      <c r="G208" s="4" t="str">
        <f>IF((IFERROR(SEARCH(K208,Rådata!$B$1000),-1)+IFERROR(SEARCH(L208,Rådata!$B$1000),-1)+IFERROR(SEARCH(M208,Rådata!$B$1000),-1))&gt;0,"-","NEJ")</f>
        <v>NEJ</v>
      </c>
      <c r="K208" s="32" t="str">
        <f>K38</f>
        <v>Arsen</v>
      </c>
      <c r="L208" s="32" t="str">
        <f t="shared" ref="L208:M208" si="47">L38</f>
        <v>Her kan et synonym indsættes</v>
      </c>
      <c r="M208" s="32" t="str">
        <f t="shared" si="47"/>
        <v>Her kan et synonym indsættes</v>
      </c>
      <c r="R208" s="2" t="str">
        <f t="shared" si="42"/>
        <v>Arsen</v>
      </c>
      <c r="S208" s="40" t="str">
        <f t="shared" si="20"/>
        <v>, Enterokokker, Temperatur, Ledningsevne, NVOC, Ammonium, Mangan, Nitrit, Nitrat, Hårdhed, Arsen</v>
      </c>
    </row>
    <row r="209" spans="5:19" x14ac:dyDescent="0.2">
      <c r="F209" s="3" t="s">
        <v>81</v>
      </c>
      <c r="G209" s="4" t="str">
        <f>IF((IFERROR(SEARCH(K209,Rådata!$B$1000),-1)+IFERROR(SEARCH(L209,Rådata!$B$1000),-1)+IFERROR(SEARCH(M209,Rådata!$B$1000),-1))&gt;0,"-","NEJ")</f>
        <v>NEJ</v>
      </c>
      <c r="K209" s="32" t="str">
        <f>K47</f>
        <v>Nikkel</v>
      </c>
      <c r="L209" s="32" t="str">
        <f t="shared" ref="L209:M209" si="48">L47</f>
        <v>Her kan et synonym indsættes</v>
      </c>
      <c r="M209" s="32" t="str">
        <f t="shared" si="48"/>
        <v>Her kan et synonym indsættes</v>
      </c>
      <c r="R209" s="2" t="str">
        <f t="shared" si="42"/>
        <v>Nikkel</v>
      </c>
      <c r="S209" s="40" t="str">
        <f t="shared" si="20"/>
        <v>, Enterokokker, Temperatur, Ledningsevne, NVOC, Ammonium, Mangan, Nitrit, Nitrat, Hårdhed, Arsen, Nikkel</v>
      </c>
    </row>
    <row r="210" spans="5:19" x14ac:dyDescent="0.2">
      <c r="E210" s="48" t="s">
        <v>107</v>
      </c>
      <c r="F210" s="48"/>
      <c r="G210" s="20"/>
      <c r="K210" s="37"/>
      <c r="L210" s="32"/>
      <c r="M210" s="32"/>
      <c r="R210" s="42"/>
      <c r="S210" s="40" t="str">
        <f t="shared" si="20"/>
        <v>, Enterokokker, Temperatur, Ledningsevne, NVOC, Ammonium, Mangan, Nitrit, Nitrat, Hårdhed, Arsen, Nikkel</v>
      </c>
    </row>
    <row r="211" spans="5:19" x14ac:dyDescent="0.2">
      <c r="E211" s="48" t="s">
        <v>108</v>
      </c>
      <c r="F211" s="48"/>
      <c r="G211" s="20"/>
      <c r="H211" s="15" t="str">
        <f>IF(IFERROR(SEARCH("NEJ",CONCATENATE(" ",G212,G213,G214,G215,G216,G217,G218,G219,G220,G221,G222,G223,G224,G225,G226,G227,G228)),1)=1,"OK","NEJ")</f>
        <v>NEJ</v>
      </c>
      <c r="K211" s="37"/>
      <c r="L211" s="32"/>
      <c r="M211" s="32"/>
      <c r="R211" s="42"/>
      <c r="S211" s="40" t="str">
        <f t="shared" si="20"/>
        <v>, Enterokokker, Temperatur, Ledningsevne, NVOC, Ammonium, Mangan, Nitrit, Nitrat, Hårdhed, Arsen, Nikkel</v>
      </c>
    </row>
    <row r="212" spans="5:19" x14ac:dyDescent="0.2">
      <c r="F212" s="9" t="s">
        <v>17</v>
      </c>
      <c r="G212" s="4" t="str">
        <f>IF((IFERROR(SEARCH(K212,Rådata!$B$1000),-1)+IFERROR(SEARCH(L212,Rådata!$B$1000),-1)+IFERROR(SEARCH(M212,Rådata!$B$1000),-1))&gt;0,"-","NEJ")</f>
        <v>NEJ</v>
      </c>
      <c r="K212" s="32" t="str">
        <f>K95</f>
        <v>Aldrin</v>
      </c>
      <c r="L212" s="32" t="str">
        <f t="shared" ref="L212:M212" si="49">L95</f>
        <v>Her kan et synonym indsættes</v>
      </c>
      <c r="M212" s="32" t="str">
        <f t="shared" si="49"/>
        <v>Her kan et synonym indsættes</v>
      </c>
      <c r="R212" s="2" t="str">
        <f t="shared" si="42"/>
        <v>Aldrin</v>
      </c>
      <c r="S212" s="40" t="str">
        <f t="shared" si="20"/>
        <v>, Enterokokker, Temperatur, Ledningsevne, NVOC, Ammonium, Mangan, Nitrit, Nitrat, Hårdhed, Arsen, Nikkel, Aldrin</v>
      </c>
    </row>
    <row r="213" spans="5:19" x14ac:dyDescent="0.2">
      <c r="F213" s="3" t="s">
        <v>236</v>
      </c>
      <c r="G213" s="4" t="str">
        <f>IF((IFERROR(SEARCH(K213,Rådata!$B$1000),-1)+IFERROR(SEARCH(L213,Rådata!$B$1000),-1)+IFERROR(SEARCH(M213,Rådata!$B$1000),-1))&gt;0,"-","NEJ")</f>
        <v>NEJ</v>
      </c>
      <c r="K213" s="32" t="str">
        <f t="shared" ref="K213:M228" si="50">K96</f>
        <v>Dieldrin</v>
      </c>
      <c r="L213" s="32" t="str">
        <f t="shared" si="50"/>
        <v>Her kan et synonym indsættes</v>
      </c>
      <c r="M213" s="32" t="str">
        <f t="shared" si="50"/>
        <v>Her kan et synonym indsættes</v>
      </c>
      <c r="R213" s="2" t="str">
        <f t="shared" si="42"/>
        <v>Dieldrin</v>
      </c>
      <c r="S213" s="40" t="str">
        <f t="shared" si="20"/>
        <v>, Enterokokker, Temperatur, Ledningsevne, NVOC, Ammonium, Mangan, Nitrit, Nitrat, Hårdhed, Arsen, Nikkel, Aldrin, Dieldrin</v>
      </c>
    </row>
    <row r="214" spans="5:19" x14ac:dyDescent="0.2">
      <c r="F214" s="3" t="s">
        <v>237</v>
      </c>
      <c r="G214" s="4" t="str">
        <f>IF((IFERROR(SEARCH(K214,Rådata!$B$1000),-1)+IFERROR(SEARCH(L214,Rådata!$B$1000),-1)+IFERROR(SEARCH(M214,Rådata!$B$1000),-1))&gt;0,"-","NEJ")</f>
        <v>NEJ</v>
      </c>
      <c r="K214" s="32" t="str">
        <f t="shared" si="50"/>
        <v>Heptachlor</v>
      </c>
      <c r="L214" s="32" t="str">
        <f t="shared" si="50"/>
        <v>Her kan et synonym indsættes</v>
      </c>
      <c r="M214" s="32" t="str">
        <f t="shared" si="50"/>
        <v>Her kan et synonym indsættes</v>
      </c>
      <c r="R214" s="2" t="str">
        <f t="shared" si="42"/>
        <v>Heptachlor</v>
      </c>
      <c r="S214" s="40" t="str">
        <f t="shared" si="20"/>
        <v>, Enterokokker, Temperatur, Ledningsevne, NVOC, Ammonium, Mangan, Nitrit, Nitrat, Hårdhed, Arsen, Nikkel, Aldrin, Dieldrin, Heptachlor</v>
      </c>
    </row>
    <row r="215" spans="5:19" x14ac:dyDescent="0.2">
      <c r="F215" s="3" t="s">
        <v>238</v>
      </c>
      <c r="G215" s="4" t="str">
        <f>IF((IFERROR(SEARCH(K215,Rådata!$B$1000),-1)+IFERROR(SEARCH(L215,Rådata!$B$1000),-1)+IFERROR(SEARCH(M215,Rådata!$B$1000),-1))&gt;0,"-","NEJ")</f>
        <v>NEJ</v>
      </c>
      <c r="K215" s="32" t="str">
        <f t="shared" si="50"/>
        <v>Heptachlorepoxid</v>
      </c>
      <c r="L215" s="32" t="str">
        <f t="shared" si="50"/>
        <v>Her kan et synonym indsættes</v>
      </c>
      <c r="M215" s="32" t="str">
        <f t="shared" si="50"/>
        <v>Her kan et synonym indsættes</v>
      </c>
      <c r="R215" s="2" t="str">
        <f t="shared" si="42"/>
        <v>Heptachlorepoxid</v>
      </c>
      <c r="S215" s="40" t="str">
        <f t="shared" si="20"/>
        <v>, Enterokokker, Temperatur, Ledningsevne, NVOC, Ammonium, Mangan, Nitrit, Nitrat, Hårdhed, Arsen, Nikkel, Aldrin, Dieldrin, Heptachlor, Heptachlorepoxid</v>
      </c>
    </row>
    <row r="216" spans="5:19" x14ac:dyDescent="0.2">
      <c r="F216" s="3" t="s">
        <v>19</v>
      </c>
      <c r="G216" s="4" t="str">
        <f>IF((IFERROR(SEARCH(K216,Rådata!$B$1000),-1)+IFERROR(SEARCH(L216,Rådata!$B$1000),-1)+IFERROR(SEARCH(M216,Rådata!$B$1000),-1))&gt;0,"-","NEJ")</f>
        <v>NEJ</v>
      </c>
      <c r="K216" s="32" t="str">
        <f t="shared" si="50"/>
        <v>Atrazin</v>
      </c>
      <c r="L216" s="32" t="str">
        <f t="shared" si="50"/>
        <v>Her kan et synonym indsættes</v>
      </c>
      <c r="M216" s="32" t="str">
        <f t="shared" si="50"/>
        <v>Her kan et synonym indsættes</v>
      </c>
      <c r="R216" s="2" t="str">
        <f t="shared" si="42"/>
        <v>Atrazin</v>
      </c>
      <c r="S216" s="40" t="str">
        <f t="shared" si="20"/>
        <v>, Enterokokker, Temperatur, Ledningsevne, NVOC, Ammonium, Mangan, Nitrit, Nitrat, Hårdhed, Arsen, Nikkel, Aldrin, Dieldrin, Heptachlor, Heptachlorepoxid, Atrazin</v>
      </c>
    </row>
    <row r="217" spans="5:19" x14ac:dyDescent="0.2">
      <c r="F217" s="3" t="s">
        <v>20</v>
      </c>
      <c r="G217" s="4" t="str">
        <f>IF((IFERROR(SEARCH(K217,Rådata!$B$1000),-1)+IFERROR(SEARCH(L217,Rådata!$B$1000),-1)+IFERROR(SEARCH(M217,Rådata!$B$1000),-1))&gt;0,"-","NEJ")</f>
        <v>NEJ</v>
      </c>
      <c r="K217" s="32" t="str">
        <f t="shared" si="50"/>
        <v>Bentazon</v>
      </c>
      <c r="L217" s="32" t="str">
        <f t="shared" si="50"/>
        <v>Her kan et synonym indsættes</v>
      </c>
      <c r="M217" s="32" t="str">
        <f t="shared" si="50"/>
        <v>Her kan et synonym indsættes</v>
      </c>
      <c r="R217" s="2" t="str">
        <f t="shared" si="42"/>
        <v>Bentazon</v>
      </c>
      <c r="S217" s="40" t="str">
        <f t="shared" ref="S217:S255" si="51">IF(R217="",S216,S216&amp;", "&amp;R217)</f>
        <v>, Enterokokker, Temperatur, Ledningsevne, NVOC, Ammonium, Mangan, Nitrit, Nitrat, Hårdhed, Arsen, Nikkel, Aldrin, Dieldrin, Heptachlor, Heptachlorepoxid, Atrazin, Bentazon</v>
      </c>
    </row>
    <row r="218" spans="5:19" x14ac:dyDescent="0.2">
      <c r="F218" s="3" t="s">
        <v>28</v>
      </c>
      <c r="G218" s="4" t="str">
        <f>IF((IFERROR(SEARCH(K218,Rådata!$B$1000),-1)+IFERROR(SEARCH(L218,Rådata!$B$1000),-1)+IFERROR(SEARCH(M218,Rådata!$B$1000),-1))&gt;0,"-","NEJ")</f>
        <v>NEJ</v>
      </c>
      <c r="K218" s="32" t="str">
        <f t="shared" si="50"/>
        <v>Dichlobenil</v>
      </c>
      <c r="L218" s="32" t="str">
        <f t="shared" si="50"/>
        <v>Her kan et synonym indsættes</v>
      </c>
      <c r="M218" s="32" t="str">
        <f t="shared" si="50"/>
        <v>Her kan et synonym indsættes</v>
      </c>
      <c r="R218" s="2" t="str">
        <f t="shared" si="42"/>
        <v>Dichlobenil</v>
      </c>
      <c r="S218" s="40" t="str">
        <f t="shared" si="51"/>
        <v>, Enterokokker, Temperatur, Ledningsevne, NVOC, Ammonium, Mangan, Nitrit, Nitrat, Hårdhed, Arsen, Nikkel, Aldrin, Dieldrin, Heptachlor, Heptachlorepoxid, Atrazin, Bentazon, Dichlobenil</v>
      </c>
    </row>
    <row r="219" spans="5:19" x14ac:dyDescent="0.2">
      <c r="F219" s="3" t="s">
        <v>109</v>
      </c>
      <c r="G219" s="4" t="str">
        <f>IF((IFERROR(SEARCH(K219,Rådata!$B$1000),-1)+IFERROR(SEARCH(L219,Rådata!$B$1000),-1)+IFERROR(SEARCH(M219,Rådata!$B$1000),-1))&gt;0,"-","NEJ")</f>
        <v>NEJ</v>
      </c>
      <c r="K219" s="32" t="str">
        <f t="shared" si="50"/>
        <v>Dichlorprop</v>
      </c>
      <c r="L219" s="32" t="str">
        <f t="shared" si="50"/>
        <v>Her kan et synonym indsættes</v>
      </c>
      <c r="M219" s="32" t="str">
        <f t="shared" si="50"/>
        <v>Her kan et synonym indsættes</v>
      </c>
      <c r="R219" s="2" t="str">
        <f t="shared" si="42"/>
        <v>Dichlorprop</v>
      </c>
      <c r="S219" s="40" t="str">
        <f t="shared" si="51"/>
        <v>, Enterokokker, Temperatur, Ledningsevne, NVOC, Ammonium, Mangan, Nitrit, Nitrat, Hårdhed, Arsen, Nikkel, Aldrin, Dieldrin, Heptachlor, Heptachlorepoxid, Atrazin, Bentazon, Dichlobenil, Dichlorprop</v>
      </c>
    </row>
    <row r="220" spans="5:19" x14ac:dyDescent="0.2">
      <c r="F220" s="3" t="s">
        <v>30</v>
      </c>
      <c r="G220" s="4" t="str">
        <f>IF((IFERROR(SEARCH(K220,Rådata!$B$1000),-1)+IFERROR(SEARCH(L220,Rådata!$B$1000),-1)+IFERROR(SEARCH(M220,Rådata!$B$1000),-1))&gt;0,"-","NEJ")</f>
        <v>NEJ</v>
      </c>
      <c r="K220" s="32" t="str">
        <f t="shared" si="50"/>
        <v>Diuron</v>
      </c>
      <c r="L220" s="32" t="str">
        <f t="shared" si="50"/>
        <v>Her kan et synonym indsættes</v>
      </c>
      <c r="M220" s="32" t="str">
        <f t="shared" si="50"/>
        <v>Her kan et synonym indsættes</v>
      </c>
      <c r="R220" s="2" t="str">
        <f t="shared" si="42"/>
        <v>Diuron</v>
      </c>
      <c r="S220" s="40" t="str">
        <f t="shared" si="51"/>
        <v>, Enterokokker, Temperatur, Ledningsevne, NVOC, Ammonium, Mangan, Nitrit, Nitrat, Hårdhed, Arsen, Nikkel, Aldrin, Dieldrin, Heptachlor, Heptachlorepoxid, Atrazin, Bentazon, Dichlobenil, Dichlorprop, Diuron</v>
      </c>
    </row>
    <row r="221" spans="5:19" x14ac:dyDescent="0.2">
      <c r="F221" s="3" t="s">
        <v>110</v>
      </c>
      <c r="G221" s="4" t="str">
        <f>IF((IFERROR(SEARCH(K221,Rådata!$B$1000),-1)+IFERROR(SEARCH(L221,Rådata!$B$1000),-1)+IFERROR(SEARCH(M221,Rådata!$B$1000),-1))&gt;0,"-","NEJ")</f>
        <v>NEJ</v>
      </c>
      <c r="K221" s="32" t="str">
        <f t="shared" si="50"/>
        <v>Ethylenthiourea</v>
      </c>
      <c r="L221" s="32" t="str">
        <f t="shared" si="50"/>
        <v>Her kan et synonym indsættes</v>
      </c>
      <c r="M221" s="32" t="str">
        <f t="shared" si="50"/>
        <v>Her kan et synonym indsættes</v>
      </c>
      <c r="R221" s="2" t="str">
        <f t="shared" si="42"/>
        <v>ETU (Ethylenthiourea)</v>
      </c>
      <c r="S221" s="40" t="str">
        <f t="shared" si="51"/>
        <v>, Enterokokker, Temperatur, Ledningsevne, NVOC, Ammonium, Mangan, Nitrit, Nitrat, Hårdhed, Arsen, Nikkel, Aldrin, Dieldrin, Heptachlor, Heptachlorepoxid, Atrazin, Bentazon, Dichlobenil, Dichlorprop, Diuron, ETU (Ethylenthiourea)</v>
      </c>
    </row>
    <row r="222" spans="5:19" x14ac:dyDescent="0.2">
      <c r="F222" s="3" t="s">
        <v>31</v>
      </c>
      <c r="G222" s="4" t="str">
        <f>IF((IFERROR(SEARCH(K222,Rådata!$B$1000),-1)+IFERROR(SEARCH(L222,Rådata!$B$1000),-1)+IFERROR(SEARCH(M222,Rådata!$B$1000),-1))&gt;0,"-","NEJ")</f>
        <v>NEJ</v>
      </c>
      <c r="K222" s="32" t="str">
        <f t="shared" si="50"/>
        <v>Glyphosat</v>
      </c>
      <c r="L222" s="32" t="str">
        <f t="shared" si="50"/>
        <v>Her kan et synonym indsættes</v>
      </c>
      <c r="M222" s="32" t="str">
        <f t="shared" si="50"/>
        <v>Her kan et synonym indsættes</v>
      </c>
      <c r="R222" s="2" t="str">
        <f t="shared" si="42"/>
        <v>Glyphosat</v>
      </c>
      <c r="S222" s="40" t="str">
        <f t="shared" si="51"/>
        <v>, Enterokokker, Temperatur, Ledningsevne, NVOC, Ammonium, Mangan, Nitrit, Nitrat, Hårdhed, Arsen, Nikkel, Aldrin, Dieldrin, Heptachlor, Heptachlorepoxid, Atrazin, Bentazon, Dichlobenil, Dichlorprop, Diuron, ETU (Ethylenthiourea), Glyphosat</v>
      </c>
    </row>
    <row r="223" spans="5:19" x14ac:dyDescent="0.2">
      <c r="F223" s="3" t="s">
        <v>32</v>
      </c>
      <c r="G223" s="4" t="str">
        <f>IF((IFERROR(SEARCH(K223,Rådata!$B$1000),-1)+IFERROR(SEARCH(L223,Rådata!$B$1000),-1)+IFERROR(SEARCH(M223,Rådata!$B$1000),-1))&gt;0,"-","NEJ")</f>
        <v>NEJ</v>
      </c>
      <c r="K223" s="32" t="str">
        <f t="shared" si="50"/>
        <v>Hexazinon</v>
      </c>
      <c r="L223" s="32" t="str">
        <f t="shared" si="50"/>
        <v>Her kan et synonym indsættes</v>
      </c>
      <c r="M223" s="32" t="str">
        <f t="shared" si="50"/>
        <v>Her kan et synonym indsættes</v>
      </c>
      <c r="R223" s="2" t="str">
        <f t="shared" si="42"/>
        <v>Hexazinon</v>
      </c>
      <c r="S223" s="40" t="str">
        <f t="shared" si="51"/>
        <v>, Enterokokker, Temperatur, Ledningsevne, NVOC, Ammonium, Mangan, Nitrit, Nitrat, Hårdhed, Arsen, Nikkel, Aldrin, Dieldrin, Heptachlor, Heptachlorepoxid, Atrazin, Bentazon, Dichlobenil, Dichlorprop, Diuron, ETU (Ethylenthiourea), Glyphosat, Hexazinon</v>
      </c>
    </row>
    <row r="224" spans="5:19" x14ac:dyDescent="0.2">
      <c r="F224" s="3" t="s">
        <v>35</v>
      </c>
      <c r="G224" s="4" t="str">
        <f>IF((IFERROR(SEARCH(K224,Rådata!$B$1000),-1)+IFERROR(SEARCH(L224,Rådata!$B$1000),-1)+IFERROR(SEARCH(M224,Rådata!$B$1000),-1))&gt;0,"-","NEJ")</f>
        <v>NEJ</v>
      </c>
      <c r="K224" s="32" t="str">
        <f t="shared" si="50"/>
        <v>MCPA</v>
      </c>
      <c r="L224" s="32" t="str">
        <f t="shared" si="50"/>
        <v>Her kan et synonym indsættes</v>
      </c>
      <c r="M224" s="32" t="str">
        <f t="shared" si="50"/>
        <v>Her kan et synonym indsættes</v>
      </c>
      <c r="R224" s="2" t="str">
        <f t="shared" si="42"/>
        <v>MCPA</v>
      </c>
      <c r="S224" s="40" t="str">
        <f t="shared" si="51"/>
        <v>, Enterokokker, Temperatur, Ledningsevne, NVOC, Ammonium, Mangan, Nitrit, Nitrat, Hårdhed, Arsen, Nikkel, Aldrin, Dieldrin, Heptachlor, Heptachlorepoxid, Atrazin, Bentazon, Dichlobenil, Dichlorprop, Diuron, ETU (Ethylenthiourea), Glyphosat, Hexazinon, MCPA</v>
      </c>
    </row>
    <row r="225" spans="5:19" x14ac:dyDescent="0.2">
      <c r="F225" s="3" t="s">
        <v>111</v>
      </c>
      <c r="G225" s="4" t="str">
        <f>IF((IFERROR(SEARCH(K225,Rådata!$B$1000),-1)+IFERROR(SEARCH(L225,Rådata!$B$1000),-1)+IFERROR(SEARCH(M225,Rådata!$B$1000),-1))&gt;0,"-","NEJ")</f>
        <v>NEJ</v>
      </c>
      <c r="K225" s="32" t="str">
        <f t="shared" si="50"/>
        <v>Mechlorprop</v>
      </c>
      <c r="L225" s="32" t="str">
        <f t="shared" si="50"/>
        <v>Her kan et synonym indsættes</v>
      </c>
      <c r="M225" s="32" t="str">
        <f t="shared" si="50"/>
        <v>Her kan et synonym indsættes</v>
      </c>
      <c r="R225" s="2" t="str">
        <f t="shared" si="42"/>
        <v>Mechlorprop</v>
      </c>
      <c r="S225" s="40" t="str">
        <f t="shared" si="51"/>
        <v>, Enterokokker, Temperatur, Ledningsevne, NVOC, Ammonium, Mangan, Nitrit, Nitrat, Hårdhed, Arsen, Nikkel, Aldrin, Dieldrin, Heptachlor, Heptachlorepoxid, Atrazin, Bentazon, Dichlobenil, Dichlorprop, Diuron, ETU (Ethylenthiourea), Glyphosat, Hexazinon, MCPA, Mechlorprop</v>
      </c>
    </row>
    <row r="226" spans="5:19" x14ac:dyDescent="0.2">
      <c r="F226" s="3" t="s">
        <v>112</v>
      </c>
      <c r="G226" s="4" t="str">
        <f>IF((IFERROR(SEARCH(K226,Rådata!$B$1000),-1)+IFERROR(SEARCH(L226,Rådata!$B$1000),-1)+IFERROR(SEARCH(M226,Rådata!$B$1000),-1))&gt;0,"-","NEJ")</f>
        <v>NEJ</v>
      </c>
      <c r="K226" s="32" t="str">
        <f t="shared" si="50"/>
        <v>Metalaxyl</v>
      </c>
      <c r="L226" s="32" t="str">
        <f t="shared" si="50"/>
        <v>Her kan et synonym indsættes</v>
      </c>
      <c r="M226" s="32" t="str">
        <f t="shared" si="50"/>
        <v>Her kan et synonym indsættes</v>
      </c>
      <c r="R226" s="2" t="str">
        <f t="shared" si="42"/>
        <v>Metalaxyl/metalaxyl-M</v>
      </c>
      <c r="S226"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v>
      </c>
    </row>
    <row r="227" spans="5:19" x14ac:dyDescent="0.2">
      <c r="F227" s="3" t="s">
        <v>36</v>
      </c>
      <c r="G227" s="4" t="str">
        <f>IF((IFERROR(SEARCH(K227,Rådata!$B$1000),-1)+IFERROR(SEARCH(L227,Rådata!$B$1000),-1)+IFERROR(SEARCH(M227,Rådata!$B$1000),-1))&gt;0,"-","NEJ")</f>
        <v>NEJ</v>
      </c>
      <c r="K227" s="32" t="str">
        <f t="shared" si="50"/>
        <v>Metribuzin</v>
      </c>
      <c r="L227" s="32" t="str">
        <f t="shared" si="50"/>
        <v>Her kan et synonym indsættes</v>
      </c>
      <c r="M227" s="32" t="str">
        <f t="shared" si="50"/>
        <v>Her kan et synonym indsættes</v>
      </c>
      <c r="R227" s="2" t="str">
        <f t="shared" si="42"/>
        <v>Metribuzin</v>
      </c>
      <c r="S227"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v>
      </c>
    </row>
    <row r="228" spans="5:19" x14ac:dyDescent="0.2">
      <c r="F228" s="3" t="s">
        <v>40</v>
      </c>
      <c r="G228" s="4" t="str">
        <f>IF((IFERROR(SEARCH(K228,Rådata!$B$1000),-1)+IFERROR(SEARCH(L228,Rådata!$B$1000),-1)+IFERROR(SEARCH(M228,Rådata!$B$1000),-1))&gt;0,"-","NEJ")</f>
        <v>NEJ</v>
      </c>
      <c r="K228" s="32" t="str">
        <f t="shared" si="50"/>
        <v>Simazin</v>
      </c>
      <c r="L228" s="32" t="str">
        <f t="shared" si="50"/>
        <v>Her kan et synonym indsættes</v>
      </c>
      <c r="M228" s="32" t="str">
        <f t="shared" si="50"/>
        <v>Her kan et synonym indsættes</v>
      </c>
      <c r="R228" s="2" t="str">
        <f t="shared" si="42"/>
        <v>Simazin</v>
      </c>
      <c r="S228"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v>
      </c>
    </row>
    <row r="229" spans="5:19" x14ac:dyDescent="0.2">
      <c r="E229" s="48" t="s">
        <v>113</v>
      </c>
      <c r="F229" s="48"/>
      <c r="G229" s="20"/>
      <c r="H229" s="15" t="str">
        <f>IF(IFERROR(SEARCH("NEJ",CONCATENATE(" ",G230,G231,G232,G233,G234,G235,G236,G237,G238,G239,G240,G241,G242,G243,G244,G245,G246,G247,G248,G249,G250,G251,G252,G253,G254,G255)),1)=1,"OK","NEJ")</f>
        <v>NEJ</v>
      </c>
      <c r="K229" s="37"/>
      <c r="L229" s="32"/>
      <c r="M229" s="32"/>
      <c r="R229" s="42"/>
      <c r="S229"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v>
      </c>
    </row>
    <row r="230" spans="5:19" x14ac:dyDescent="0.2">
      <c r="F230" s="9" t="s">
        <v>114</v>
      </c>
      <c r="G230" s="4" t="str">
        <f>IF((IFERROR(SEARCH(K230,Rådata!$B$1000),-1)+IFERROR(SEARCH(L230,Rådata!$B$1000),-1)+IFERROR(SEARCH(M230,Rådata!$B$1000),-1))&gt;0,"-","NEJ")</f>
        <v>NEJ</v>
      </c>
      <c r="K230" s="32" t="str">
        <f t="shared" ref="K230:M236" si="52">K113</f>
        <v>triazol</v>
      </c>
      <c r="L230" s="32" t="str">
        <f t="shared" si="52"/>
        <v>Her kan et synonym indsættes</v>
      </c>
      <c r="M230" s="32" t="str">
        <f t="shared" si="52"/>
        <v>Her kan et synonym indsættes</v>
      </c>
      <c r="R230" s="2" t="str">
        <f t="shared" si="42"/>
        <v>1,2,4-triazol</v>
      </c>
      <c r="S230"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v>
      </c>
    </row>
    <row r="231" spans="5:19" x14ac:dyDescent="0.2">
      <c r="F231" s="3" t="s">
        <v>115</v>
      </c>
      <c r="G231" s="4" t="str">
        <f>IF((IFERROR(SEARCH(K231,Rådata!$B$1000),-1)+IFERROR(SEARCH(L231,Rådata!$B$1000),-1)+IFERROR(SEARCH(M231,Rådata!$B$1000),-1))&gt;0,"-","NEJ")</f>
        <v>NEJ</v>
      </c>
      <c r="K231" s="32" t="str">
        <f t="shared" si="52"/>
        <v>2,6-Dichlorbenzosyre</v>
      </c>
      <c r="L231" s="32" t="str">
        <f t="shared" si="52"/>
        <v>Her kan et synonym indsættes</v>
      </c>
      <c r="M231" s="32" t="str">
        <f t="shared" si="52"/>
        <v>Her kan et synonym indsættes</v>
      </c>
      <c r="R231" s="2" t="str">
        <f t="shared" si="42"/>
        <v>2,6-Dichlorbenzosyre</v>
      </c>
      <c r="S231"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v>
      </c>
    </row>
    <row r="232" spans="5:19" x14ac:dyDescent="0.2">
      <c r="F232" s="3" t="s">
        <v>116</v>
      </c>
      <c r="G232" s="4" t="str">
        <f>IF((IFERROR(SEARCH(K232,Rådata!$B$1000),-1)+IFERROR(SEARCH(L232,Rådata!$B$1000),-1)+IFERROR(SEARCH(M232,Rådata!$B$1000),-1))&gt;0,"-","NEJ")</f>
        <v>NEJ</v>
      </c>
      <c r="K232" s="32" t="str">
        <f t="shared" si="52"/>
        <v>2,4-Dichlorphenol</v>
      </c>
      <c r="L232" s="32" t="str">
        <f t="shared" si="52"/>
        <v>Her kan et synonym indsættes</v>
      </c>
      <c r="M232" s="32" t="str">
        <f t="shared" si="52"/>
        <v>Her kan et synonym indsættes</v>
      </c>
      <c r="R232" s="2" t="str">
        <f t="shared" si="42"/>
        <v>2,4-Dichlorphenol</v>
      </c>
      <c r="S232"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v>
      </c>
    </row>
    <row r="233" spans="5:19" x14ac:dyDescent="0.2">
      <c r="F233" s="3" t="s">
        <v>117</v>
      </c>
      <c r="G233" s="4" t="str">
        <f>IF((IFERROR(SEARCH(K233,Rådata!$B$1000),-1)+IFERROR(SEARCH(L233,Rådata!$B$1000),-1)+IFERROR(SEARCH(M233,Rådata!$B$1000),-1))&gt;0,"-","NEJ")</f>
        <v>NEJ</v>
      </c>
      <c r="K233" s="32" t="str">
        <f t="shared" si="52"/>
        <v>2,6-Dichlorphenol</v>
      </c>
      <c r="L233" s="32" t="str">
        <f t="shared" si="52"/>
        <v>Her kan et synonym indsættes</v>
      </c>
      <c r="M233" s="32" t="str">
        <f t="shared" si="52"/>
        <v>Her kan et synonym indsættes</v>
      </c>
      <c r="R233" s="2" t="str">
        <f t="shared" si="42"/>
        <v>2,6-Dichlorphenol</v>
      </c>
      <c r="S233"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v>
      </c>
    </row>
    <row r="234" spans="5:19" x14ac:dyDescent="0.2">
      <c r="F234" s="3" t="s">
        <v>118</v>
      </c>
      <c r="G234" s="4" t="str">
        <f>IF((IFERROR(SEARCH(K234,Rådata!$B$1000),-1)+IFERROR(SEARCH(L234,Rådata!$B$1000),-1)+IFERROR(SEARCH(M234,Rådata!$B$1000),-1))&gt;0,"-","NEJ")</f>
        <v>NEJ</v>
      </c>
      <c r="K234" s="32" t="str">
        <f t="shared" si="52"/>
        <v>4-CPP</v>
      </c>
      <c r="L234" s="32" t="str">
        <f t="shared" si="52"/>
        <v>Her kan et synonym indsættes</v>
      </c>
      <c r="M234" s="32" t="str">
        <f t="shared" si="52"/>
        <v>Her kan et synonym indsættes</v>
      </c>
      <c r="R234" s="2" t="str">
        <f t="shared" si="42"/>
        <v>4CPP (2-(4-chlorphenoxy)propionsyre)</v>
      </c>
      <c r="S234"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v>
      </c>
    </row>
    <row r="235" spans="5:19" x14ac:dyDescent="0.2">
      <c r="F235" s="3" t="s">
        <v>119</v>
      </c>
      <c r="G235" s="4" t="str">
        <f>IF((IFERROR(SEARCH(K235,Rådata!$B$1000),-1)+IFERROR(SEARCH(L235,Rådata!$B$1000),-1)+IFERROR(SEARCH(M235,Rådata!$B$1000),-1))&gt;0,"-","NEJ")</f>
        <v>NEJ</v>
      </c>
      <c r="K235" s="32" t="str">
        <f t="shared" si="52"/>
        <v>2,6-DCPP</v>
      </c>
      <c r="L235" s="32" t="str">
        <f t="shared" si="52"/>
        <v>Her kan et synonym indsættes</v>
      </c>
      <c r="M235" s="32" t="str">
        <f t="shared" si="52"/>
        <v>Her kan et synonym indsættes</v>
      </c>
      <c r="R235" s="2" t="str">
        <f t="shared" si="42"/>
        <v>2,6-DCPP (2-(2,6-dichlorphenoxy-propionsyre))</v>
      </c>
      <c r="S235"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236" spans="5:19" x14ac:dyDescent="0.2">
      <c r="F236" s="3" t="s">
        <v>120</v>
      </c>
      <c r="G236" s="4" t="str">
        <f>IF((IFERROR(SEARCH(K236,Rådata!$B$1000),-1)+IFERROR(SEARCH(L236,Rådata!$B$1000),-1)+IFERROR(SEARCH(M236,Rådata!$B$1000),-1))&gt;0,"-","NEJ")</f>
        <v>NEJ</v>
      </c>
      <c r="K236" s="32" t="str">
        <f t="shared" si="52"/>
        <v>4-Nitrophenol</v>
      </c>
      <c r="L236" s="32" t="str">
        <f t="shared" si="52"/>
        <v>Her kan et synonym indsættes</v>
      </c>
      <c r="M236" s="32" t="str">
        <f t="shared" si="52"/>
        <v>Her kan et synonym indsættes</v>
      </c>
      <c r="R236" s="2" t="str">
        <f t="shared" si="42"/>
        <v>4-Nitrophenol</v>
      </c>
      <c r="S236"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237" spans="5:19" x14ac:dyDescent="0.2">
      <c r="F237" s="3" t="s">
        <v>121</v>
      </c>
      <c r="G237" s="4" t="str">
        <f>IF((IFERROR(SEARCH(K237,Rådata!$B$1000),-1)+IFERROR(SEARCH(L237,Rådata!$B$1000),-1)+IFERROR(SEARCH(M237,Rådata!$B$1000),-1))&gt;0,"-","NEJ")</f>
        <v>NEJ</v>
      </c>
      <c r="K237" s="32" t="str">
        <f>K120</f>
        <v>AMPA</v>
      </c>
      <c r="L237" s="32" t="str">
        <f t="shared" ref="L237:M237" si="53">L120</f>
        <v>Her kan et synonym indsættes</v>
      </c>
      <c r="M237" s="32" t="str">
        <f t="shared" si="53"/>
        <v>Her kan et synonym indsættes</v>
      </c>
      <c r="R237" s="2" t="str">
        <f t="shared" si="42"/>
        <v>AMPA (Aminomethylphosphorsyre)</v>
      </c>
      <c r="S237"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238" spans="5:19" x14ac:dyDescent="0.2">
      <c r="F238" s="3" t="s">
        <v>122</v>
      </c>
      <c r="G238" s="4" t="str">
        <f>IF((IFERROR(SEARCH(K238,Rådata!$B$1000),-1)+IFERROR(SEARCH(L238,Rådata!$B$1000),-1)+IFERROR(SEARCH(M238,Rådata!$B$1000),-1))&gt;0,"-","NEJ")</f>
        <v>NEJ</v>
      </c>
      <c r="K238" s="32" t="str">
        <f t="shared" ref="K238:M255" si="54">K121</f>
        <v>Dichlorbenzamid</v>
      </c>
      <c r="L238" s="32" t="str">
        <f t="shared" si="54"/>
        <v>Her kan et synonym indsættes</v>
      </c>
      <c r="M238" s="32" t="str">
        <f t="shared" si="54"/>
        <v>Her kan et synonym indsættes</v>
      </c>
      <c r="R238" s="2" t="str">
        <f t="shared" si="42"/>
        <v>BAM (2,6-Dichlorbenzamid)</v>
      </c>
      <c r="S238"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239" spans="5:19" x14ac:dyDescent="0.2">
      <c r="F239" s="3" t="s">
        <v>123</v>
      </c>
      <c r="G239" s="4" t="str">
        <f>IF((IFERROR(SEARCH(K239,Rådata!$B$1000),-1)+IFERROR(SEARCH(L239,Rådata!$B$1000),-1)+IFERROR(SEARCH(M239,Rådata!$B$1000),-1))&gt;0,"-","NEJ")</f>
        <v>NEJ</v>
      </c>
      <c r="K239" s="32" t="str">
        <f t="shared" si="54"/>
        <v>CGA 62826</v>
      </c>
      <c r="L239" s="32" t="str">
        <f t="shared" si="54"/>
        <v>Her kan et synonym indsættes</v>
      </c>
      <c r="M239" s="32" t="str">
        <f t="shared" si="54"/>
        <v>Her kan et synonym indsættes</v>
      </c>
      <c r="R239" s="2" t="str">
        <f t="shared" si="42"/>
        <v>N-(2, 6-dimethylphenyl)-N-(Methoxyacetyl)alanin (CGA62826)</v>
      </c>
      <c r="S239"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240" spans="5:19" x14ac:dyDescent="0.2">
      <c r="F240" s="3" t="s">
        <v>124</v>
      </c>
      <c r="G240" s="4" t="str">
        <f>IF((IFERROR(SEARCH(K240,Rådata!$B$1000),-1)+IFERROR(SEARCH(L240,Rådata!$B$1000),-1)+IFERROR(SEARCH(M240,Rådata!$B$1000),-1))&gt;0,"-","NEJ")</f>
        <v>NEJ</v>
      </c>
      <c r="K240" s="32" t="str">
        <f t="shared" si="54"/>
        <v>CGA 108906</v>
      </c>
      <c r="L240" s="32" t="str">
        <f t="shared" si="54"/>
        <v>Her kan et synonym indsættes</v>
      </c>
      <c r="M240" s="32" t="str">
        <f t="shared" si="54"/>
        <v>Her kan et synonym indsættes</v>
      </c>
      <c r="R240" s="2" t="str">
        <f t="shared" si="42"/>
        <v>N-(2-carboxy-6-methylphenyl) N-methoxyacetyl)alanin (CGA108906)</v>
      </c>
      <c r="S240"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241" spans="6:19" x14ac:dyDescent="0.2">
      <c r="F241" s="3" t="s">
        <v>125</v>
      </c>
      <c r="G241" s="4" t="str">
        <f>IF((IFERROR(SEARCH(K241,Rådata!$B$1000),-1)+IFERROR(SEARCH(L241,Rådata!$B$1000),-1)+IFERROR(SEARCH(M241,Rådata!$B$1000),-1))&gt;0,"-","NEJ")</f>
        <v>NEJ</v>
      </c>
      <c r="K241" s="32" t="str">
        <f t="shared" si="54"/>
        <v>Desethyl-desisopropyl-atrazin</v>
      </c>
      <c r="L241" s="32" t="str">
        <f t="shared" si="54"/>
        <v>Desethyldesisopropyl-atrazin</v>
      </c>
      <c r="M241" s="32" t="str">
        <f t="shared" si="54"/>
        <v>Her kan et synonym indsættes</v>
      </c>
      <c r="R241" s="2" t="str">
        <f t="shared" si="42"/>
        <v>DEIA (Desethyldesisopropyl-atrazin)</v>
      </c>
      <c r="S241"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242" spans="6:19" x14ac:dyDescent="0.2">
      <c r="F242" s="3" t="s">
        <v>25</v>
      </c>
      <c r="G242" s="4" t="str">
        <f>IF((IFERROR(SEARCH(K242,Rådata!$B$1000),-1)+IFERROR(SEARCH(L242,Rådata!$B$1000),-1)+IFERROR(SEARCH(M242,Rådata!$B$1000),-1))&gt;0,"-","NEJ")</f>
        <v>NEJ</v>
      </c>
      <c r="K242" s="32" t="str">
        <f t="shared" si="54"/>
        <v>Desethyl-hydroxy-atrazin</v>
      </c>
      <c r="L242" s="32" t="str">
        <f t="shared" si="54"/>
        <v>Desethylhydroxy-atrazin</v>
      </c>
      <c r="M242" s="32" t="str">
        <f t="shared" si="54"/>
        <v>Her kan et synonym indsættes</v>
      </c>
      <c r="R242" s="2" t="str">
        <f t="shared" si="42"/>
        <v>Desethyl-hydroxy-atrazin</v>
      </c>
      <c r="S242"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243" spans="6:19" x14ac:dyDescent="0.2">
      <c r="F243" s="3" t="s">
        <v>23</v>
      </c>
      <c r="G243" s="4" t="str">
        <f>IF((IFERROR(SEARCH(K243,Rådata!$B$1000),-1)+IFERROR(SEARCH(L243,Rådata!$B$1000),-1)+IFERROR(SEARCH(M243,Rådata!$B$1000),-1))&gt;0,"-","NEJ")</f>
        <v>NEJ</v>
      </c>
      <c r="K243" s="32" t="str">
        <f t="shared" si="54"/>
        <v>Desethyl-atrazin</v>
      </c>
      <c r="L243" s="32" t="str">
        <f t="shared" si="54"/>
        <v>Desethylatrazin</v>
      </c>
      <c r="M243" s="32" t="str">
        <f t="shared" si="54"/>
        <v>Atrazin, desethyl-</v>
      </c>
      <c r="R243" s="2" t="str">
        <f t="shared" si="42"/>
        <v>Desethyl-atrazin</v>
      </c>
      <c r="S243"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244" spans="6:19" x14ac:dyDescent="0.2">
      <c r="F244" s="3" t="s">
        <v>26</v>
      </c>
      <c r="G244" s="4" t="str">
        <f>IF((IFERROR(SEARCH(K244,Rådata!$B$1000),-1)+IFERROR(SEARCH(L244,Rådata!$B$1000),-1)+IFERROR(SEARCH(M244,Rådata!$B$1000),-1))&gt;0,"-","NEJ")</f>
        <v>NEJ</v>
      </c>
      <c r="K244" s="32" t="str">
        <f t="shared" si="54"/>
        <v>Desethyl-terbutylazin</v>
      </c>
      <c r="L244" s="32" t="str">
        <f t="shared" si="54"/>
        <v>Desethylterbutylazin</v>
      </c>
      <c r="M244" s="32" t="str">
        <f t="shared" si="54"/>
        <v>Her kan et synonym indsættes</v>
      </c>
      <c r="R244" s="2" t="str">
        <f t="shared" si="42"/>
        <v>Desethyl-terbutylazin</v>
      </c>
      <c r="S244"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245" spans="6:19" x14ac:dyDescent="0.2">
      <c r="F245" s="3" t="s">
        <v>27</v>
      </c>
      <c r="G245" s="4" t="str">
        <f>IF((IFERROR(SEARCH(K245,Rådata!$B$1000),-1)+IFERROR(SEARCH(L245,Rådata!$B$1000),-1)+IFERROR(SEARCH(M245,Rådata!$B$1000),-1))&gt;0,"-","NEJ")</f>
        <v>NEJ</v>
      </c>
      <c r="K245" s="32" t="str">
        <f t="shared" si="54"/>
        <v>Desisopropyl-atrazin</v>
      </c>
      <c r="L245" s="32" t="str">
        <f t="shared" si="54"/>
        <v>Desisopropylatrazin</v>
      </c>
      <c r="M245" s="32" t="str">
        <f t="shared" si="54"/>
        <v>Her kan et synonym indsættes</v>
      </c>
      <c r="R245" s="2" t="str">
        <f t="shared" si="42"/>
        <v>Desisopropyl-atrazin</v>
      </c>
      <c r="S245"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246" spans="6:19" x14ac:dyDescent="0.2">
      <c r="F246" s="3" t="s">
        <v>22</v>
      </c>
      <c r="G246" s="4" t="str">
        <f>IF((IFERROR(SEARCH(K246,Rådata!$B$1000),-1)+IFERROR(SEARCH(L246,Rådata!$B$1000),-1)+IFERROR(SEARCH(M246,Rådata!$B$1000),-1))&gt;0,"-","NEJ")</f>
        <v>NEJ</v>
      </c>
      <c r="K246" s="32" t="str">
        <f t="shared" si="54"/>
        <v>Deisopropyl-hydroxy-atrazin</v>
      </c>
      <c r="L246" s="32" t="str">
        <f t="shared" si="54"/>
        <v>Desisopropylhydroxy-atrazin</v>
      </c>
      <c r="M246" s="32" t="str">
        <f t="shared" si="54"/>
        <v>Desisopropyl-hydroxyatrazin</v>
      </c>
      <c r="R246" s="2" t="str">
        <f t="shared" si="42"/>
        <v>Deisopropyl-hydroxy-atrazin</v>
      </c>
      <c r="S246"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v>
      </c>
    </row>
    <row r="247" spans="6:19" x14ac:dyDescent="0.2">
      <c r="F247" s="3" t="s">
        <v>126</v>
      </c>
      <c r="G247" s="4" t="str">
        <f>IF((IFERROR(SEARCH(K247,Rådata!$B$1000),-1)+IFERROR(SEARCH(L247,Rådata!$B$1000),-1)+IFERROR(SEARCH(M247,Rådata!$B$1000),-1))&gt;0,"-","NEJ")</f>
        <v>NEJ</v>
      </c>
      <c r="K247" s="32" t="str">
        <f t="shared" si="54"/>
        <v>chloridazon, Desphenyl-</v>
      </c>
      <c r="L247" s="32" t="str">
        <f t="shared" si="54"/>
        <v>Desphenylchloridazon</v>
      </c>
      <c r="M247" s="32" t="str">
        <f t="shared" si="54"/>
        <v>Desphenyl-Chloridazon</v>
      </c>
      <c r="R247" s="2" t="str">
        <f t="shared" si="42"/>
        <v>Desphenyl-chloridazon</v>
      </c>
      <c r="S247"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v>
      </c>
    </row>
    <row r="248" spans="6:19" x14ac:dyDescent="0.2">
      <c r="F248" s="3" t="s">
        <v>29</v>
      </c>
      <c r="G248" s="4" t="str">
        <f>IF((IFERROR(SEARCH(K248,Rådata!$B$1000),-1)+IFERROR(SEARCH(L248,Rådata!$B$1000),-1)+IFERROR(SEARCH(M248,Rådata!$B$1000),-1))&gt;0,"-","NEJ")</f>
        <v>NEJ</v>
      </c>
      <c r="K248" s="32" t="str">
        <f t="shared" si="54"/>
        <v>Didealkyl-hydroxy-atrazin</v>
      </c>
      <c r="L248" s="32" t="str">
        <f t="shared" si="54"/>
        <v>Didealkylhydroxy-atrazin</v>
      </c>
      <c r="M248" s="32" t="str">
        <f t="shared" si="54"/>
        <v>Her kan et synonym indsættes</v>
      </c>
      <c r="R248" s="2" t="str">
        <f t="shared" si="42"/>
        <v>Didealkyl-hydroxy-atrazin</v>
      </c>
      <c r="S248"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v>
      </c>
    </row>
    <row r="249" spans="6:19" x14ac:dyDescent="0.2">
      <c r="F249" s="3" t="s">
        <v>33</v>
      </c>
      <c r="G249" s="4" t="str">
        <f>IF((IFERROR(SEARCH(K249,Rådata!$B$1000),-1)+IFERROR(SEARCH(L249,Rådata!$B$1000),-1)+IFERROR(SEARCH(M249,Rådata!$B$1000),-1))&gt;0,"-","NEJ")</f>
        <v>NEJ</v>
      </c>
      <c r="K249" s="32" t="str">
        <f t="shared" si="54"/>
        <v>Hydroxyatrazin</v>
      </c>
      <c r="L249" s="32" t="str">
        <f t="shared" si="54"/>
        <v>Her kan et synonym indsættes</v>
      </c>
      <c r="M249" s="32" t="str">
        <f t="shared" si="54"/>
        <v>Her kan et synonym indsættes</v>
      </c>
      <c r="R249" s="2" t="str">
        <f t="shared" si="42"/>
        <v>Hydroxyatrazin</v>
      </c>
      <c r="S249"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v>
      </c>
    </row>
    <row r="250" spans="6:19" x14ac:dyDescent="0.2">
      <c r="F250" s="3" t="s">
        <v>34</v>
      </c>
      <c r="G250" s="4" t="str">
        <f>IF((IFERROR(SEARCH(K250,Rådata!$B$1000),-1)+IFERROR(SEARCH(L250,Rådata!$B$1000),-1)+IFERROR(SEARCH(M250,Rådata!$B$1000),-1))&gt;0,"-","NEJ")</f>
        <v>NEJ</v>
      </c>
      <c r="K250" s="32" t="str">
        <f t="shared" si="54"/>
        <v>Hydroxysimazin</v>
      </c>
      <c r="L250" s="32" t="str">
        <f t="shared" si="54"/>
        <v>Her kan et synonym indsættes</v>
      </c>
      <c r="M250" s="32" t="str">
        <f t="shared" si="54"/>
        <v>Her kan et synonym indsættes</v>
      </c>
      <c r="R250" s="2" t="str">
        <f t="shared" si="42"/>
        <v>Hydroxysimazin</v>
      </c>
      <c r="S250"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v>
      </c>
    </row>
    <row r="251" spans="6:19" x14ac:dyDescent="0.2">
      <c r="F251" s="3" t="s">
        <v>127</v>
      </c>
      <c r="G251" s="4" t="str">
        <f>IF((IFERROR(SEARCH(K251,Rådata!$B$1000),-1)+IFERROR(SEARCH(L251,Rådata!$B$1000),-1)+IFERROR(SEARCH(M251,Rådata!$B$1000),-1))&gt;0,"-","NEJ")</f>
        <v>NEJ</v>
      </c>
      <c r="K251" s="32" t="str">
        <f t="shared" si="54"/>
        <v>chloridazon, Methyl-desphenyl-</v>
      </c>
      <c r="L251" s="32" t="str">
        <f t="shared" si="54"/>
        <v>Methyl-desphenyl-chloridazon</v>
      </c>
      <c r="M251" s="32" t="str">
        <f t="shared" si="54"/>
        <v>Methyl-desphenyl chloridazon</v>
      </c>
      <c r="R251" s="2" t="str">
        <f t="shared" si="42"/>
        <v>Methyl-desphenyl-chloridazon</v>
      </c>
      <c r="S251"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v>
      </c>
    </row>
    <row r="252" spans="6:19" x14ac:dyDescent="0.2">
      <c r="F252" s="3" t="s">
        <v>38</v>
      </c>
      <c r="G252" s="4" t="str">
        <f>IF((IFERROR(SEARCH(K252,Rådata!$B$1000),-1)+IFERROR(SEARCH(L252,Rådata!$B$1000),-1)+IFERROR(SEARCH(M252,Rådata!$B$1000),-1))&gt;0,"-","NEJ")</f>
        <v>NEJ</v>
      </c>
      <c r="K252" s="32" t="str">
        <f t="shared" si="54"/>
        <v>Metribuzin-desamino-diketo</v>
      </c>
      <c r="L252" s="32" t="str">
        <f t="shared" si="54"/>
        <v>Metribuzin-DADK</v>
      </c>
      <c r="M252" s="32" t="str">
        <f t="shared" si="54"/>
        <v>Her kan et synonym indsættes</v>
      </c>
      <c r="R252" s="2" t="str">
        <f t="shared" si="42"/>
        <v>Metribuzin-desamino-diketo</v>
      </c>
      <c r="S252"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v>
      </c>
    </row>
    <row r="253" spans="6:19" x14ac:dyDescent="0.2">
      <c r="F253" s="3" t="s">
        <v>39</v>
      </c>
      <c r="G253" s="4" t="str">
        <f>IF((IFERROR(SEARCH(K253,Rådata!$B$1000),-1)+IFERROR(SEARCH(L253,Rådata!$B$1000),-1)+IFERROR(SEARCH(M253,Rådata!$B$1000),-1))&gt;0,"-","NEJ")</f>
        <v>NEJ</v>
      </c>
      <c r="K253" s="32" t="str">
        <f t="shared" si="54"/>
        <v>Metribuzin-diketo</v>
      </c>
      <c r="L253" s="32" t="str">
        <f t="shared" si="54"/>
        <v>Metribuzin-deketo</v>
      </c>
      <c r="M253" s="32" t="str">
        <f t="shared" si="54"/>
        <v>Her kan et synonym indsættes</v>
      </c>
      <c r="R253" s="2" t="str">
        <f t="shared" si="42"/>
        <v>Metribuzin-diketo</v>
      </c>
      <c r="S253"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254" spans="6:19" x14ac:dyDescent="0.2">
      <c r="F254" s="3" t="s">
        <v>37</v>
      </c>
      <c r="G254" s="4" t="str">
        <f>IF((IFERROR(SEARCH(K254,Rådata!$B$1000),-1)+IFERROR(SEARCH(L254,Rådata!$B$1000),-1)+IFERROR(SEARCH(M254,Rådata!$B$1000),-1))&gt;0,"-","NEJ")</f>
        <v>NEJ</v>
      </c>
      <c r="K254" s="32" t="str">
        <f t="shared" si="54"/>
        <v>Metribuzin-desamino</v>
      </c>
      <c r="L254" s="32" t="str">
        <f t="shared" si="54"/>
        <v>Her kan et synonym indsættes</v>
      </c>
      <c r="M254" s="32" t="str">
        <f t="shared" si="54"/>
        <v>Her kan et synonym indsættes</v>
      </c>
      <c r="R254" s="2" t="str">
        <f t="shared" si="42"/>
        <v>Metribuzin-desamino</v>
      </c>
      <c r="S254"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255" spans="6:19" x14ac:dyDescent="0.2">
      <c r="F255" s="3" t="s">
        <v>128</v>
      </c>
      <c r="G255" s="4" t="str">
        <f>IF((IFERROR(SEARCH(K255,Rådata!$B$1000),-1)+IFERROR(SEARCH(L255,Rådata!$B$1000),-1)+IFERROR(SEARCH(M255,Rådata!$B$1000),-1))&gt;0,"-","NEJ")</f>
        <v>NEJ</v>
      </c>
      <c r="K255" s="32" t="str">
        <f t="shared" si="54"/>
        <v>Sum af pesticider</v>
      </c>
      <c r="L255" s="32" t="str">
        <f t="shared" si="54"/>
        <v>total pesticid</v>
      </c>
      <c r="M255" s="32" t="str">
        <f t="shared" si="54"/>
        <v>pesticid total</v>
      </c>
      <c r="R255" s="2" t="str">
        <f t="shared" si="42"/>
        <v>Sum af pesticider</v>
      </c>
      <c r="S255" s="40" t="str">
        <f t="shared" si="51"/>
        <v>, Enterokokker, Temperatur, Ledningsevne, NVOC, Ammonium, Mangan, Nitrit, Nitrat,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256" spans="6:19" x14ac:dyDescent="0.2">
      <c r="K256" s="35"/>
      <c r="L256" s="35"/>
      <c r="M256" s="35"/>
      <c r="R256" s="42"/>
    </row>
    <row r="257" spans="5:19" x14ac:dyDescent="0.2">
      <c r="E257" s="47" t="s">
        <v>169</v>
      </c>
      <c r="F257" s="47"/>
      <c r="G257" s="17" t="str">
        <f>IF(IFERROR(SEARCH("NEJ",CONCATENATE(" ",H259,H281,H288,H306)),1)=1,"(OK)","(NEJ)")</f>
        <v>(NEJ)</v>
      </c>
      <c r="H257" s="12" t="str">
        <f>IF(G257="OK","",RIGHT(S332,LEN(S332)))</f>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c r="K257" s="39"/>
      <c r="L257" s="35"/>
      <c r="M257" s="35"/>
      <c r="R257" s="42"/>
    </row>
    <row r="258" spans="5:19" x14ac:dyDescent="0.2">
      <c r="F258" s="19"/>
      <c r="G258" s="5"/>
      <c r="K258" s="35"/>
      <c r="L258" s="35"/>
      <c r="M258" s="35"/>
      <c r="R258" s="42"/>
    </row>
    <row r="259" spans="5:19" x14ac:dyDescent="0.2">
      <c r="E259" s="49" t="s">
        <v>63</v>
      </c>
      <c r="F259" s="49"/>
      <c r="G259" s="16"/>
      <c r="H259" s="15" t="str">
        <f>IF(IFERROR(SEARCH("NEJ",CONCATENATE(" ",G260,G261,G262,G263,G264,G265,G266,G267,G268,G269,G270,G271,G272,G273,G274,G275,G276,G277,G278,G279,G280)),1)=1,"OK","NEJ")</f>
        <v>NEJ</v>
      </c>
      <c r="K259" s="35"/>
      <c r="L259" s="35"/>
      <c r="M259" s="35"/>
      <c r="R259" s="42"/>
    </row>
    <row r="260" spans="5:19" x14ac:dyDescent="0.2">
      <c r="F260" s="9" t="s">
        <v>64</v>
      </c>
      <c r="G260" s="4" t="str">
        <f>IF((IFERROR(SEARCH(K260,Rådata!$B$1000),-1)+IFERROR(SEARCH(L260,Rådata!$B$1000),-1)+IFERROR(SEARCH(M260,Rådata!$B$1000),-1))&gt;0,"-","NEJ")</f>
        <v>NEJ</v>
      </c>
      <c r="K260" s="32" t="str">
        <f>K25</f>
        <v>Temperatur</v>
      </c>
      <c r="L260" s="32" t="str">
        <f t="shared" ref="L260:M260" si="55">L25</f>
        <v>Her kan et synonym indsættes</v>
      </c>
      <c r="M260" s="32" t="str">
        <f t="shared" si="55"/>
        <v>Her kan et synonym indsættes</v>
      </c>
      <c r="R260" s="2" t="str">
        <f t="shared" si="42"/>
        <v>Temperatur</v>
      </c>
      <c r="S260" t="str">
        <f>R260</f>
        <v>Temperatur</v>
      </c>
    </row>
    <row r="261" spans="5:19" x14ac:dyDescent="0.2">
      <c r="F261" s="3" t="s">
        <v>51</v>
      </c>
      <c r="G261" s="4" t="str">
        <f>IF((IFERROR(SEARCH(K261,Rådata!$B$1000),-1)+IFERROR(SEARCH(L261,Rådata!$B$1000),-1)+IFERROR(SEARCH(M261,Rådata!$B$1000),-1))&gt;0,"-","NEJ")</f>
        <v>-</v>
      </c>
      <c r="K261" s="32" t="str">
        <f>K12</f>
        <v>pH</v>
      </c>
      <c r="L261" s="32" t="str">
        <f t="shared" ref="L261:M261" si="56">L12</f>
        <v>Her kan et synonym indsættes</v>
      </c>
      <c r="M261" s="32" t="str">
        <f t="shared" si="56"/>
        <v>Her kan et synonym indsættes</v>
      </c>
      <c r="R261" s="2" t="str">
        <f t="shared" si="42"/>
        <v/>
      </c>
      <c r="S261" s="40" t="str">
        <f t="shared" ref="S261:S324" si="57">IF(R261="",S260,S260&amp;", "&amp;R261)</f>
        <v>Temperatur</v>
      </c>
    </row>
    <row r="262" spans="5:19" x14ac:dyDescent="0.2">
      <c r="F262" s="3" t="s">
        <v>52</v>
      </c>
      <c r="G262" s="4" t="str">
        <f>IF((IFERROR(SEARCH(K262,Rådata!$B$1000),-1)+IFERROR(SEARCH(L262,Rådata!$B$1000),-1)+IFERROR(SEARCH(M262,Rådata!$B$1000),-1))&gt;0,"-","NEJ")</f>
        <v>NEJ</v>
      </c>
      <c r="K262" s="32" t="str">
        <f>K13</f>
        <v>Ledningsevne</v>
      </c>
      <c r="L262" s="32" t="str">
        <f t="shared" ref="L262:M262" si="58">L13</f>
        <v>Her kan et synonym indsættes</v>
      </c>
      <c r="M262" s="32" t="str">
        <f t="shared" si="58"/>
        <v>Her kan et synonym indsættes</v>
      </c>
      <c r="R262" s="2" t="str">
        <f t="shared" ref="R262:R325" si="59">IF(G262="NEJ",F262,"")</f>
        <v>Ledningsevne</v>
      </c>
      <c r="S262" s="40" t="str">
        <f t="shared" si="57"/>
        <v>Temperatur, Ledningsevne</v>
      </c>
    </row>
    <row r="263" spans="5:19" x14ac:dyDescent="0.2">
      <c r="F263" s="3" t="s">
        <v>65</v>
      </c>
      <c r="G263" s="4" t="str">
        <f>IF((IFERROR(SEARCH(K263,Rådata!$B$1000),-1)+IFERROR(SEARCH(L263,Rådata!$B$1000),-1)+IFERROR(SEARCH(M263,Rådata!$B$1000),-1))&gt;0,"-","NEJ")</f>
        <v>NEJ</v>
      </c>
      <c r="K263" s="32" t="str">
        <f>K26</f>
        <v>NVOC</v>
      </c>
      <c r="L263" s="32" t="str">
        <f t="shared" ref="L263:M263" si="60">L26</f>
        <v>Her kan et synonym indsættes</v>
      </c>
      <c r="M263" s="32" t="str">
        <f t="shared" si="60"/>
        <v>Her kan et synonym indsættes</v>
      </c>
      <c r="R263" s="2" t="str">
        <f t="shared" si="59"/>
        <v>NVOC</v>
      </c>
      <c r="S263" s="40" t="str">
        <f t="shared" si="57"/>
        <v>Temperatur, Ledningsevne, NVOC</v>
      </c>
    </row>
    <row r="264" spans="5:19" x14ac:dyDescent="0.2">
      <c r="F264" s="3" t="s">
        <v>160</v>
      </c>
      <c r="G264" s="4" t="str">
        <f>IF((IFERROR(SEARCH(K264,Rådata!$B$1000),-1)+IFERROR(SEARCH(L264,Rådata!$B$1000),-1)+IFERROR(SEARCH(M264,Rådata!$B$1000),-1))&gt;0,"-","NEJ")</f>
        <v>NEJ</v>
      </c>
      <c r="K264" s="36" t="str">
        <f t="shared" ref="K264:K278" si="61">F264</f>
        <v>Calcium</v>
      </c>
      <c r="L264" s="36" t="s">
        <v>179</v>
      </c>
      <c r="M264" s="36" t="s">
        <v>179</v>
      </c>
      <c r="R264" s="2" t="str">
        <f t="shared" si="59"/>
        <v>Calcium</v>
      </c>
      <c r="S264" s="40" t="str">
        <f t="shared" si="57"/>
        <v>Temperatur, Ledningsevne, NVOC, Calcium</v>
      </c>
    </row>
    <row r="265" spans="5:19" x14ac:dyDescent="0.2">
      <c r="F265" s="3" t="s">
        <v>161</v>
      </c>
      <c r="G265" s="4" t="str">
        <f>IF((IFERROR(SEARCH(K265,Rådata!$B$1000),-1)+IFERROR(SEARCH(L265,Rådata!$B$1000),-1)+IFERROR(SEARCH(M265,Rådata!$B$1000),-1))&gt;0,"-","NEJ")</f>
        <v>NEJ</v>
      </c>
      <c r="K265" s="36" t="str">
        <f t="shared" si="61"/>
        <v>Magnesium</v>
      </c>
      <c r="L265" s="36" t="s">
        <v>179</v>
      </c>
      <c r="M265" s="36" t="s">
        <v>179</v>
      </c>
      <c r="R265" s="2" t="str">
        <f t="shared" si="59"/>
        <v>Magnesium</v>
      </c>
      <c r="S265" s="40" t="str">
        <f t="shared" si="57"/>
        <v>Temperatur, Ledningsevne, NVOC, Calcium, Magnesium</v>
      </c>
    </row>
    <row r="266" spans="5:19" x14ac:dyDescent="0.2">
      <c r="F266" s="3" t="s">
        <v>66</v>
      </c>
      <c r="G266" s="4" t="str">
        <f>IF((IFERROR(SEARCH(K266,Rådata!$B$1000),-1)+IFERROR(SEARCH(L266,Rådata!$B$1000),-1)+IFERROR(SEARCH(M266,Rådata!$B$1000),-1))&gt;0,"-","NEJ")</f>
        <v>NEJ</v>
      </c>
      <c r="K266" s="32" t="str">
        <f>K27</f>
        <v>Natrium</v>
      </c>
      <c r="L266" s="32" t="str">
        <f t="shared" ref="L266:M266" si="62">L27</f>
        <v>Her kan et synonym indsættes</v>
      </c>
      <c r="M266" s="32" t="str">
        <f t="shared" si="62"/>
        <v>Her kan et synonym indsættes</v>
      </c>
      <c r="R266" s="2" t="str">
        <f t="shared" si="59"/>
        <v>Natrium</v>
      </c>
      <c r="S266" s="40" t="str">
        <f t="shared" si="57"/>
        <v>Temperatur, Ledningsevne, NVOC, Calcium, Magnesium, Natrium</v>
      </c>
    </row>
    <row r="267" spans="5:19" x14ac:dyDescent="0.2">
      <c r="F267" s="3" t="s">
        <v>67</v>
      </c>
      <c r="G267" s="4" t="str">
        <f>IF((IFERROR(SEARCH(K267,Rådata!$B$1000),-1)+IFERROR(SEARCH(L267,Rådata!$B$1000),-1)+IFERROR(SEARCH(M267,Rådata!$B$1000),-1))&gt;0,"-","NEJ")</f>
        <v>NEJ</v>
      </c>
      <c r="K267" s="32" t="str">
        <f>K28</f>
        <v>Ammonium</v>
      </c>
      <c r="L267" s="32" t="str">
        <f t="shared" ref="L267:M267" si="63">L28</f>
        <v>Her kan et synonym indsættes</v>
      </c>
      <c r="M267" s="32" t="str">
        <f t="shared" si="63"/>
        <v>Her kan et synonym indsættes</v>
      </c>
      <c r="R267" s="2" t="str">
        <f t="shared" si="59"/>
        <v>Ammonium</v>
      </c>
      <c r="S267" s="40" t="str">
        <f t="shared" si="57"/>
        <v>Temperatur, Ledningsevne, NVOC, Calcium, Magnesium, Natrium, Ammonium</v>
      </c>
    </row>
    <row r="268" spans="5:19" x14ac:dyDescent="0.2">
      <c r="F268" s="3" t="s">
        <v>162</v>
      </c>
      <c r="G268" s="4" t="str">
        <f>IF((IFERROR(SEARCH(K268,Rådata!$B$1000),-1)+IFERROR(SEARCH(L268,Rådata!$B$1000),-1)+IFERROR(SEARCH(M268,Rådata!$B$1000),-1))&gt;0,"-","NEJ")</f>
        <v>-</v>
      </c>
      <c r="K268" s="32" t="str">
        <f>K17</f>
        <v>Jern</v>
      </c>
      <c r="L268" s="32" t="str">
        <f t="shared" ref="L268:M268" si="64">L17</f>
        <v>Her kan et synonym indsættes</v>
      </c>
      <c r="M268" s="32" t="str">
        <f t="shared" si="64"/>
        <v>Her kan et synonym indsættes</v>
      </c>
      <c r="R268" s="2" t="str">
        <f t="shared" si="59"/>
        <v/>
      </c>
      <c r="S268" s="40" t="str">
        <f t="shared" si="57"/>
        <v>Temperatur, Ledningsevne, NVOC, Calcium, Magnesium, Natrium, Ammonium</v>
      </c>
    </row>
    <row r="269" spans="5:19" x14ac:dyDescent="0.2">
      <c r="F269" s="3" t="s">
        <v>163</v>
      </c>
      <c r="G269" s="4" t="str">
        <f>IF((IFERROR(SEARCH(K269,Rådata!$B$1000),-1)+IFERROR(SEARCH(L269,Rådata!$B$1000),-1)+IFERROR(SEARCH(M269,Rådata!$B$1000),-1))&gt;0,"-","NEJ")</f>
        <v>NEJ</v>
      </c>
      <c r="K269" s="32" t="str">
        <f>K29</f>
        <v>Mangan</v>
      </c>
      <c r="L269" s="32" t="str">
        <f t="shared" ref="L269:M269" si="65">L29</f>
        <v>Her kan et synonym indsættes</v>
      </c>
      <c r="M269" s="32" t="str">
        <f t="shared" si="65"/>
        <v>Her kan et synonym indsættes</v>
      </c>
      <c r="R269" s="2" t="str">
        <f t="shared" si="59"/>
        <v>Mangan, total</v>
      </c>
      <c r="S269" s="40" t="str">
        <f t="shared" si="57"/>
        <v>Temperatur, Ledningsevne, NVOC, Calcium, Magnesium, Natrium, Ammonium, Mangan, total</v>
      </c>
    </row>
    <row r="270" spans="5:19" x14ac:dyDescent="0.2">
      <c r="F270" s="3" t="s">
        <v>164</v>
      </c>
      <c r="G270" s="4" t="str">
        <f>IF((IFERROR(SEARCH(K270,Rådata!$B$1000),-1)+IFERROR(SEARCH(L270,Rådata!$B$1000),-1)+IFERROR(SEARCH(M270,Rådata!$B$1000),-1))&gt;0,"-","NEJ")</f>
        <v>NEJ</v>
      </c>
      <c r="K270" s="36" t="str">
        <f t="shared" si="61"/>
        <v>Bicarbonat</v>
      </c>
      <c r="L270" s="36" t="s">
        <v>223</v>
      </c>
      <c r="M270" s="36" t="s">
        <v>224</v>
      </c>
      <c r="R270" s="2" t="str">
        <f t="shared" si="59"/>
        <v>Bicarbonat</v>
      </c>
      <c r="S270" s="40" t="str">
        <f t="shared" si="57"/>
        <v>Temperatur, Ledningsevne, NVOC, Calcium, Magnesium, Natrium, Ammonium, Mangan, total, Bicarbonat</v>
      </c>
    </row>
    <row r="271" spans="5:19" x14ac:dyDescent="0.2">
      <c r="F271" s="3" t="s">
        <v>6</v>
      </c>
      <c r="G271" s="4" t="str">
        <f>IF((IFERROR(SEARCH(K271,Rådata!$B$1000),-1)+IFERROR(SEARCH(L271,Rådata!$B$1000),-1)+IFERROR(SEARCH(M271,Rådata!$B$1000),-1))&gt;0,"-","NEJ")</f>
        <v>NEJ</v>
      </c>
      <c r="K271" s="32" t="str">
        <f>K30</f>
        <v>Chlorid</v>
      </c>
      <c r="L271" s="32" t="str">
        <f t="shared" ref="L271:M271" si="66">L30</f>
        <v>Klorid</v>
      </c>
      <c r="M271" s="32" t="str">
        <f t="shared" si="66"/>
        <v>Her kan et synonym indsættes</v>
      </c>
      <c r="R271" s="2" t="str">
        <f t="shared" si="59"/>
        <v>Chlorid</v>
      </c>
      <c r="S271" s="40" t="str">
        <f t="shared" si="57"/>
        <v>Temperatur, Ledningsevne, NVOC, Calcium, Magnesium, Natrium, Ammonium, Mangan, total, Bicarbonat, Chlorid</v>
      </c>
    </row>
    <row r="272" spans="5:19" x14ac:dyDescent="0.2">
      <c r="F272" s="3" t="s">
        <v>7</v>
      </c>
      <c r="G272" s="4" t="str">
        <f>IF((IFERROR(SEARCH(K272,Rådata!$B$1000),-1)+IFERROR(SEARCH(L272,Rådata!$B$1000),-1)+IFERROR(SEARCH(M272,Rådata!$B$1000),-1))&gt;0,"-","NEJ")</f>
        <v>NEJ</v>
      </c>
      <c r="K272" s="32" t="str">
        <f t="shared" ref="K272:M273" si="67">K31</f>
        <v>Sulfat</v>
      </c>
      <c r="L272" s="32" t="str">
        <f t="shared" si="67"/>
        <v>Her kan et synonym indsættes</v>
      </c>
      <c r="M272" s="32" t="str">
        <f t="shared" si="67"/>
        <v>Her kan et synonym indsættes</v>
      </c>
      <c r="R272" s="2" t="str">
        <f t="shared" si="59"/>
        <v>Sulfat</v>
      </c>
      <c r="S272" s="40" t="str">
        <f t="shared" si="57"/>
        <v>Temperatur, Ledningsevne, NVOC, Calcium, Magnesium, Natrium, Ammonium, Mangan, total, Bicarbonat, Chlorid, Sulfat</v>
      </c>
    </row>
    <row r="273" spans="5:19" x14ac:dyDescent="0.2">
      <c r="F273" s="3" t="s">
        <v>5</v>
      </c>
      <c r="G273" s="4" t="str">
        <f>IF((IFERROR(SEARCH(K273,Rådata!$B$1000),-1)+IFERROR(SEARCH(L273,Rådata!$B$1000),-1)+IFERROR(SEARCH(M273,Rådata!$B$1000),-1))&gt;0,"-","NEJ")</f>
        <v>NEJ</v>
      </c>
      <c r="K273" s="32" t="str">
        <f t="shared" si="67"/>
        <v>Nitrat</v>
      </c>
      <c r="L273" s="32" t="str">
        <f t="shared" si="67"/>
        <v>Her kan et synonym indsættes</v>
      </c>
      <c r="M273" s="32" t="str">
        <f t="shared" si="67"/>
        <v>Her kan et synonym indsættes</v>
      </c>
      <c r="R273" s="2" t="str">
        <f t="shared" si="59"/>
        <v>Nitrat</v>
      </c>
      <c r="S273" s="40" t="str">
        <f t="shared" si="57"/>
        <v>Temperatur, Ledningsevne, NVOC, Calcium, Magnesium, Natrium, Ammonium, Mangan, total, Bicarbonat, Chlorid, Sulfat, Nitrat</v>
      </c>
    </row>
    <row r="274" spans="5:19" x14ac:dyDescent="0.2">
      <c r="F274" s="3" t="s">
        <v>4</v>
      </c>
      <c r="G274" s="4" t="str">
        <f>IF((IFERROR(SEARCH(K274,Rådata!$B$1000),-1)+IFERROR(SEARCH(L274,Rådata!$B$1000),-1)+IFERROR(SEARCH(M274,Rådata!$B$1000),-1))&gt;0,"-","NEJ")</f>
        <v>NEJ</v>
      </c>
      <c r="K274" s="32" t="str">
        <f>K18</f>
        <v>Nitrit</v>
      </c>
      <c r="L274" s="32" t="str">
        <f t="shared" ref="L274:M274" si="68">L18</f>
        <v>Her kan et synonym indsættes</v>
      </c>
      <c r="M274" s="32" t="str">
        <f t="shared" si="68"/>
        <v>Her kan et synonym indsættes</v>
      </c>
      <c r="R274" s="2" t="str">
        <f t="shared" si="59"/>
        <v>Nitrit</v>
      </c>
      <c r="S274" s="40" t="str">
        <f t="shared" si="57"/>
        <v>Temperatur, Ledningsevne, NVOC, Calcium, Magnesium, Natrium, Ammonium, Mangan, total, Bicarbonat, Chlorid, Sulfat, Nitrat, Nitrit</v>
      </c>
    </row>
    <row r="275" spans="5:19" x14ac:dyDescent="0.2">
      <c r="F275" s="3" t="s">
        <v>69</v>
      </c>
      <c r="G275" s="4" t="str">
        <f>IF((IFERROR(SEARCH(K275,Rådata!$B$1000),-1)+IFERROR(SEARCH(L275,Rådata!$B$1000),-1)+IFERROR(SEARCH(M275,Rådata!$B$1000),-1))&gt;0,"-","NEJ")</f>
        <v>NEJ</v>
      </c>
      <c r="K275" s="32" t="str">
        <f>K34</f>
        <v>Fluorid</v>
      </c>
      <c r="L275" s="32" t="str">
        <f t="shared" ref="L275:M275" si="69">L34</f>
        <v>Her kan et synonym indsættes</v>
      </c>
      <c r="M275" s="32" t="str">
        <f t="shared" si="69"/>
        <v>Her kan et synonym indsættes</v>
      </c>
      <c r="R275" s="2" t="str">
        <f t="shared" si="59"/>
        <v>Fluorid</v>
      </c>
      <c r="S275" s="40" t="str">
        <f t="shared" si="57"/>
        <v>Temperatur, Ledningsevne, NVOC, Calcium, Magnesium, Natrium, Ammonium, Mangan, total, Bicarbonat, Chlorid, Sulfat, Nitrat, Nitrit, Fluorid</v>
      </c>
    </row>
    <row r="276" spans="5:19" x14ac:dyDescent="0.2">
      <c r="F276" s="3" t="s">
        <v>156</v>
      </c>
      <c r="G276" s="4" t="str">
        <f>IF((IFERROR(SEARCH(K276,Rådata!$B$1000),-1)+IFERROR(SEARCH(L276,Rådata!$B$1000),-1)+IFERROR(SEARCH(M276,Rådata!$B$1000),-1))&gt;0,"-","NEJ")</f>
        <v>-</v>
      </c>
      <c r="K276" s="32" t="str">
        <f>K203</f>
        <v>Ilt</v>
      </c>
      <c r="L276" s="32" t="str">
        <f t="shared" ref="L276:M276" si="70">L203</f>
        <v>Her kan et synonym indsættes</v>
      </c>
      <c r="M276" s="32" t="str">
        <f t="shared" si="70"/>
        <v>Her kan et synonym indsættes</v>
      </c>
      <c r="R276" s="2" t="str">
        <f t="shared" si="59"/>
        <v/>
      </c>
      <c r="S276" s="40" t="str">
        <f t="shared" si="57"/>
        <v>Temperatur, Ledningsevne, NVOC, Calcium, Magnesium, Natrium, Ammonium, Mangan, total, Bicarbonat, Chlorid, Sulfat, Nitrat, Nitrit, Fluorid</v>
      </c>
    </row>
    <row r="277" spans="5:19" x14ac:dyDescent="0.2">
      <c r="F277" s="3" t="s">
        <v>165</v>
      </c>
      <c r="G277" s="4" t="str">
        <f>IF((IFERROR(SEARCH(K277,Rådata!$B$1000),-1)+IFERROR(SEARCH(L277,Rådata!$B$1000),-1)+IFERROR(SEARCH(M277,Rådata!$B$1000),-1))&gt;0,"-","NEJ")</f>
        <v>NEJ</v>
      </c>
      <c r="K277" s="36" t="str">
        <f t="shared" si="61"/>
        <v>Aggressivt kuldioxid</v>
      </c>
      <c r="L277" s="36" t="s">
        <v>183</v>
      </c>
      <c r="M277" s="36" t="s">
        <v>179</v>
      </c>
      <c r="R277" s="2" t="str">
        <f t="shared" si="59"/>
        <v>Aggressivt kuldioxid</v>
      </c>
      <c r="S277" s="40" t="str">
        <f t="shared" si="57"/>
        <v>Temperatur, Ledningsevne, NVOC, Calcium, Magnesium, Natrium, Ammonium, Mangan, total, Bicarbonat, Chlorid, Sulfat, Nitrat, Nitrit, Fluorid, Aggressivt kuldioxid</v>
      </c>
    </row>
    <row r="278" spans="5:19" x14ac:dyDescent="0.2">
      <c r="F278" s="3" t="s">
        <v>166</v>
      </c>
      <c r="G278" s="4" t="str">
        <f>IF((IFERROR(SEARCH(K278,Rådata!$B$1000),-1)+IFERROR(SEARCH(L278,Rådata!$B$1000),-1)+IFERROR(SEARCH(M278,Rådata!$B$1000),-1))&gt;0,"-","NEJ")</f>
        <v>NEJ</v>
      </c>
      <c r="K278" s="36" t="str">
        <f t="shared" si="61"/>
        <v>Totalt phosphor</v>
      </c>
      <c r="L278" s="36" t="s">
        <v>184</v>
      </c>
      <c r="M278" s="36" t="s">
        <v>225</v>
      </c>
      <c r="R278" s="2" t="str">
        <f t="shared" si="59"/>
        <v>Totalt phosphor</v>
      </c>
      <c r="S278" s="40" t="str">
        <f t="shared" si="57"/>
        <v>Temperatur, Ledningsevne, NVOC, Calcium, Magnesium, Natrium, Ammonium, Mangan, total, Bicarbonat, Chlorid, Sulfat, Nitrat, Nitrit, Fluorid, Aggressivt kuldioxid, Totalt phosphor</v>
      </c>
    </row>
    <row r="279" spans="5:19" x14ac:dyDescent="0.2">
      <c r="F279" s="3" t="s">
        <v>157</v>
      </c>
      <c r="G279" s="4" t="str">
        <f>IF((IFERROR(SEARCH(K279,Rådata!$B$1000),-1)+IFERROR(SEARCH(L279,Rådata!$B$1000),-1)+IFERROR(SEARCH(M279,Rådata!$B$1000),-1))&gt;0,"-","NEJ")</f>
        <v>NEJ</v>
      </c>
      <c r="K279" s="32" t="str">
        <f>K204</f>
        <v>Methan</v>
      </c>
      <c r="L279" s="32" t="str">
        <f t="shared" ref="L279:M279" si="71">L204</f>
        <v>Metan</v>
      </c>
      <c r="M279" s="32" t="str">
        <f t="shared" si="71"/>
        <v>Her kan et synonym indsættes</v>
      </c>
      <c r="R279" s="2" t="str">
        <f t="shared" si="59"/>
        <v>Methan</v>
      </c>
      <c r="S279" s="40" t="str">
        <f t="shared" si="57"/>
        <v>Temperatur, Ledningsevne, NVOC, Calcium, Magnesium, Natrium, Ammonium, Mangan, total, Bicarbonat, Chlorid, Sulfat, Nitrat, Nitrit, Fluorid, Aggressivt kuldioxid, Totalt phosphor, Methan</v>
      </c>
    </row>
    <row r="280" spans="5:19" x14ac:dyDescent="0.2">
      <c r="F280" s="10" t="s">
        <v>158</v>
      </c>
      <c r="G280" s="4" t="str">
        <f>IF((IFERROR(SEARCH(K280,Rådata!$B$1000),-1)+IFERROR(SEARCH(L280,Rådata!$B$1000),-1)+IFERROR(SEARCH(M280,Rådata!$B$1000),-1))&gt;0,"-","NEJ")</f>
        <v>NEJ</v>
      </c>
      <c r="K280" s="32" t="str">
        <f>K205</f>
        <v>Svovlbrinte</v>
      </c>
      <c r="L280" s="32" t="str">
        <f t="shared" ref="L280:M280" si="72">L205</f>
        <v>Sulfid-S</v>
      </c>
      <c r="M280" s="32" t="str">
        <f t="shared" si="72"/>
        <v>Her kan et synonym indsættes</v>
      </c>
      <c r="R280" s="2" t="str">
        <f t="shared" si="59"/>
        <v>Svovlbrinte</v>
      </c>
      <c r="S280" s="40" t="str">
        <f t="shared" si="57"/>
        <v>Temperatur, Ledningsevne, NVOC, Calcium, Magnesium, Natrium, Ammonium, Mangan, total, Bicarbonat, Chlorid, Sulfat, Nitrat, Nitrit, Fluorid, Aggressivt kuldioxid, Totalt phosphor, Methan, Svovlbrinte</v>
      </c>
    </row>
    <row r="281" spans="5:19" x14ac:dyDescent="0.2">
      <c r="E281" s="49" t="s">
        <v>70</v>
      </c>
      <c r="F281" s="49"/>
      <c r="G281" s="20"/>
      <c r="H281" s="15" t="str">
        <f>IF(IFERROR(SEARCH("NEJ",CONCATENATE(" ",G282,G283,G284,G285,G286)),1)=1,"OK","NEJ")</f>
        <v>NEJ</v>
      </c>
      <c r="K281" s="32"/>
      <c r="L281" s="32"/>
      <c r="M281" s="32"/>
      <c r="R281" s="42"/>
      <c r="S281" s="40" t="str">
        <f t="shared" si="57"/>
        <v>Temperatur, Ledningsevne, NVOC, Calcium, Magnesium, Natrium, Ammonium, Mangan, total, Bicarbonat, Chlorid, Sulfat, Nitrat, Nitrit, Fluorid, Aggressivt kuldioxid, Totalt phosphor, Methan, Svovlbrinte</v>
      </c>
    </row>
    <row r="282" spans="5:19" x14ac:dyDescent="0.2">
      <c r="F282" s="9" t="s">
        <v>81</v>
      </c>
      <c r="G282" s="4" t="str">
        <f>IF((IFERROR(SEARCH(K282,Rådata!$B$1000),-1)+IFERROR(SEARCH(L282,Rådata!$B$1000),-1)+IFERROR(SEARCH(M282,Rådata!$B$1000),-1))&gt;0,"-","NEJ")</f>
        <v>NEJ</v>
      </c>
      <c r="K282" s="32" t="str">
        <f>K47</f>
        <v>Nikkel</v>
      </c>
      <c r="L282" s="32" t="str">
        <f t="shared" ref="L282:M282" si="73">L47</f>
        <v>Her kan et synonym indsættes</v>
      </c>
      <c r="M282" s="32" t="str">
        <f t="shared" si="73"/>
        <v>Her kan et synonym indsættes</v>
      </c>
      <c r="R282" s="2" t="str">
        <f t="shared" si="59"/>
        <v>Nikkel</v>
      </c>
      <c r="S282" s="40" t="str">
        <f t="shared" si="57"/>
        <v>Temperatur, Ledningsevne, NVOC, Calcium, Magnesium, Natrium, Ammonium, Mangan, total, Bicarbonat, Chlorid, Sulfat, Nitrat, Nitrit, Fluorid, Aggressivt kuldioxid, Totalt phosphor, Methan, Svovlbrinte, Nikkel</v>
      </c>
    </row>
    <row r="283" spans="5:19" x14ac:dyDescent="0.2">
      <c r="F283" s="3" t="s">
        <v>73</v>
      </c>
      <c r="G283" s="4" t="str">
        <f>IF((IFERROR(SEARCH(K283,Rådata!$B$1000),-1)+IFERROR(SEARCH(L283,Rådata!$B$1000),-1)+IFERROR(SEARCH(M283,Rådata!$B$1000),-1))&gt;0,"-","NEJ")</f>
        <v>NEJ</v>
      </c>
      <c r="K283" s="32" t="str">
        <f>K38</f>
        <v>Arsen</v>
      </c>
      <c r="L283" s="32" t="str">
        <f t="shared" ref="L283:M283" si="74">L38</f>
        <v>Her kan et synonym indsættes</v>
      </c>
      <c r="M283" s="32" t="str">
        <f t="shared" si="74"/>
        <v>Her kan et synonym indsættes</v>
      </c>
      <c r="R283" s="2" t="str">
        <f t="shared" si="59"/>
        <v>Arsen</v>
      </c>
      <c r="S283" s="40" t="str">
        <f t="shared" si="57"/>
        <v>Temperatur, Ledningsevne, NVOC, Calcium, Magnesium, Natrium, Ammonium, Mangan, total, Bicarbonat, Chlorid, Sulfat, Nitrat, Nitrit, Fluorid, Aggressivt kuldioxid, Totalt phosphor, Methan, Svovlbrinte, Nikkel, Arsen</v>
      </c>
    </row>
    <row r="284" spans="5:19" x14ac:dyDescent="0.2">
      <c r="F284" s="3" t="s">
        <v>167</v>
      </c>
      <c r="G284" s="4" t="str">
        <f>IF((IFERROR(SEARCH(K284,Rådata!$B$1000),-1)+IFERROR(SEARCH(L284,Rådata!$B$1000),-1)+IFERROR(SEARCH(M284,Rådata!$B$1000),-1))&gt;0,"-","NEJ")</f>
        <v>NEJ</v>
      </c>
      <c r="K284" s="36" t="str">
        <f>F284</f>
        <v>Barium</v>
      </c>
      <c r="L284" s="36" t="s">
        <v>179</v>
      </c>
      <c r="M284" s="36" t="s">
        <v>179</v>
      </c>
      <c r="R284" s="2" t="str">
        <f t="shared" si="59"/>
        <v>Barium</v>
      </c>
      <c r="S284" s="40" t="str">
        <f t="shared" si="57"/>
        <v>Temperatur, Ledningsevne, NVOC, Calcium, Magnesium, Natrium, Ammonium, Mangan, total, Bicarbonat, Chlorid, Sulfat, Nitrat, Nitrit, Fluorid, Aggressivt kuldioxid, Totalt phosphor, Methan, Svovlbrinte, Nikkel, Arsen, Barium</v>
      </c>
    </row>
    <row r="285" spans="5:19" x14ac:dyDescent="0.2">
      <c r="F285" s="3" t="s">
        <v>75</v>
      </c>
      <c r="G285" s="4" t="str">
        <f>IF((IFERROR(SEARCH(K285,Rådata!$B$1000),-1)+IFERROR(SEARCH(L285,Rådata!$B$1000),-1)+IFERROR(SEARCH(M285,Rådata!$B$1000),-1))&gt;0,"-","NEJ")</f>
        <v>-</v>
      </c>
      <c r="K285" s="32" t="str">
        <f>K40</f>
        <v>Bor</v>
      </c>
      <c r="L285" s="32" t="str">
        <f t="shared" ref="L285:M285" si="75">L40</f>
        <v>Her kan et synonym indsættes</v>
      </c>
      <c r="M285" s="32" t="str">
        <f t="shared" si="75"/>
        <v>Her kan et synonym indsættes</v>
      </c>
      <c r="R285" s="2" t="str">
        <f t="shared" si="59"/>
        <v/>
      </c>
      <c r="S285" s="40" t="str">
        <f t="shared" si="57"/>
        <v>Temperatur, Ledningsevne, NVOC, Calcium, Magnesium, Natrium, Ammonium, Mangan, total, Bicarbonat, Chlorid, Sulfat, Nitrat, Nitrit, Fluorid, Aggressivt kuldioxid, Totalt phosphor, Methan, Svovlbrinte, Nikkel, Arsen, Barium</v>
      </c>
    </row>
    <row r="286" spans="5:19" x14ac:dyDescent="0.2">
      <c r="F286" s="3" t="s">
        <v>168</v>
      </c>
      <c r="G286" s="4" t="str">
        <f>IF((IFERROR(SEARCH(K286,Rådata!$B$1000),-1)+IFERROR(SEARCH(L286,Rådata!$B$1000),-1)+IFERROR(SEARCH(M286,Rådata!$B$1000),-1))&gt;0,"-","NEJ")</f>
        <v>NEJ</v>
      </c>
      <c r="K286" s="32" t="str">
        <f>K42</f>
        <v>Kobolt</v>
      </c>
      <c r="L286" s="32" t="str">
        <f t="shared" ref="L286:M286" si="76">L42</f>
        <v>Cobolt</v>
      </c>
      <c r="M286" s="32" t="str">
        <f t="shared" si="76"/>
        <v>Her kan et synonym indsættes</v>
      </c>
      <c r="R286" s="2" t="str">
        <f t="shared" si="59"/>
        <v>Cobolt</v>
      </c>
      <c r="S286" s="40" t="str">
        <f t="shared" si="57"/>
        <v>Temperatur, Ledningsevne, NVOC, Calcium, Magnesium, Natrium, Ammonium, Mangan, total, Bicarbonat, Chlorid, Sulfat, Nitrat, Nitrit, Fluorid, Aggressivt kuldioxid, Totalt phosphor, Methan, Svovlbrinte, Nikkel, Arsen, Barium, Cobolt</v>
      </c>
    </row>
    <row r="287" spans="5:19" x14ac:dyDescent="0.2">
      <c r="E287" s="48" t="s">
        <v>107</v>
      </c>
      <c r="F287" s="48"/>
      <c r="G287" s="20"/>
      <c r="K287" s="37"/>
      <c r="L287" s="32"/>
      <c r="M287" s="32"/>
      <c r="R287" s="42"/>
      <c r="S287" s="40" t="str">
        <f t="shared" si="57"/>
        <v>Temperatur, Ledningsevne, NVOC, Calcium, Magnesium, Natrium, Ammonium, Mangan, total, Bicarbonat, Chlorid, Sulfat, Nitrat, Nitrit, Fluorid, Aggressivt kuldioxid, Totalt phosphor, Methan, Svovlbrinte, Nikkel, Arsen, Barium, Cobolt</v>
      </c>
    </row>
    <row r="288" spans="5:19" x14ac:dyDescent="0.2">
      <c r="E288" s="48" t="s">
        <v>108</v>
      </c>
      <c r="F288" s="48"/>
      <c r="G288" s="20"/>
      <c r="H288" s="15" t="str">
        <f>IF(IFERROR(SEARCH("NEJ",CONCATENATE(" ",G289,G290,G291,G292,G293,G294,G295,G296,G297,G298,G299,G300,G301,G302,G303,G304,G305)),1)=1,"OK","NEJ")</f>
        <v>NEJ</v>
      </c>
      <c r="K288" s="37"/>
      <c r="L288" s="32"/>
      <c r="M288" s="32"/>
      <c r="R288" s="42"/>
      <c r="S288" s="40" t="str">
        <f t="shared" si="57"/>
        <v>Temperatur, Ledningsevne, NVOC, Calcium, Magnesium, Natrium, Ammonium, Mangan, total, Bicarbonat, Chlorid, Sulfat, Nitrat, Nitrit, Fluorid, Aggressivt kuldioxid, Totalt phosphor, Methan, Svovlbrinte, Nikkel, Arsen, Barium, Cobolt</v>
      </c>
    </row>
    <row r="289" spans="6:19" x14ac:dyDescent="0.2">
      <c r="F289" s="45" t="s">
        <v>17</v>
      </c>
      <c r="G289" s="21" t="str">
        <f>IF((IFERROR(SEARCH(K289,Rådata!$B$1000),-1)+IFERROR(SEARCH(L289,Rådata!$B$1000),-1)+IFERROR(SEARCH(M289,Rådata!$B$1000),-1))&gt;0,"-","NEJ")</f>
        <v>NEJ</v>
      </c>
      <c r="K289" s="32" t="str">
        <f>K95</f>
        <v>Aldrin</v>
      </c>
      <c r="L289" s="32" t="str">
        <f t="shared" ref="L289:M289" si="77">L95</f>
        <v>Her kan et synonym indsættes</v>
      </c>
      <c r="M289" s="32" t="str">
        <f t="shared" si="77"/>
        <v>Her kan et synonym indsættes</v>
      </c>
      <c r="R289" s="42"/>
      <c r="S289" s="40" t="str">
        <f t="shared" si="57"/>
        <v>Temperatur, Ledningsevne, NVOC, Calcium, Magnesium, Natrium, Ammonium, Mangan, total, Bicarbonat, Chlorid, Sulfat, Nitrat, Nitrit, Fluorid, Aggressivt kuldioxid, Totalt phosphor, Methan, Svovlbrinte, Nikkel, Arsen, Barium, Cobolt</v>
      </c>
    </row>
    <row r="290" spans="6:19" x14ac:dyDescent="0.2">
      <c r="F290" s="27" t="s">
        <v>236</v>
      </c>
      <c r="G290" s="21" t="str">
        <f>IF((IFERROR(SEARCH(K290,Rådata!$B$1000),-1)+IFERROR(SEARCH(L290,Rådata!$B$1000),-1)+IFERROR(SEARCH(M290,Rådata!$B$1000),-1))&gt;0,"-","NEJ")</f>
        <v>NEJ</v>
      </c>
      <c r="K290" s="32" t="str">
        <f t="shared" ref="K290:M305" si="78">K96</f>
        <v>Dieldrin</v>
      </c>
      <c r="L290" s="32" t="str">
        <f t="shared" si="78"/>
        <v>Her kan et synonym indsættes</v>
      </c>
      <c r="M290" s="32" t="str">
        <f t="shared" si="78"/>
        <v>Her kan et synonym indsættes</v>
      </c>
      <c r="R290" s="42"/>
      <c r="S290" s="40" t="str">
        <f t="shared" si="57"/>
        <v>Temperatur, Ledningsevne, NVOC, Calcium, Magnesium, Natrium, Ammonium, Mangan, total, Bicarbonat, Chlorid, Sulfat, Nitrat, Nitrit, Fluorid, Aggressivt kuldioxid, Totalt phosphor, Methan, Svovlbrinte, Nikkel, Arsen, Barium, Cobolt</v>
      </c>
    </row>
    <row r="291" spans="6:19" x14ac:dyDescent="0.2">
      <c r="F291" s="27" t="s">
        <v>237</v>
      </c>
      <c r="G291" s="21" t="str">
        <f>IF((IFERROR(SEARCH(K291,Rådata!$B$1000),-1)+IFERROR(SEARCH(L291,Rådata!$B$1000),-1)+IFERROR(SEARCH(M291,Rådata!$B$1000),-1))&gt;0,"-","NEJ")</f>
        <v>NEJ</v>
      </c>
      <c r="K291" s="32" t="str">
        <f t="shared" si="78"/>
        <v>Heptachlor</v>
      </c>
      <c r="L291" s="32" t="str">
        <f t="shared" si="78"/>
        <v>Her kan et synonym indsættes</v>
      </c>
      <c r="M291" s="32" t="str">
        <f t="shared" si="78"/>
        <v>Her kan et synonym indsættes</v>
      </c>
      <c r="R291" s="42"/>
      <c r="S291" s="40" t="str">
        <f t="shared" si="57"/>
        <v>Temperatur, Ledningsevne, NVOC, Calcium, Magnesium, Natrium, Ammonium, Mangan, total, Bicarbonat, Chlorid, Sulfat, Nitrat, Nitrit, Fluorid, Aggressivt kuldioxid, Totalt phosphor, Methan, Svovlbrinte, Nikkel, Arsen, Barium, Cobolt</v>
      </c>
    </row>
    <row r="292" spans="6:19" x14ac:dyDescent="0.2">
      <c r="F292" s="27" t="s">
        <v>238</v>
      </c>
      <c r="G292" s="21" t="str">
        <f>IF((IFERROR(SEARCH(K292,Rådata!$B$1000),-1)+IFERROR(SEARCH(L292,Rådata!$B$1000),-1)+IFERROR(SEARCH(M292,Rådata!$B$1000),-1))&gt;0,"-","NEJ")</f>
        <v>NEJ</v>
      </c>
      <c r="K292" s="32" t="str">
        <f t="shared" si="78"/>
        <v>Heptachlorepoxid</v>
      </c>
      <c r="L292" s="32" t="str">
        <f t="shared" si="78"/>
        <v>Her kan et synonym indsættes</v>
      </c>
      <c r="M292" s="32" t="str">
        <f t="shared" si="78"/>
        <v>Her kan et synonym indsættes</v>
      </c>
      <c r="R292" s="42"/>
      <c r="S292" s="40" t="str">
        <f t="shared" si="57"/>
        <v>Temperatur, Ledningsevne, NVOC, Calcium, Magnesium, Natrium, Ammonium, Mangan, total, Bicarbonat, Chlorid, Sulfat, Nitrat, Nitrit, Fluorid, Aggressivt kuldioxid, Totalt phosphor, Methan, Svovlbrinte, Nikkel, Arsen, Barium, Cobolt</v>
      </c>
    </row>
    <row r="293" spans="6:19" x14ac:dyDescent="0.2">
      <c r="F293" s="3" t="s">
        <v>19</v>
      </c>
      <c r="G293" s="4" t="str">
        <f>IF((IFERROR(SEARCH(K293,Rådata!$B$1000),-1)+IFERROR(SEARCH(L293,Rådata!$B$1000),-1)+IFERROR(SEARCH(M293,Rådata!$B$1000),-1))&gt;0,"-","NEJ")</f>
        <v>NEJ</v>
      </c>
      <c r="K293" s="32" t="str">
        <f t="shared" si="78"/>
        <v>Atrazin</v>
      </c>
      <c r="L293" s="32" t="str">
        <f t="shared" si="78"/>
        <v>Her kan et synonym indsættes</v>
      </c>
      <c r="M293" s="32" t="str">
        <f t="shared" si="78"/>
        <v>Her kan et synonym indsættes</v>
      </c>
      <c r="R293" s="2" t="str">
        <f t="shared" si="59"/>
        <v>Atrazin</v>
      </c>
      <c r="S293" s="40" t="str">
        <f t="shared" si="57"/>
        <v>Temperatur, Ledningsevne, NVOC, Calcium, Magnesium, Natrium, Ammonium, Mangan, total, Bicarbonat, Chlorid, Sulfat, Nitrat, Nitrit, Fluorid, Aggressivt kuldioxid, Totalt phosphor, Methan, Svovlbrinte, Nikkel, Arsen, Barium, Cobolt, Atrazin</v>
      </c>
    </row>
    <row r="294" spans="6:19" x14ac:dyDescent="0.2">
      <c r="F294" s="3" t="s">
        <v>20</v>
      </c>
      <c r="G294" s="4" t="str">
        <f>IF((IFERROR(SEARCH(K294,Rådata!$B$1000),-1)+IFERROR(SEARCH(L294,Rådata!$B$1000),-1)+IFERROR(SEARCH(M294,Rådata!$B$1000),-1))&gt;0,"-","NEJ")</f>
        <v>NEJ</v>
      </c>
      <c r="K294" s="32" t="str">
        <f t="shared" si="78"/>
        <v>Bentazon</v>
      </c>
      <c r="L294" s="32" t="str">
        <f t="shared" si="78"/>
        <v>Her kan et synonym indsættes</v>
      </c>
      <c r="M294" s="32" t="str">
        <f t="shared" si="78"/>
        <v>Her kan et synonym indsættes</v>
      </c>
      <c r="R294" s="2" t="str">
        <f t="shared" si="59"/>
        <v>Bentazon</v>
      </c>
      <c r="S294" s="40" t="str">
        <f t="shared" si="57"/>
        <v>Temperatur, Ledningsevne, NVOC, Calcium, Magnesium, Natrium, Ammonium, Mangan, total, Bicarbonat, Chlorid, Sulfat, Nitrat, Nitrit, Fluorid, Aggressivt kuldioxid, Totalt phosphor, Methan, Svovlbrinte, Nikkel, Arsen, Barium, Cobolt, Atrazin, Bentazon</v>
      </c>
    </row>
    <row r="295" spans="6:19" x14ac:dyDescent="0.2">
      <c r="F295" s="3" t="s">
        <v>28</v>
      </c>
      <c r="G295" s="4" t="str">
        <f>IF((IFERROR(SEARCH(K295,Rådata!$B$1000),-1)+IFERROR(SEARCH(L295,Rådata!$B$1000),-1)+IFERROR(SEARCH(M295,Rådata!$B$1000),-1))&gt;0,"-","NEJ")</f>
        <v>NEJ</v>
      </c>
      <c r="K295" s="32" t="str">
        <f t="shared" si="78"/>
        <v>Dichlobenil</v>
      </c>
      <c r="L295" s="32" t="str">
        <f t="shared" si="78"/>
        <v>Her kan et synonym indsættes</v>
      </c>
      <c r="M295" s="32" t="str">
        <f t="shared" si="78"/>
        <v>Her kan et synonym indsættes</v>
      </c>
      <c r="R295" s="2" t="str">
        <f t="shared" si="59"/>
        <v>Dichlobenil</v>
      </c>
      <c r="S295" s="40" t="str">
        <f t="shared" si="57"/>
        <v>Temperatur, Ledningsevne, NVOC, Calcium, Magnesium, Natrium, Ammonium, Mangan, total, Bicarbonat, Chlorid, Sulfat, Nitrat, Nitrit, Fluorid, Aggressivt kuldioxid, Totalt phosphor, Methan, Svovlbrinte, Nikkel, Arsen, Barium, Cobolt, Atrazin, Bentazon, Dichlobenil</v>
      </c>
    </row>
    <row r="296" spans="6:19" x14ac:dyDescent="0.2">
      <c r="F296" s="3" t="s">
        <v>109</v>
      </c>
      <c r="G296" s="4" t="str">
        <f>IF((IFERROR(SEARCH(K296,Rådata!$B$1000),-1)+IFERROR(SEARCH(L296,Rådata!$B$1000),-1)+IFERROR(SEARCH(M296,Rådata!$B$1000),-1))&gt;0,"-","NEJ")</f>
        <v>NEJ</v>
      </c>
      <c r="K296" s="32" t="str">
        <f t="shared" si="78"/>
        <v>Dichlorprop</v>
      </c>
      <c r="L296" s="32" t="str">
        <f t="shared" si="78"/>
        <v>Her kan et synonym indsættes</v>
      </c>
      <c r="M296" s="32" t="str">
        <f t="shared" si="78"/>
        <v>Her kan et synonym indsættes</v>
      </c>
      <c r="R296" s="2" t="str">
        <f t="shared" si="59"/>
        <v>Dichlorprop</v>
      </c>
      <c r="S296" s="40" t="str">
        <f t="shared" si="57"/>
        <v>Temperatur, Ledningsevne, NVOC, Calcium, Magnesium, Natrium, Ammonium, Mangan, total, Bicarbonat, Chlorid, Sulfat, Nitrat, Nitrit, Fluorid, Aggressivt kuldioxid, Totalt phosphor, Methan, Svovlbrinte, Nikkel, Arsen, Barium, Cobolt, Atrazin, Bentazon, Dichlobenil, Dichlorprop</v>
      </c>
    </row>
    <row r="297" spans="6:19" x14ac:dyDescent="0.2">
      <c r="F297" s="3" t="s">
        <v>30</v>
      </c>
      <c r="G297" s="4" t="str">
        <f>IF((IFERROR(SEARCH(K297,Rådata!$B$1000),-1)+IFERROR(SEARCH(L297,Rådata!$B$1000),-1)+IFERROR(SEARCH(M297,Rådata!$B$1000),-1))&gt;0,"-","NEJ")</f>
        <v>NEJ</v>
      </c>
      <c r="K297" s="32" t="str">
        <f t="shared" si="78"/>
        <v>Diuron</v>
      </c>
      <c r="L297" s="32" t="str">
        <f t="shared" si="78"/>
        <v>Her kan et synonym indsættes</v>
      </c>
      <c r="M297" s="32" t="str">
        <f t="shared" si="78"/>
        <v>Her kan et synonym indsættes</v>
      </c>
      <c r="R297" s="2" t="str">
        <f t="shared" si="59"/>
        <v>Diuron</v>
      </c>
      <c r="S297"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v>
      </c>
    </row>
    <row r="298" spans="6:19" x14ac:dyDescent="0.2">
      <c r="F298" s="3" t="s">
        <v>110</v>
      </c>
      <c r="G298" s="4" t="str">
        <f>IF((IFERROR(SEARCH(K298,Rådata!$B$1000),-1)+IFERROR(SEARCH(L298,Rådata!$B$1000),-1)+IFERROR(SEARCH(M298,Rådata!$B$1000),-1))&gt;0,"-","NEJ")</f>
        <v>NEJ</v>
      </c>
      <c r="K298" s="32" t="str">
        <f t="shared" si="78"/>
        <v>Ethylenthiourea</v>
      </c>
      <c r="L298" s="32" t="str">
        <f t="shared" si="78"/>
        <v>Her kan et synonym indsættes</v>
      </c>
      <c r="M298" s="32" t="str">
        <f t="shared" si="78"/>
        <v>Her kan et synonym indsættes</v>
      </c>
      <c r="R298" s="2" t="str">
        <f t="shared" si="59"/>
        <v>ETU (Ethylenthiourea)</v>
      </c>
      <c r="S298"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v>
      </c>
    </row>
    <row r="299" spans="6:19" x14ac:dyDescent="0.2">
      <c r="F299" s="3" t="s">
        <v>31</v>
      </c>
      <c r="G299" s="4" t="str">
        <f>IF((IFERROR(SEARCH(K299,Rådata!$B$1000),-1)+IFERROR(SEARCH(L299,Rådata!$B$1000),-1)+IFERROR(SEARCH(M299,Rådata!$B$1000),-1))&gt;0,"-","NEJ")</f>
        <v>NEJ</v>
      </c>
      <c r="K299" s="32" t="str">
        <f t="shared" si="78"/>
        <v>Glyphosat</v>
      </c>
      <c r="L299" s="32" t="str">
        <f t="shared" si="78"/>
        <v>Her kan et synonym indsættes</v>
      </c>
      <c r="M299" s="32" t="str">
        <f t="shared" si="78"/>
        <v>Her kan et synonym indsættes</v>
      </c>
      <c r="R299" s="2" t="str">
        <f t="shared" si="59"/>
        <v>Glyphosat</v>
      </c>
      <c r="S299"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v>
      </c>
    </row>
    <row r="300" spans="6:19" x14ac:dyDescent="0.2">
      <c r="F300" s="3" t="s">
        <v>32</v>
      </c>
      <c r="G300" s="4" t="str">
        <f>IF((IFERROR(SEARCH(K300,Rådata!$B$1000),-1)+IFERROR(SEARCH(L300,Rådata!$B$1000),-1)+IFERROR(SEARCH(M300,Rådata!$B$1000),-1))&gt;0,"-","NEJ")</f>
        <v>NEJ</v>
      </c>
      <c r="K300" s="32" t="str">
        <f t="shared" si="78"/>
        <v>Hexazinon</v>
      </c>
      <c r="L300" s="32" t="str">
        <f t="shared" si="78"/>
        <v>Her kan et synonym indsættes</v>
      </c>
      <c r="M300" s="32" t="str">
        <f t="shared" si="78"/>
        <v>Her kan et synonym indsættes</v>
      </c>
      <c r="R300" s="2" t="str">
        <f t="shared" si="59"/>
        <v>Hexazinon</v>
      </c>
      <c r="S300"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v>
      </c>
    </row>
    <row r="301" spans="6:19" x14ac:dyDescent="0.2">
      <c r="F301" s="3" t="s">
        <v>35</v>
      </c>
      <c r="G301" s="4" t="str">
        <f>IF((IFERROR(SEARCH(K301,Rådata!$B$1000),-1)+IFERROR(SEARCH(L301,Rådata!$B$1000),-1)+IFERROR(SEARCH(M301,Rådata!$B$1000),-1))&gt;0,"-","NEJ")</f>
        <v>NEJ</v>
      </c>
      <c r="K301" s="32" t="str">
        <f t="shared" si="78"/>
        <v>MCPA</v>
      </c>
      <c r="L301" s="32" t="str">
        <f t="shared" si="78"/>
        <v>Her kan et synonym indsættes</v>
      </c>
      <c r="M301" s="32" t="str">
        <f t="shared" si="78"/>
        <v>Her kan et synonym indsættes</v>
      </c>
      <c r="R301" s="2" t="str">
        <f t="shared" si="59"/>
        <v>MCPA</v>
      </c>
      <c r="S301"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v>
      </c>
    </row>
    <row r="302" spans="6:19" x14ac:dyDescent="0.2">
      <c r="F302" s="3" t="s">
        <v>111</v>
      </c>
      <c r="G302" s="4" t="str">
        <f>IF((IFERROR(SEARCH(K302,Rådata!$B$1000),-1)+IFERROR(SEARCH(L302,Rådata!$B$1000),-1)+IFERROR(SEARCH(M302,Rådata!$B$1000),-1))&gt;0,"-","NEJ")</f>
        <v>NEJ</v>
      </c>
      <c r="K302" s="32" t="str">
        <f t="shared" si="78"/>
        <v>Mechlorprop</v>
      </c>
      <c r="L302" s="32" t="str">
        <f t="shared" si="78"/>
        <v>Her kan et synonym indsættes</v>
      </c>
      <c r="M302" s="32" t="str">
        <f t="shared" si="78"/>
        <v>Her kan et synonym indsættes</v>
      </c>
      <c r="R302" s="2" t="str">
        <f t="shared" si="59"/>
        <v>Mechlorprop</v>
      </c>
      <c r="S302"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v>
      </c>
    </row>
    <row r="303" spans="6:19" x14ac:dyDescent="0.2">
      <c r="F303" s="3" t="s">
        <v>112</v>
      </c>
      <c r="G303" s="4" t="str">
        <f>IF((IFERROR(SEARCH(K303,Rådata!$B$1000),-1)+IFERROR(SEARCH(L303,Rådata!$B$1000),-1)+IFERROR(SEARCH(M303,Rådata!$B$1000),-1))&gt;0,"-","NEJ")</f>
        <v>NEJ</v>
      </c>
      <c r="K303" s="32" t="str">
        <f t="shared" si="78"/>
        <v>Metalaxyl</v>
      </c>
      <c r="L303" s="32" t="str">
        <f t="shared" si="78"/>
        <v>Her kan et synonym indsættes</v>
      </c>
      <c r="M303" s="32" t="str">
        <f t="shared" si="78"/>
        <v>Her kan et synonym indsættes</v>
      </c>
      <c r="R303" s="2" t="str">
        <f t="shared" si="59"/>
        <v>Metalaxyl/metalaxyl-M</v>
      </c>
      <c r="S303"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v>
      </c>
    </row>
    <row r="304" spans="6:19" x14ac:dyDescent="0.2">
      <c r="F304" s="3" t="s">
        <v>36</v>
      </c>
      <c r="G304" s="4" t="str">
        <f>IF((IFERROR(SEARCH(K304,Rådata!$B$1000),-1)+IFERROR(SEARCH(L304,Rådata!$B$1000),-1)+IFERROR(SEARCH(M304,Rådata!$B$1000),-1))&gt;0,"-","NEJ")</f>
        <v>NEJ</v>
      </c>
      <c r="K304" s="32" t="str">
        <f t="shared" si="78"/>
        <v>Metribuzin</v>
      </c>
      <c r="L304" s="32" t="str">
        <f t="shared" si="78"/>
        <v>Her kan et synonym indsættes</v>
      </c>
      <c r="M304" s="32" t="str">
        <f t="shared" si="78"/>
        <v>Her kan et synonym indsættes</v>
      </c>
      <c r="R304" s="2" t="str">
        <f t="shared" si="59"/>
        <v>Metribuzin</v>
      </c>
      <c r="S304"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v>
      </c>
    </row>
    <row r="305" spans="5:19" x14ac:dyDescent="0.2">
      <c r="F305" s="3" t="s">
        <v>40</v>
      </c>
      <c r="G305" s="4" t="str">
        <f>IF((IFERROR(SEARCH(K305,Rådata!$B$1000),-1)+IFERROR(SEARCH(L305,Rådata!$B$1000),-1)+IFERROR(SEARCH(M305,Rådata!$B$1000),-1))&gt;0,"-","NEJ")</f>
        <v>NEJ</v>
      </c>
      <c r="K305" s="32" t="str">
        <f t="shared" si="78"/>
        <v>Simazin</v>
      </c>
      <c r="L305" s="32" t="str">
        <f t="shared" si="78"/>
        <v>Her kan et synonym indsættes</v>
      </c>
      <c r="M305" s="32" t="str">
        <f t="shared" si="78"/>
        <v>Her kan et synonym indsættes</v>
      </c>
      <c r="R305" s="2" t="str">
        <f t="shared" si="59"/>
        <v>Simazin</v>
      </c>
      <c r="S305"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v>
      </c>
    </row>
    <row r="306" spans="5:19" x14ac:dyDescent="0.2">
      <c r="E306" s="48" t="s">
        <v>113</v>
      </c>
      <c r="F306" s="48"/>
      <c r="G306" s="20"/>
      <c r="H306" s="15" t="str">
        <f>IF(IFERROR(SEARCH("NEJ",CONCATENATE(" ",G307,G308,G309,G310,G311,G312,G313,G314,G315,G316,G317,G318,G319,G320,G321,G322,G323,G324,G325,G326,G327,G328,G329,G330,G331,G332)),1)=1,"OK","NEJ")</f>
        <v>NEJ</v>
      </c>
      <c r="K306" s="37"/>
      <c r="L306" s="32"/>
      <c r="M306" s="32"/>
      <c r="R306" s="42"/>
      <c r="S306"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v>
      </c>
    </row>
    <row r="307" spans="5:19" x14ac:dyDescent="0.2">
      <c r="F307" s="9" t="s">
        <v>114</v>
      </c>
      <c r="G307" s="4" t="str">
        <f>IF((IFERROR(SEARCH(K307,Rådata!$B$1000),-1)+IFERROR(SEARCH(L307,Rådata!$B$1000),-1)+IFERROR(SEARCH(M307,Rådata!$B$1000),-1))&gt;0,"-","NEJ")</f>
        <v>NEJ</v>
      </c>
      <c r="K307" s="32" t="str">
        <f t="shared" ref="K307:K313" si="79">K113</f>
        <v>triazol</v>
      </c>
      <c r="L307" s="32" t="str">
        <f t="shared" ref="L307:M307" si="80">L113</f>
        <v>Her kan et synonym indsættes</v>
      </c>
      <c r="M307" s="32" t="str">
        <f t="shared" si="80"/>
        <v>Her kan et synonym indsættes</v>
      </c>
      <c r="R307" s="2" t="str">
        <f t="shared" si="59"/>
        <v>1,2,4-triazol</v>
      </c>
      <c r="S307"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v>
      </c>
    </row>
    <row r="308" spans="5:19" x14ac:dyDescent="0.2">
      <c r="F308" s="3" t="s">
        <v>115</v>
      </c>
      <c r="G308" s="4" t="str">
        <f>IF((IFERROR(SEARCH(K308,Rådata!$B$1000),-1)+IFERROR(SEARCH(L308,Rådata!$B$1000),-1)+IFERROR(SEARCH(M308,Rådata!$B$1000),-1))&gt;0,"-","NEJ")</f>
        <v>NEJ</v>
      </c>
      <c r="K308" s="32" t="str">
        <f t="shared" si="79"/>
        <v>2,6-Dichlorbenzosyre</v>
      </c>
      <c r="L308" s="32" t="str">
        <f t="shared" ref="L308:M308" si="81">L114</f>
        <v>Her kan et synonym indsættes</v>
      </c>
      <c r="M308" s="32" t="str">
        <f t="shared" si="81"/>
        <v>Her kan et synonym indsættes</v>
      </c>
      <c r="R308" s="2" t="str">
        <f t="shared" si="59"/>
        <v>2,6-Dichlorbenzosyre</v>
      </c>
      <c r="S308"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v>
      </c>
    </row>
    <row r="309" spans="5:19" x14ac:dyDescent="0.2">
      <c r="F309" s="3" t="s">
        <v>116</v>
      </c>
      <c r="G309" s="4" t="str">
        <f>IF((IFERROR(SEARCH(K309,Rådata!$B$1000),-1)+IFERROR(SEARCH(L309,Rådata!$B$1000),-1)+IFERROR(SEARCH(M309,Rådata!$B$1000),-1))&gt;0,"-","NEJ")</f>
        <v>NEJ</v>
      </c>
      <c r="K309" s="32" t="str">
        <f t="shared" si="79"/>
        <v>2,4-Dichlorphenol</v>
      </c>
      <c r="L309" s="32" t="str">
        <f t="shared" ref="L309:M309" si="82">L115</f>
        <v>Her kan et synonym indsættes</v>
      </c>
      <c r="M309" s="32" t="str">
        <f t="shared" si="82"/>
        <v>Her kan et synonym indsættes</v>
      </c>
      <c r="R309" s="2" t="str">
        <f t="shared" si="59"/>
        <v>2,4-Dichlorphenol</v>
      </c>
      <c r="S309"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v>
      </c>
    </row>
    <row r="310" spans="5:19" x14ac:dyDescent="0.2">
      <c r="F310" s="3" t="s">
        <v>117</v>
      </c>
      <c r="G310" s="4" t="str">
        <f>IF((IFERROR(SEARCH(K310,Rådata!$B$1000),-1)+IFERROR(SEARCH(L310,Rådata!$B$1000),-1)+IFERROR(SEARCH(M310,Rådata!$B$1000),-1))&gt;0,"-","NEJ")</f>
        <v>NEJ</v>
      </c>
      <c r="K310" s="32" t="str">
        <f t="shared" si="79"/>
        <v>2,6-Dichlorphenol</v>
      </c>
      <c r="L310" s="32" t="str">
        <f t="shared" ref="L310:M310" si="83">L116</f>
        <v>Her kan et synonym indsættes</v>
      </c>
      <c r="M310" s="32" t="str">
        <f t="shared" si="83"/>
        <v>Her kan et synonym indsættes</v>
      </c>
      <c r="R310" s="2" t="str">
        <f t="shared" si="59"/>
        <v>2,6-Dichlorphenol</v>
      </c>
      <c r="S310"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v>
      </c>
    </row>
    <row r="311" spans="5:19" x14ac:dyDescent="0.2">
      <c r="F311" s="3" t="s">
        <v>118</v>
      </c>
      <c r="G311" s="4" t="str">
        <f>IF((IFERROR(SEARCH(K311,Rådata!$B$1000),-1)+IFERROR(SEARCH(L311,Rådata!$B$1000),-1)+IFERROR(SEARCH(M311,Rådata!$B$1000),-1))&gt;0,"-","NEJ")</f>
        <v>NEJ</v>
      </c>
      <c r="K311" s="32" t="str">
        <f t="shared" si="79"/>
        <v>4-CPP</v>
      </c>
      <c r="L311" s="32" t="str">
        <f t="shared" ref="L311:M311" si="84">L117</f>
        <v>Her kan et synonym indsættes</v>
      </c>
      <c r="M311" s="32" t="str">
        <f t="shared" si="84"/>
        <v>Her kan et synonym indsættes</v>
      </c>
      <c r="R311" s="2" t="str">
        <f t="shared" si="59"/>
        <v>4CPP (2-(4-chlorphenoxy)propionsyre)</v>
      </c>
      <c r="S311"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v>
      </c>
    </row>
    <row r="312" spans="5:19" x14ac:dyDescent="0.2">
      <c r="F312" s="3" t="s">
        <v>119</v>
      </c>
      <c r="G312" s="4" t="str">
        <f>IF((IFERROR(SEARCH(K312,Rådata!$B$1000),-1)+IFERROR(SEARCH(L312,Rådata!$B$1000),-1)+IFERROR(SEARCH(M312,Rådata!$B$1000),-1))&gt;0,"-","NEJ")</f>
        <v>NEJ</v>
      </c>
      <c r="K312" s="32" t="str">
        <f t="shared" si="79"/>
        <v>2,6-DCPP</v>
      </c>
      <c r="L312" s="32" t="str">
        <f t="shared" ref="L312:M312" si="85">L118</f>
        <v>Her kan et synonym indsættes</v>
      </c>
      <c r="M312" s="32" t="str">
        <f t="shared" si="85"/>
        <v>Her kan et synonym indsættes</v>
      </c>
      <c r="R312" s="2" t="str">
        <f t="shared" si="59"/>
        <v>2,6-DCPP (2-(2,6-dichlorphenoxy-propionsyre))</v>
      </c>
      <c r="S312"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313" spans="5:19" x14ac:dyDescent="0.2">
      <c r="F313" s="3" t="s">
        <v>120</v>
      </c>
      <c r="G313" s="4" t="str">
        <f>IF((IFERROR(SEARCH(K313,Rådata!$B$1000),-1)+IFERROR(SEARCH(L313,Rådata!$B$1000),-1)+IFERROR(SEARCH(M313,Rådata!$B$1000),-1))&gt;0,"-","NEJ")</f>
        <v>NEJ</v>
      </c>
      <c r="K313" s="32" t="str">
        <f t="shared" si="79"/>
        <v>4-Nitrophenol</v>
      </c>
      <c r="L313" s="32" t="str">
        <f t="shared" ref="L313:M313" si="86">L119</f>
        <v>Her kan et synonym indsættes</v>
      </c>
      <c r="M313" s="32" t="str">
        <f t="shared" si="86"/>
        <v>Her kan et synonym indsættes</v>
      </c>
      <c r="R313" s="2" t="str">
        <f t="shared" si="59"/>
        <v>4-Nitrophenol</v>
      </c>
      <c r="S313"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314" spans="5:19" x14ac:dyDescent="0.2">
      <c r="F314" s="3" t="s">
        <v>121</v>
      </c>
      <c r="G314" s="4" t="str">
        <f>IF((IFERROR(SEARCH(K314,Rådata!$B$1000),-1)+IFERROR(SEARCH(L314,Rådata!$B$1000),-1)+IFERROR(SEARCH(M314,Rådata!$B$1000),-1))&gt;0,"-","NEJ")</f>
        <v>NEJ</v>
      </c>
      <c r="K314" s="32" t="str">
        <f>K120</f>
        <v>AMPA</v>
      </c>
      <c r="L314" s="32" t="str">
        <f t="shared" ref="L314:M314" si="87">L120</f>
        <v>Her kan et synonym indsættes</v>
      </c>
      <c r="M314" s="32" t="str">
        <f t="shared" si="87"/>
        <v>Her kan et synonym indsættes</v>
      </c>
      <c r="R314" s="2" t="str">
        <f t="shared" si="59"/>
        <v>AMPA (Aminomethylphosphorsyre)</v>
      </c>
      <c r="S314"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315" spans="5:19" x14ac:dyDescent="0.2">
      <c r="F315" s="3" t="s">
        <v>122</v>
      </c>
      <c r="G315" s="4" t="str">
        <f>IF((IFERROR(SEARCH(K315,Rådata!$B$1000),-1)+IFERROR(SEARCH(L315,Rådata!$B$1000),-1)+IFERROR(SEARCH(M315,Rådata!$B$1000),-1))&gt;0,"-","NEJ")</f>
        <v>NEJ</v>
      </c>
      <c r="K315" s="32" t="str">
        <f t="shared" ref="K315:K332" si="88">K121</f>
        <v>Dichlorbenzamid</v>
      </c>
      <c r="L315" s="32" t="str">
        <f t="shared" ref="L315:M315" si="89">L121</f>
        <v>Her kan et synonym indsættes</v>
      </c>
      <c r="M315" s="32" t="str">
        <f t="shared" si="89"/>
        <v>Her kan et synonym indsættes</v>
      </c>
      <c r="R315" s="2" t="str">
        <f t="shared" si="59"/>
        <v>BAM (2,6-Dichlorbenzamid)</v>
      </c>
      <c r="S315"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316" spans="5:19" x14ac:dyDescent="0.2">
      <c r="F316" s="3" t="s">
        <v>123</v>
      </c>
      <c r="G316" s="4" t="str">
        <f>IF((IFERROR(SEARCH(K316,Rådata!$B$1000),-1)+IFERROR(SEARCH(L316,Rådata!$B$1000),-1)+IFERROR(SEARCH(M316,Rådata!$B$1000),-1))&gt;0,"-","NEJ")</f>
        <v>NEJ</v>
      </c>
      <c r="K316" s="32" t="str">
        <f t="shared" si="88"/>
        <v>CGA 62826</v>
      </c>
      <c r="L316" s="32" t="str">
        <f t="shared" ref="L316:M316" si="90">L122</f>
        <v>Her kan et synonym indsættes</v>
      </c>
      <c r="M316" s="32" t="str">
        <f t="shared" si="90"/>
        <v>Her kan et synonym indsættes</v>
      </c>
      <c r="R316" s="2" t="str">
        <f t="shared" si="59"/>
        <v>N-(2, 6-dimethylphenyl)-N-(Methoxyacetyl)alanin (CGA62826)</v>
      </c>
      <c r="S316"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317" spans="5:19" x14ac:dyDescent="0.2">
      <c r="F317" s="3" t="s">
        <v>124</v>
      </c>
      <c r="G317" s="4" t="str">
        <f>IF((IFERROR(SEARCH(K317,Rådata!$B$1000),-1)+IFERROR(SEARCH(L317,Rådata!$B$1000),-1)+IFERROR(SEARCH(M317,Rådata!$B$1000),-1))&gt;0,"-","NEJ")</f>
        <v>NEJ</v>
      </c>
      <c r="K317" s="32" t="str">
        <f t="shared" si="88"/>
        <v>CGA 108906</v>
      </c>
      <c r="L317" s="32" t="str">
        <f t="shared" ref="L317:M317" si="91">L123</f>
        <v>Her kan et synonym indsættes</v>
      </c>
      <c r="M317" s="32" t="str">
        <f t="shared" si="91"/>
        <v>Her kan et synonym indsættes</v>
      </c>
      <c r="R317" s="2" t="str">
        <f t="shared" si="59"/>
        <v>N-(2-carboxy-6-methylphenyl) N-methoxyacetyl)alanin (CGA108906)</v>
      </c>
      <c r="S317"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318" spans="5:19" x14ac:dyDescent="0.2">
      <c r="F318" s="3" t="s">
        <v>125</v>
      </c>
      <c r="G318" s="4" t="str">
        <f>IF((IFERROR(SEARCH(K318,Rådata!$B$1000),-1)+IFERROR(SEARCH(L318,Rådata!$B$1000),-1)+IFERROR(SEARCH(M318,Rådata!$B$1000),-1))&gt;0,"-","NEJ")</f>
        <v>NEJ</v>
      </c>
      <c r="K318" s="32" t="str">
        <f t="shared" si="88"/>
        <v>Desethyl-desisopropyl-atrazin</v>
      </c>
      <c r="L318" s="32" t="str">
        <f t="shared" ref="L318:M318" si="92">L124</f>
        <v>Desethyldesisopropyl-atrazin</v>
      </c>
      <c r="M318" s="32" t="str">
        <f t="shared" si="92"/>
        <v>Her kan et synonym indsættes</v>
      </c>
      <c r="R318" s="2" t="str">
        <f t="shared" si="59"/>
        <v>DEIA (Desethyldesisopropyl-atrazin)</v>
      </c>
      <c r="S318"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319" spans="5:19" x14ac:dyDescent="0.2">
      <c r="F319" s="3" t="s">
        <v>25</v>
      </c>
      <c r="G319" s="4" t="str">
        <f>IF((IFERROR(SEARCH(K319,Rådata!$B$1000),-1)+IFERROR(SEARCH(L319,Rådata!$B$1000),-1)+IFERROR(SEARCH(M319,Rådata!$B$1000),-1))&gt;0,"-","NEJ")</f>
        <v>NEJ</v>
      </c>
      <c r="K319" s="32" t="str">
        <f t="shared" si="88"/>
        <v>Desethyl-hydroxy-atrazin</v>
      </c>
      <c r="L319" s="32" t="str">
        <f t="shared" ref="L319:M319" si="93">L125</f>
        <v>Desethylhydroxy-atrazin</v>
      </c>
      <c r="M319" s="32" t="str">
        <f t="shared" si="93"/>
        <v>Her kan et synonym indsættes</v>
      </c>
      <c r="R319" s="2" t="str">
        <f t="shared" si="59"/>
        <v>Desethyl-hydroxy-atrazin</v>
      </c>
      <c r="S319"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320" spans="5:19" x14ac:dyDescent="0.2">
      <c r="F320" s="3" t="s">
        <v>23</v>
      </c>
      <c r="G320" s="4" t="str">
        <f>IF((IFERROR(SEARCH(K320,Rådata!$B$1000),-1)+IFERROR(SEARCH(L320,Rådata!$B$1000),-1)+IFERROR(SEARCH(M320,Rådata!$B$1000),-1))&gt;0,"-","NEJ")</f>
        <v>NEJ</v>
      </c>
      <c r="K320" s="32" t="str">
        <f t="shared" si="88"/>
        <v>Desethyl-atrazin</v>
      </c>
      <c r="L320" s="32" t="str">
        <f t="shared" ref="L320:M320" si="94">L126</f>
        <v>Desethylatrazin</v>
      </c>
      <c r="M320" s="32" t="str">
        <f t="shared" si="94"/>
        <v>Atrazin, desethyl-</v>
      </c>
      <c r="R320" s="2" t="str">
        <f t="shared" si="59"/>
        <v>Desethyl-atrazin</v>
      </c>
      <c r="S320"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321" spans="5:19" x14ac:dyDescent="0.2">
      <c r="F321" s="3" t="s">
        <v>26</v>
      </c>
      <c r="G321" s="4" t="str">
        <f>IF((IFERROR(SEARCH(K321,Rådata!$B$1000),-1)+IFERROR(SEARCH(L321,Rådata!$B$1000),-1)+IFERROR(SEARCH(M321,Rådata!$B$1000),-1))&gt;0,"-","NEJ")</f>
        <v>NEJ</v>
      </c>
      <c r="K321" s="32" t="str">
        <f t="shared" si="88"/>
        <v>Desethyl-terbutylazin</v>
      </c>
      <c r="L321" s="32" t="str">
        <f t="shared" ref="L321:M321" si="95">L127</f>
        <v>Desethylterbutylazin</v>
      </c>
      <c r="M321" s="32" t="str">
        <f t="shared" si="95"/>
        <v>Her kan et synonym indsættes</v>
      </c>
      <c r="R321" s="2" t="str">
        <f t="shared" si="59"/>
        <v>Desethyl-terbutylazin</v>
      </c>
      <c r="S321"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322" spans="5:19" x14ac:dyDescent="0.2">
      <c r="F322" s="3" t="s">
        <v>27</v>
      </c>
      <c r="G322" s="4" t="str">
        <f>IF((IFERROR(SEARCH(K322,Rådata!$B$1000),-1)+IFERROR(SEARCH(L322,Rådata!$B$1000),-1)+IFERROR(SEARCH(M322,Rådata!$B$1000),-1))&gt;0,"-","NEJ")</f>
        <v>NEJ</v>
      </c>
      <c r="K322" s="32" t="str">
        <f t="shared" si="88"/>
        <v>Desisopropyl-atrazin</v>
      </c>
      <c r="L322" s="32" t="str">
        <f t="shared" ref="L322:M322" si="96">L128</f>
        <v>Desisopropylatrazin</v>
      </c>
      <c r="M322" s="32" t="str">
        <f t="shared" si="96"/>
        <v>Her kan et synonym indsættes</v>
      </c>
      <c r="R322" s="2" t="str">
        <f t="shared" si="59"/>
        <v>Desisopropyl-atrazin</v>
      </c>
      <c r="S322"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323" spans="5:19" x14ac:dyDescent="0.2">
      <c r="F323" s="3" t="s">
        <v>192</v>
      </c>
      <c r="G323" s="4" t="str">
        <f>IF((IFERROR(SEARCH(K323,Rådata!$B$1000),-1)+IFERROR(SEARCH(L323,Rådata!$B$1000),-1)+IFERROR(SEARCH(M323,Rådata!$B$1000),-1))&gt;0,"-","NEJ")</f>
        <v>NEJ</v>
      </c>
      <c r="K323" s="32" t="str">
        <f t="shared" si="88"/>
        <v>Deisopropyl-hydroxy-atrazin</v>
      </c>
      <c r="L323" s="32" t="str">
        <f t="shared" ref="L323:M323" si="97">L129</f>
        <v>Desisopropylhydroxy-atrazin</v>
      </c>
      <c r="M323" s="32" t="str">
        <f t="shared" si="97"/>
        <v>Desisopropyl-hydroxyatrazin</v>
      </c>
      <c r="R323" s="2" t="str">
        <f t="shared" si="59"/>
        <v>Desisopropyl-hydroxy-atrazin</v>
      </c>
      <c r="S323"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v>
      </c>
    </row>
    <row r="324" spans="5:19" x14ac:dyDescent="0.2">
      <c r="F324" s="3" t="s">
        <v>195</v>
      </c>
      <c r="G324" s="4" t="str">
        <f>IF((IFERROR(SEARCH(K324,Rådata!$B$1000),-1)+IFERROR(SEARCH(L324,Rådata!$B$1000),-1)+IFERROR(SEARCH(M324,Rådata!$B$1000),-1))&gt;0,"-","NEJ")</f>
        <v>NEJ</v>
      </c>
      <c r="K324" s="32" t="str">
        <f t="shared" si="88"/>
        <v>chloridazon, Desphenyl-</v>
      </c>
      <c r="L324" s="32" t="str">
        <f t="shared" ref="L324:M324" si="98">L130</f>
        <v>Desphenylchloridazon</v>
      </c>
      <c r="M324" s="32" t="str">
        <f t="shared" si="98"/>
        <v>Desphenyl-Chloridazon</v>
      </c>
      <c r="R324" s="2" t="str">
        <f t="shared" si="59"/>
        <v>Desphenyl-Chloridazon</v>
      </c>
      <c r="S324" s="40" t="str">
        <f t="shared" si="57"/>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v>
      </c>
    </row>
    <row r="325" spans="5:19" x14ac:dyDescent="0.2">
      <c r="F325" s="3" t="s">
        <v>29</v>
      </c>
      <c r="G325" s="4" t="str">
        <f>IF((IFERROR(SEARCH(K325,Rådata!$B$1000),-1)+IFERROR(SEARCH(L325,Rådata!$B$1000),-1)+IFERROR(SEARCH(M325,Rådata!$B$1000),-1))&gt;0,"-","NEJ")</f>
        <v>NEJ</v>
      </c>
      <c r="K325" s="32" t="str">
        <f t="shared" si="88"/>
        <v>Didealkyl-hydroxy-atrazin</v>
      </c>
      <c r="L325" s="32" t="str">
        <f t="shared" ref="L325:M325" si="99">L131</f>
        <v>Didealkylhydroxy-atrazin</v>
      </c>
      <c r="M325" s="32" t="str">
        <f t="shared" si="99"/>
        <v>Her kan et synonym indsættes</v>
      </c>
      <c r="R325" s="2" t="str">
        <f t="shared" si="59"/>
        <v>Didealkyl-hydroxy-atrazin</v>
      </c>
      <c r="S325" s="40" t="str">
        <f t="shared" ref="S325:S332" si="100">IF(R325="",S324,S324&amp;", "&amp;R325)</f>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v>
      </c>
    </row>
    <row r="326" spans="5:19" x14ac:dyDescent="0.2">
      <c r="F326" s="3" t="s">
        <v>33</v>
      </c>
      <c r="G326" s="4" t="str">
        <f>IF((IFERROR(SEARCH(K326,Rådata!$B$1000),-1)+IFERROR(SEARCH(L326,Rådata!$B$1000),-1)+IFERROR(SEARCH(M326,Rådata!$B$1000),-1))&gt;0,"-","NEJ")</f>
        <v>NEJ</v>
      </c>
      <c r="K326" s="32" t="str">
        <f t="shared" si="88"/>
        <v>Hydroxyatrazin</v>
      </c>
      <c r="L326" s="32" t="str">
        <f t="shared" ref="L326:M326" si="101">L132</f>
        <v>Her kan et synonym indsættes</v>
      </c>
      <c r="M326" s="32" t="str">
        <f t="shared" si="101"/>
        <v>Her kan et synonym indsættes</v>
      </c>
      <c r="R326" s="2" t="str">
        <f t="shared" ref="R326:R332" si="102">IF(G326="NEJ",F326,"")</f>
        <v>Hydroxyatrazin</v>
      </c>
      <c r="S326" s="40" t="str">
        <f t="shared" si="100"/>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v>
      </c>
    </row>
    <row r="327" spans="5:19" x14ac:dyDescent="0.2">
      <c r="F327" s="3" t="s">
        <v>34</v>
      </c>
      <c r="G327" s="4" t="str">
        <f>IF((IFERROR(SEARCH(K327,Rådata!$B$1000),-1)+IFERROR(SEARCH(L327,Rådata!$B$1000),-1)+IFERROR(SEARCH(M327,Rådata!$B$1000),-1))&gt;0,"-","NEJ")</f>
        <v>NEJ</v>
      </c>
      <c r="K327" s="32" t="str">
        <f t="shared" si="88"/>
        <v>Hydroxysimazin</v>
      </c>
      <c r="L327" s="32" t="str">
        <f t="shared" ref="L327:M327" si="103">L133</f>
        <v>Her kan et synonym indsættes</v>
      </c>
      <c r="M327" s="32" t="str">
        <f t="shared" si="103"/>
        <v>Her kan et synonym indsættes</v>
      </c>
      <c r="R327" s="2" t="str">
        <f t="shared" si="102"/>
        <v>Hydroxysimazin</v>
      </c>
      <c r="S327" s="40" t="str">
        <f t="shared" si="100"/>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v>
      </c>
    </row>
    <row r="328" spans="5:19" x14ac:dyDescent="0.2">
      <c r="F328" s="3" t="s">
        <v>127</v>
      </c>
      <c r="G328" s="4" t="str">
        <f>IF((IFERROR(SEARCH(K328,Rådata!$B$1000),-1)+IFERROR(SEARCH(L328,Rådata!$B$1000),-1)+IFERROR(SEARCH(M328,Rådata!$B$1000),-1))&gt;0,"-","NEJ")</f>
        <v>NEJ</v>
      </c>
      <c r="K328" s="32" t="str">
        <f t="shared" si="88"/>
        <v>chloridazon, Methyl-desphenyl-</v>
      </c>
      <c r="L328" s="32" t="str">
        <f t="shared" ref="L328:M328" si="104">L134</f>
        <v>Methyl-desphenyl-chloridazon</v>
      </c>
      <c r="M328" s="32" t="str">
        <f t="shared" si="104"/>
        <v>Methyl-desphenyl chloridazon</v>
      </c>
      <c r="R328" s="2" t="str">
        <f t="shared" si="102"/>
        <v>Methyl-desphenyl-chloridazon</v>
      </c>
      <c r="S328" s="40" t="str">
        <f t="shared" si="100"/>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v>
      </c>
    </row>
    <row r="329" spans="5:19" x14ac:dyDescent="0.2">
      <c r="F329" s="3" t="s">
        <v>38</v>
      </c>
      <c r="G329" s="4" t="str">
        <f>IF((IFERROR(SEARCH(K329,Rådata!$B$1000),-1)+IFERROR(SEARCH(L329,Rådata!$B$1000),-1)+IFERROR(SEARCH(M329,Rådata!$B$1000),-1))&gt;0,"-","NEJ")</f>
        <v>NEJ</v>
      </c>
      <c r="K329" s="32" t="str">
        <f t="shared" si="88"/>
        <v>Metribuzin-desamino-diketo</v>
      </c>
      <c r="L329" s="32" t="str">
        <f t="shared" ref="L329:M329" si="105">L135</f>
        <v>Metribuzin-DADK</v>
      </c>
      <c r="M329" s="32" t="str">
        <f t="shared" si="105"/>
        <v>Her kan et synonym indsættes</v>
      </c>
      <c r="R329" s="2" t="str">
        <f t="shared" si="102"/>
        <v>Metribuzin-desamino-diketo</v>
      </c>
      <c r="S329" s="40" t="str">
        <f t="shared" si="100"/>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v>
      </c>
    </row>
    <row r="330" spans="5:19" x14ac:dyDescent="0.2">
      <c r="F330" s="3" t="s">
        <v>39</v>
      </c>
      <c r="G330" s="4" t="str">
        <f>IF((IFERROR(SEARCH(K330,Rådata!$B$1000),-1)+IFERROR(SEARCH(L330,Rådata!$B$1000),-1)+IFERROR(SEARCH(M330,Rådata!$B$1000),-1))&gt;0,"-","NEJ")</f>
        <v>NEJ</v>
      </c>
      <c r="K330" s="32" t="str">
        <f t="shared" si="88"/>
        <v>Metribuzin-diketo</v>
      </c>
      <c r="L330" s="32" t="str">
        <f t="shared" ref="L330:M330" si="106">L136</f>
        <v>Metribuzin-deketo</v>
      </c>
      <c r="M330" s="32" t="str">
        <f t="shared" si="106"/>
        <v>Her kan et synonym indsættes</v>
      </c>
      <c r="R330" s="2" t="str">
        <f t="shared" si="102"/>
        <v>Metribuzin-diketo</v>
      </c>
      <c r="S330" s="40" t="str">
        <f t="shared" si="100"/>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v>
      </c>
    </row>
    <row r="331" spans="5:19" x14ac:dyDescent="0.2">
      <c r="F331" s="3" t="s">
        <v>37</v>
      </c>
      <c r="G331" s="4" t="str">
        <f>IF((IFERROR(SEARCH(K331,Rådata!$B$1000),-1)+IFERROR(SEARCH(L331,Rådata!$B$1000),-1)+IFERROR(SEARCH(M331,Rådata!$B$1000),-1))&gt;0,"-","NEJ")</f>
        <v>NEJ</v>
      </c>
      <c r="K331" s="32" t="str">
        <f t="shared" si="88"/>
        <v>Metribuzin-desamino</v>
      </c>
      <c r="L331" s="32" t="str">
        <f t="shared" ref="L331:M331" si="107">L137</f>
        <v>Her kan et synonym indsættes</v>
      </c>
      <c r="M331" s="32" t="str">
        <f t="shared" si="107"/>
        <v>Her kan et synonym indsættes</v>
      </c>
      <c r="R331" s="2" t="str">
        <f t="shared" si="102"/>
        <v>Metribuzin-desamino</v>
      </c>
      <c r="S331" s="40" t="str">
        <f t="shared" si="100"/>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v>
      </c>
    </row>
    <row r="332" spans="5:19" x14ac:dyDescent="0.2">
      <c r="F332" s="3" t="s">
        <v>128</v>
      </c>
      <c r="G332" s="4" t="str">
        <f>IF((IFERROR(SEARCH(K332,Rådata!$B$1000),-1)+IFERROR(SEARCH(L332,Rådata!$B$1000),-1)+IFERROR(SEARCH(M332,Rådata!$B$1000),-1))&gt;0,"-","NEJ")</f>
        <v>NEJ</v>
      </c>
      <c r="K332" s="32" t="str">
        <f t="shared" si="88"/>
        <v>Sum af pesticider</v>
      </c>
      <c r="L332" s="32" t="str">
        <f t="shared" ref="L332:M332" si="108">L138</f>
        <v>total pesticid</v>
      </c>
      <c r="M332" s="32" t="str">
        <f t="shared" si="108"/>
        <v>pesticid total</v>
      </c>
      <c r="R332" s="2" t="str">
        <f t="shared" si="102"/>
        <v>Sum af pesticider</v>
      </c>
      <c r="S332" s="40" t="str">
        <f t="shared" si="100"/>
        <v>Temperatur, Ledningsevne, NVOC, Calcium, Magnesium, Natrium, Ammonium, Mangan, total, Bicarbonat, Chlorid, Sulfat, Nitrat, Nitrit, Fluorid, Aggressivt kuldioxid, Totalt phosphor, Methan, Svovlbrinte, Nikkel, Arsen, Barium,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row>
    <row r="333" spans="5:19" x14ac:dyDescent="0.2">
      <c r="E333" s="46" t="s">
        <v>153</v>
      </c>
      <c r="F333" s="46"/>
      <c r="G333" s="21"/>
      <c r="H333" s="22" t="str">
        <f>IF(IFERROR(SEARCH("NEJ"," "&amp;G334),1)=1,"OK","NEJ")</f>
        <v>NEJ</v>
      </c>
      <c r="K333" s="32"/>
      <c r="L333" s="32"/>
      <c r="M333" s="32"/>
      <c r="R333" s="42"/>
    </row>
    <row r="334" spans="5:19" x14ac:dyDescent="0.2">
      <c r="F334" s="10" t="s">
        <v>10</v>
      </c>
      <c r="G334" s="4" t="str">
        <f>IF((IFERROR(SEARCH(K334,Rådata!$B$1000),-1)+IFERROR(SEARCH(L334,Rådata!$B$1000),-1)+IFERROR(SEARCH(M334,Rådata!$B$1000),-1))&gt;0,"-","NEJ")</f>
        <v>NEJ</v>
      </c>
      <c r="K334" s="32" t="str">
        <f>K71</f>
        <v>Benzen</v>
      </c>
      <c r="L334" s="32" t="str">
        <f t="shared" ref="L334:M334" si="109">L71</f>
        <v>Her kan et synonym indsættes</v>
      </c>
      <c r="M334" s="32" t="str">
        <f t="shared" si="109"/>
        <v>Her kan et synonym indsættes</v>
      </c>
      <c r="R334" s="43"/>
    </row>
    <row r="335" spans="5:19" x14ac:dyDescent="0.2">
      <c r="E335" s="46" t="s">
        <v>170</v>
      </c>
      <c r="F335" s="46"/>
      <c r="G335" s="21"/>
      <c r="H335" s="22" t="str">
        <f>IF(IFERROR(SEARCH("NEJ",CONCATENATE(" ",G336,G337,G338)),1)=1,"OK","NEJ")</f>
        <v>NEJ</v>
      </c>
      <c r="K335" s="32"/>
      <c r="L335" s="32"/>
      <c r="M335" s="32"/>
      <c r="R335" s="42"/>
    </row>
    <row r="336" spans="5:19" x14ac:dyDescent="0.2">
      <c r="F336" s="9" t="s">
        <v>171</v>
      </c>
      <c r="G336" s="4" t="str">
        <f>IF((IFERROR(SEARCH(K336,Rådata!$B$1000),-1)+IFERROR(SEARCH(L336,Rådata!$B$1000),-1)+IFERROR(SEARCH(M336,Rådata!$B$1000),-1))&gt;0,"-","NEJ")</f>
        <v>NEJ</v>
      </c>
      <c r="K336" s="36" t="str">
        <f>F336</f>
        <v>MTBE (methyl-tert-butylether)</v>
      </c>
      <c r="L336" s="36" t="s">
        <v>228</v>
      </c>
      <c r="M336" s="36" t="s">
        <v>179</v>
      </c>
      <c r="R336" s="43"/>
    </row>
    <row r="337" spans="5:18" x14ac:dyDescent="0.2">
      <c r="F337" s="3" t="s">
        <v>172</v>
      </c>
      <c r="G337" s="4" t="str">
        <f>IF((IFERROR(SEARCH(K337,Rådata!$B$1000),-1)+IFERROR(SEARCH(L337,Rådata!$B$1000),-1)+IFERROR(SEARCH(M337,Rådata!$B$1000),-1))&gt;0,"-","NEJ")</f>
        <v>NEJ</v>
      </c>
      <c r="K337" s="36" t="str">
        <f>F337</f>
        <v>TBA (tert-butylalkohol)</v>
      </c>
      <c r="L337" s="36" t="s">
        <v>229</v>
      </c>
      <c r="M337" s="36" t="s">
        <v>179</v>
      </c>
      <c r="R337" s="43"/>
    </row>
    <row r="338" spans="5:18" x14ac:dyDescent="0.2">
      <c r="F338" s="3" t="s">
        <v>173</v>
      </c>
      <c r="G338" s="4" t="str">
        <f>IF((IFERROR(SEARCH(K338,Rådata!$B$1000),-1)+IFERROR(SEARCH(L338,Rådata!$B$1000),-1)+IFERROR(SEARCH(M338,Rådata!$B$1000),-1))&gt;0,"-","NEJ")</f>
        <v>NEJ</v>
      </c>
      <c r="K338" s="36" t="str">
        <f>F338</f>
        <v>TBF (tert-butylformat)</v>
      </c>
      <c r="L338" s="36" t="s">
        <v>230</v>
      </c>
      <c r="M338" s="36" t="s">
        <v>179</v>
      </c>
      <c r="R338" s="43"/>
    </row>
    <row r="339" spans="5:18" x14ac:dyDescent="0.2">
      <c r="E339" s="46" t="s">
        <v>152</v>
      </c>
      <c r="F339" s="46"/>
      <c r="G339" s="21"/>
      <c r="H339" s="22" t="str">
        <f>IF(IFERROR(SEARCH("NEJ",CONCATENATE(" ",G340,G341,G342)),1)=1,"OK","NEJ")</f>
        <v>NEJ</v>
      </c>
      <c r="K339" s="32"/>
      <c r="L339" s="32"/>
      <c r="M339" s="32"/>
      <c r="R339" s="42"/>
    </row>
    <row r="340" spans="5:18" x14ac:dyDescent="0.2">
      <c r="F340" s="9" t="s">
        <v>8</v>
      </c>
      <c r="G340" s="4" t="str">
        <f>IF((IFERROR(SEARCH(K340,Rådata!$B$1000),-1)+IFERROR(SEARCH(L340,Rådata!$B$1000),-1)+IFERROR(SEARCH(M340,Rådata!$B$1000),-1))&gt;0,"-","NEJ")</f>
        <v>NEJ</v>
      </c>
      <c r="K340" s="32" t="str">
        <f>K52</f>
        <v>Acrylamid</v>
      </c>
      <c r="L340" s="32" t="str">
        <f t="shared" ref="L340:M340" si="110">L52</f>
        <v>Her kan et synonym indsættes</v>
      </c>
      <c r="M340" s="32" t="str">
        <f t="shared" si="110"/>
        <v>Her kan et synonym indsættes</v>
      </c>
      <c r="R340" s="43"/>
    </row>
    <row r="341" spans="5:18" x14ac:dyDescent="0.2">
      <c r="F341" s="3" t="s">
        <v>9</v>
      </c>
      <c r="G341" s="4" t="str">
        <f>IF((IFERROR(SEARCH(K341,Rådata!$B$1000),-1)+IFERROR(SEARCH(L341,Rådata!$B$1000),-1)+IFERROR(SEARCH(M341,Rådata!$B$1000),-1))&gt;0,"-","NEJ")</f>
        <v>NEJ</v>
      </c>
      <c r="K341" s="32" t="str">
        <f t="shared" ref="K341:M342" si="111">K53</f>
        <v>Epichlorhydrin</v>
      </c>
      <c r="L341" s="32" t="str">
        <f t="shared" si="111"/>
        <v>Her kan et synonym indsættes</v>
      </c>
      <c r="M341" s="32" t="str">
        <f t="shared" si="111"/>
        <v>Her kan et synonym indsættes</v>
      </c>
      <c r="R341" s="43"/>
    </row>
    <row r="342" spans="5:18" x14ac:dyDescent="0.2">
      <c r="F342" s="10" t="s">
        <v>41</v>
      </c>
      <c r="G342" s="4" t="str">
        <f>IF((IFERROR(SEARCH(K342,Rådata!$B$1000),-1)+IFERROR(SEARCH(L342,Rådata!$B$1000),-1)+IFERROR(SEARCH(M342,Rådata!$B$1000),-1))&gt;0,"-","NEJ")</f>
        <v>NEJ</v>
      </c>
      <c r="K342" s="32" t="str">
        <f t="shared" si="111"/>
        <v>Vinylchlorid</v>
      </c>
      <c r="L342" s="32" t="str">
        <f t="shared" si="111"/>
        <v>Her kan et synonym indsættes</v>
      </c>
      <c r="M342" s="32" t="str">
        <f t="shared" si="111"/>
        <v>Her kan et synonym indsættes</v>
      </c>
      <c r="R342" s="43"/>
    </row>
    <row r="343" spans="5:18" x14ac:dyDescent="0.2">
      <c r="E343" s="46" t="s">
        <v>182</v>
      </c>
      <c r="F343" s="46"/>
      <c r="G343" s="21"/>
      <c r="H343" s="22" t="str">
        <f>IF(IFERROR(SEARCH("NEJ",CONCATENATE(" ",G344,G345,G346,G347,G348,G349,G350,G351,G352,G353,G354,G355)),1)=1,"OK","NEJ")</f>
        <v>NEJ</v>
      </c>
      <c r="K343" s="32"/>
      <c r="L343" s="32"/>
      <c r="M343" s="32"/>
      <c r="R343" s="42"/>
    </row>
    <row r="344" spans="5:18" x14ac:dyDescent="0.2">
      <c r="F344" s="9" t="s">
        <v>42</v>
      </c>
      <c r="G344" s="4" t="str">
        <f>IF((IFERROR(SEARCH(K344,Rådata!$B$1000),-1)+IFERROR(SEARCH(L344,Rådata!$B$1000),-1)+IFERROR(SEARCH(M344,Rådata!$B$1000),-1))&gt;0,"-","NEJ")</f>
        <v>NEJ</v>
      </c>
      <c r="K344" s="32" t="str">
        <f>K58</f>
        <v>Dichlormethan</v>
      </c>
      <c r="L344" s="32" t="str">
        <f t="shared" ref="L344:M344" si="112">L58</f>
        <v>Dichlormetan</v>
      </c>
      <c r="M344" s="32" t="str">
        <f t="shared" si="112"/>
        <v>Her kan et synonym indsættes</v>
      </c>
      <c r="R344" s="43"/>
    </row>
    <row r="345" spans="5:18" x14ac:dyDescent="0.2">
      <c r="F345" s="3" t="s">
        <v>92</v>
      </c>
      <c r="G345" s="4" t="str">
        <f>IF((IFERROR(SEARCH(K345,Rådata!$B$1000),-1)+IFERROR(SEARCH(L345,Rådata!$B$1000),-1)+IFERROR(SEARCH(M345,Rådata!$B$1000),-1))&gt;0,"-","NEJ")</f>
        <v>NEJ</v>
      </c>
      <c r="K345" s="32" t="str">
        <f t="shared" ref="K345:M355" si="113">K59</f>
        <v>Trichlormethan</v>
      </c>
      <c r="L345" s="32" t="str">
        <f t="shared" si="113"/>
        <v>Her kan et synonym indsættes</v>
      </c>
      <c r="M345" s="32" t="str">
        <f t="shared" si="113"/>
        <v>Her kan et synonym indsættes</v>
      </c>
      <c r="R345" s="43"/>
    </row>
    <row r="346" spans="5:18" x14ac:dyDescent="0.2">
      <c r="F346" s="3" t="s">
        <v>44</v>
      </c>
      <c r="G346" s="4" t="str">
        <f>IF((IFERROR(SEARCH(K346,Rådata!$B$1000),-1)+IFERROR(SEARCH(L346,Rådata!$B$1000),-1)+IFERROR(SEARCH(M346,Rådata!$B$1000),-1))&gt;0,"-","NEJ")</f>
        <v>NEJ</v>
      </c>
      <c r="K346" s="32" t="str">
        <f t="shared" si="113"/>
        <v>1,2-dichlorethan</v>
      </c>
      <c r="L346" s="32" t="str">
        <f t="shared" si="113"/>
        <v>Her kan et synonym indsættes</v>
      </c>
      <c r="M346" s="32" t="str">
        <f t="shared" si="113"/>
        <v>Her kan et synonym indsættes</v>
      </c>
      <c r="R346" s="43"/>
    </row>
    <row r="347" spans="5:18" x14ac:dyDescent="0.2">
      <c r="F347" s="3" t="s">
        <v>47</v>
      </c>
      <c r="G347" s="4" t="str">
        <f>IF((IFERROR(SEARCH(K347,Rådata!$B$1000),-1)+IFERROR(SEARCH(L347,Rådata!$B$1000),-1)+IFERROR(SEARCH(M347,Rådata!$B$1000),-1))&gt;0,"-","NEJ")</f>
        <v>NEJ</v>
      </c>
      <c r="K347" s="32" t="str">
        <f t="shared" si="113"/>
        <v>Trichlorethen</v>
      </c>
      <c r="L347" s="32" t="str">
        <f t="shared" si="113"/>
        <v>Trichlorethylen</v>
      </c>
      <c r="M347" s="32" t="str">
        <f t="shared" si="113"/>
        <v>Her kan et synonym indsættes</v>
      </c>
      <c r="R347" s="43"/>
    </row>
    <row r="348" spans="5:18" x14ac:dyDescent="0.2">
      <c r="F348" s="3" t="s">
        <v>50</v>
      </c>
      <c r="G348" s="4" t="str">
        <f>IF((IFERROR(SEARCH(K348,Rådata!$B$1000),-1)+IFERROR(SEARCH(L348,Rådata!$B$1000),-1)+IFERROR(SEARCH(M348,Rådata!$B$1000),-1))&gt;0,"-","NEJ")</f>
        <v>NEJ</v>
      </c>
      <c r="K348" s="32" t="str">
        <f t="shared" si="113"/>
        <v>Tetrachlorethen</v>
      </c>
      <c r="L348" s="32" t="str">
        <f t="shared" si="113"/>
        <v>Tetrachlorethylen</v>
      </c>
      <c r="M348" s="32" t="str">
        <f t="shared" si="113"/>
        <v>Her kan et synonym indsættes</v>
      </c>
      <c r="R348" s="43"/>
    </row>
    <row r="349" spans="5:18" x14ac:dyDescent="0.2">
      <c r="F349" s="3" t="s">
        <v>43</v>
      </c>
      <c r="G349" s="4" t="str">
        <f>IF((IFERROR(SEARCH(K349,Rådata!$B$1000),-1)+IFERROR(SEARCH(L349,Rådata!$B$1000),-1)+IFERROR(SEARCH(M349,Rådata!$B$1000),-1))&gt;0,"-","NEJ")</f>
        <v>NEJ</v>
      </c>
      <c r="K349" s="32" t="str">
        <f t="shared" si="113"/>
        <v>1,1-dichlorethen</v>
      </c>
      <c r="L349" s="32" t="str">
        <f t="shared" si="113"/>
        <v>1,1-dichlorethylen</v>
      </c>
      <c r="M349" s="32" t="str">
        <f t="shared" si="113"/>
        <v>Her kan et synonym indsættes</v>
      </c>
      <c r="R349" s="43"/>
    </row>
    <row r="350" spans="5:18" x14ac:dyDescent="0.2">
      <c r="F350" s="3" t="s">
        <v>231</v>
      </c>
      <c r="G350" s="4" t="str">
        <f>IF((IFERROR(SEARCH(K350,Rådata!$B$1000),-1)+IFERROR(SEARCH(L350,Rådata!$B$1000),-1)+IFERROR(SEARCH(M350,Rådata!$B$1000),-1))&gt;0,"-","NEJ")</f>
        <v>NEJ</v>
      </c>
      <c r="K350" s="32" t="str">
        <f t="shared" si="113"/>
        <v>Cis-1,2-dichlorethen</v>
      </c>
      <c r="L350" s="32" t="str">
        <f t="shared" si="113"/>
        <v>cis-1,2-dichlorethylen</v>
      </c>
      <c r="M350" s="32" t="str">
        <f t="shared" si="113"/>
        <v>Her kan et synonym indsættes</v>
      </c>
      <c r="R350" s="43"/>
    </row>
    <row r="351" spans="5:18" x14ac:dyDescent="0.2">
      <c r="F351" s="3" t="s">
        <v>93</v>
      </c>
      <c r="G351" s="4" t="str">
        <f>IF((IFERROR(SEARCH(K351,Rådata!$B$1000),-1)+IFERROR(SEARCH(L351,Rådata!$B$1000),-1)+IFERROR(SEARCH(M351,Rådata!$B$1000),-1))&gt;0,"-","NEJ")</f>
        <v>NEJ</v>
      </c>
      <c r="K351" s="32" t="str">
        <f t="shared" si="113"/>
        <v>Trans-1,2-dichlorethen</v>
      </c>
      <c r="L351" s="32" t="str">
        <f t="shared" si="113"/>
        <v>Trans-1,2-dichlorethylen</v>
      </c>
      <c r="M351" s="32" t="str">
        <f t="shared" si="113"/>
        <v>Her kan et synonym indsættes</v>
      </c>
      <c r="R351" s="43"/>
    </row>
    <row r="352" spans="5:18" x14ac:dyDescent="0.2">
      <c r="F352" s="3" t="s">
        <v>45</v>
      </c>
      <c r="G352" s="4" t="str">
        <f>IF((IFERROR(SEARCH(K352,Rådata!$B$1000),-1)+IFERROR(SEARCH(L352,Rådata!$B$1000),-1)+IFERROR(SEARCH(M352,Rådata!$B$1000),-1))&gt;0,"-","NEJ")</f>
        <v>NEJ</v>
      </c>
      <c r="K352" s="32" t="str">
        <f t="shared" si="113"/>
        <v>1,1,1-trichlorethan</v>
      </c>
      <c r="L352" s="32" t="str">
        <f t="shared" si="113"/>
        <v>Her kan et synonym indsættes</v>
      </c>
      <c r="M352" s="32" t="str">
        <f t="shared" si="113"/>
        <v>Her kan et synonym indsættes</v>
      </c>
      <c r="R352" s="43"/>
    </row>
    <row r="353" spans="5:18" x14ac:dyDescent="0.2">
      <c r="F353" s="3" t="s">
        <v>46</v>
      </c>
      <c r="G353" s="4" t="str">
        <f>IF((IFERROR(SEARCH(K353,Rådata!$B$1000),-1)+IFERROR(SEARCH(L353,Rådata!$B$1000),-1)+IFERROR(SEARCH(M353,Rådata!$B$1000),-1))&gt;0,"-","NEJ")</f>
        <v>NEJ</v>
      </c>
      <c r="K353" s="32" t="str">
        <f t="shared" si="113"/>
        <v>1,1,2-trichlorethan</v>
      </c>
      <c r="L353" s="32" t="str">
        <f t="shared" si="113"/>
        <v>Her kan et synonym indsættes</v>
      </c>
      <c r="M353" s="32" t="str">
        <f t="shared" si="113"/>
        <v>Her kan et synonym indsættes</v>
      </c>
      <c r="R353" s="43"/>
    </row>
    <row r="354" spans="5:18" x14ac:dyDescent="0.2">
      <c r="F354" s="3" t="s">
        <v>49</v>
      </c>
      <c r="G354" s="4" t="str">
        <f>IF((IFERROR(SEARCH(K354,Rådata!$B$1000),-1)+IFERROR(SEARCH(L354,Rådata!$B$1000),-1)+IFERROR(SEARCH(M354,Rådata!$B$1000),-1))&gt;0,"-","NEJ")</f>
        <v>NEJ</v>
      </c>
      <c r="K354" s="32" t="str">
        <f t="shared" si="113"/>
        <v>1,1,2,2-tetrachlorethan</v>
      </c>
      <c r="L354" s="32" t="str">
        <f t="shared" si="113"/>
        <v>Her kan et synonym indsættes</v>
      </c>
      <c r="M354" s="32" t="str">
        <f t="shared" si="113"/>
        <v>Her kan et synonym indsættes</v>
      </c>
      <c r="R354" s="43"/>
    </row>
    <row r="355" spans="5:18" x14ac:dyDescent="0.2">
      <c r="F355" s="10" t="s">
        <v>48</v>
      </c>
      <c r="G355" s="4" t="str">
        <f>IF((IFERROR(SEARCH(K355,Rådata!$B$1000),-1)+IFERROR(SEARCH(L355,Rådata!$B$1000),-1)+IFERROR(SEARCH(M355,Rådata!$B$1000),-1))&gt;0,"-","NEJ")</f>
        <v>NEJ</v>
      </c>
      <c r="K355" s="32" t="str">
        <f t="shared" si="113"/>
        <v>1,1,1,2-tetrachlorethan</v>
      </c>
      <c r="L355" s="32" t="str">
        <f t="shared" si="113"/>
        <v>Her kan et synonym indsættes</v>
      </c>
      <c r="M355" s="32" t="str">
        <f t="shared" si="113"/>
        <v>Her kan et synonym indsættes</v>
      </c>
      <c r="R355" s="43"/>
    </row>
    <row r="356" spans="5:18" x14ac:dyDescent="0.2">
      <c r="E356" s="46" t="s">
        <v>154</v>
      </c>
      <c r="F356" s="46"/>
      <c r="G356" s="21"/>
      <c r="H356" s="22" t="str">
        <f>IF(IFERROR(SEARCH("NEJ",CONCATENATE(" ",G357,G358,G359,G360,G361,G362)),1)=1,"OK","NEJ")</f>
        <v>NEJ</v>
      </c>
      <c r="K356" s="32"/>
      <c r="L356" s="32"/>
      <c r="M356" s="32"/>
      <c r="R356" s="42"/>
    </row>
    <row r="357" spans="5:18" x14ac:dyDescent="0.2">
      <c r="F357" s="9" t="s">
        <v>12</v>
      </c>
      <c r="G357" s="4" t="str">
        <f>IF((IFERROR(SEARCH(K357,Rådata!$B$1000),-1)+IFERROR(SEARCH(L357,Rådata!$B$1000),-1)+IFERROR(SEARCH(M357,Rådata!$B$1000),-1))&gt;0,"-","NEJ")</f>
        <v>NEJ</v>
      </c>
      <c r="K357" s="32" t="str">
        <f>K73</f>
        <v>Benzo(a)pyren</v>
      </c>
      <c r="L357" s="32" t="str">
        <f t="shared" ref="L357:M357" si="114">L73</f>
        <v>Her kan et synonym indsættes</v>
      </c>
      <c r="M357" s="32" t="str">
        <f t="shared" si="114"/>
        <v>Her kan et synonym indsættes</v>
      </c>
      <c r="R357" s="43"/>
    </row>
    <row r="358" spans="5:18" x14ac:dyDescent="0.2">
      <c r="F358" s="3" t="s">
        <v>11</v>
      </c>
      <c r="G358" s="4" t="str">
        <f>IF((IFERROR(SEARCH(K358,Rådata!$B$1000),-1)+IFERROR(SEARCH(L358,Rådata!$B$1000),-1)+IFERROR(SEARCH(M358,Rådata!$B$1000),-1))&gt;0,"-","NEJ")</f>
        <v>NEJ</v>
      </c>
      <c r="K358" s="32" t="str">
        <f t="shared" ref="K358:M362" si="115">K74</f>
        <v>Fluoranthen</v>
      </c>
      <c r="L358" s="32" t="str">
        <f t="shared" si="115"/>
        <v>Her kan et synonym indsættes</v>
      </c>
      <c r="M358" s="32" t="str">
        <f t="shared" si="115"/>
        <v>Her kan et synonym indsættes</v>
      </c>
      <c r="R358" s="43"/>
    </row>
    <row r="359" spans="5:18" x14ac:dyDescent="0.2">
      <c r="F359" s="3" t="s">
        <v>232</v>
      </c>
      <c r="G359" s="4" t="str">
        <f>IF((IFERROR(SEARCH(K359,Rådata!$B$1000),-1)+IFERROR(SEARCH(L359,Rådata!$B$1000),-1)+IFERROR(SEARCH(M359,Rådata!$B$1000),-1))&gt;0,"-","NEJ")</f>
        <v>NEJ</v>
      </c>
      <c r="K359" s="32" t="str">
        <f t="shared" si="115"/>
        <v>Benzo(b)fluoranthen</v>
      </c>
      <c r="L359" s="32" t="str">
        <f t="shared" si="115"/>
        <v>Benzo(b+j+k)fluoranthen</v>
      </c>
      <c r="M359" s="32" t="str">
        <f t="shared" si="115"/>
        <v>Her kan et synonym indsættes</v>
      </c>
      <c r="R359" s="43"/>
    </row>
    <row r="360" spans="5:18" x14ac:dyDescent="0.2">
      <c r="F360" s="3" t="s">
        <v>233</v>
      </c>
      <c r="G360" s="4" t="str">
        <f>IF((IFERROR(SEARCH(K360,Rådata!$B$1000),-1)+IFERROR(SEARCH(L360,Rådata!$B$1000),-1)+IFERROR(SEARCH(M360,Rådata!$B$1000),-1))&gt;0,"-","NEJ")</f>
        <v>NEJ</v>
      </c>
      <c r="K360" s="32" t="str">
        <f t="shared" si="115"/>
        <v>Benzo(k)fluoranthen</v>
      </c>
      <c r="L360" s="32" t="str">
        <f t="shared" si="115"/>
        <v>Benzo(b+j+k)fluoranthen</v>
      </c>
      <c r="M360" s="32" t="str">
        <f t="shared" si="115"/>
        <v>Her kan et synonym indsættes</v>
      </c>
      <c r="R360" s="43"/>
    </row>
    <row r="361" spans="5:18" x14ac:dyDescent="0.2">
      <c r="F361" s="3" t="s">
        <v>234</v>
      </c>
      <c r="G361" s="4" t="str">
        <f>IF((IFERROR(SEARCH(K361,Rådata!$B$1000),-1)+IFERROR(SEARCH(L361,Rådata!$B$1000),-1)+IFERROR(SEARCH(M361,Rådata!$B$1000),-1))&gt;0,"-","NEJ")</f>
        <v>NEJ</v>
      </c>
      <c r="K361" s="32" t="str">
        <f t="shared" si="115"/>
        <v>benzo(g,h,i)perylen</v>
      </c>
      <c r="L361" s="32" t="str">
        <f t="shared" si="115"/>
        <v>Her kan et synonym indsættes</v>
      </c>
      <c r="M361" s="32" t="str">
        <f t="shared" si="115"/>
        <v>Her kan et synonym indsættes</v>
      </c>
      <c r="R361" s="43"/>
    </row>
    <row r="362" spans="5:18" x14ac:dyDescent="0.2">
      <c r="F362" s="3" t="s">
        <v>235</v>
      </c>
      <c r="G362" s="4" t="str">
        <f>IF((IFERROR(SEARCH(K362,Rådata!$B$1000),-1)+IFERROR(SEARCH(L362,Rådata!$B$1000),-1)+IFERROR(SEARCH(M362,Rådata!$B$1000),-1))&gt;0,"-","NEJ")</f>
        <v>NEJ</v>
      </c>
      <c r="K362" s="32" t="str">
        <f t="shared" si="115"/>
        <v>Indeno(1,2,3-cd)pyren</v>
      </c>
      <c r="L362" s="32" t="str">
        <f t="shared" si="115"/>
        <v>Her kan et synonym indsættes</v>
      </c>
      <c r="M362" s="32" t="str">
        <f t="shared" si="115"/>
        <v>Her kan et synonym indsættes</v>
      </c>
      <c r="R362" s="43"/>
    </row>
  </sheetData>
  <protectedRanges>
    <protectedRange sqref="F4" name="Område1"/>
  </protectedRanges>
  <sortState ref="A2:A117">
    <sortCondition ref="A2"/>
  </sortState>
  <mergeCells count="47">
    <mergeCell ref="A34:C34"/>
    <mergeCell ref="A16:D16"/>
    <mergeCell ref="A30:C30"/>
    <mergeCell ref="A31:C31"/>
    <mergeCell ref="A32:C32"/>
    <mergeCell ref="A33:C33"/>
    <mergeCell ref="A4:D4"/>
    <mergeCell ref="E187:F187"/>
    <mergeCell ref="E335:F335"/>
    <mergeCell ref="E287:F287"/>
    <mergeCell ref="E288:F288"/>
    <mergeCell ref="E306:F306"/>
    <mergeCell ref="E257:F257"/>
    <mergeCell ref="E333:F333"/>
    <mergeCell ref="E259:F259"/>
    <mergeCell ref="E281:F281"/>
    <mergeCell ref="E210:F210"/>
    <mergeCell ref="E211:F211"/>
    <mergeCell ref="E229:F229"/>
    <mergeCell ref="E207:F207"/>
    <mergeCell ref="E192:F192"/>
    <mergeCell ref="E175:F175"/>
    <mergeCell ref="E177:F177"/>
    <mergeCell ref="E162:F162"/>
    <mergeCell ref="E158:F158"/>
    <mergeCell ref="E185:F185"/>
    <mergeCell ref="E72:F72"/>
    <mergeCell ref="E79:F79"/>
    <mergeCell ref="E93:F93"/>
    <mergeCell ref="E94:F94"/>
    <mergeCell ref="E149:F149"/>
    <mergeCell ref="E339:F339"/>
    <mergeCell ref="E343:F343"/>
    <mergeCell ref="E356:F356"/>
    <mergeCell ref="E20:F20"/>
    <mergeCell ref="E6:F6"/>
    <mergeCell ref="E140:F140"/>
    <mergeCell ref="E142:F142"/>
    <mergeCell ref="E144:F144"/>
    <mergeCell ref="E112:F112"/>
    <mergeCell ref="E35:F35"/>
    <mergeCell ref="E24:F24"/>
    <mergeCell ref="E22:F22"/>
    <mergeCell ref="E55:F55"/>
    <mergeCell ref="E51:F51"/>
    <mergeCell ref="E57:F57"/>
    <mergeCell ref="E70:F70"/>
  </mergeCells>
  <hyperlinks>
    <hyperlink ref="A30" location="Analysepakker!E6" display="Gruppe A"/>
    <hyperlink ref="A31" location="Analysepakker!E20" display="Gruppe B"/>
    <hyperlink ref="A32" location="Analysepakker!E157" display="Ledningsnetkontrol (Bilag F)"/>
    <hyperlink ref="A33" location="Analysepakker!E209" display="Vandværkskontrol (Bilag E)"/>
    <hyperlink ref="A34" location="Analysepakker!E286" display="Boringskontrol"/>
    <hyperlink ref="E6:F6" location="Analysepakker!F1" display="Gruppe A"/>
    <hyperlink ref="E20:F20" location="Analysepakker!F1" display="Gruppe B"/>
    <hyperlink ref="E140:F140" location="Analysepakker!F1" display="Ledningsnetkontrol (Bilag F)"/>
    <hyperlink ref="E185:F185" location="Analysepakker!F1" display="Vandværkskontrol (Bilag E)"/>
    <hyperlink ref="E257:F257" location="Analysepakker!F1" display="Boringskontrol"/>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Kopier_A">
                <anchor moveWithCells="1" sizeWithCells="1">
                  <from>
                    <xdr:col>7</xdr:col>
                    <xdr:colOff>0</xdr:colOff>
                    <xdr:row>4</xdr:row>
                    <xdr:rowOff>0</xdr:rowOff>
                  </from>
                  <to>
                    <xdr:col>8</xdr:col>
                    <xdr:colOff>0</xdr:colOff>
                    <xdr:row>5</xdr:row>
                    <xdr:rowOff>0</xdr:rowOff>
                  </to>
                </anchor>
              </controlPr>
            </control>
          </mc:Choice>
        </mc:AlternateContent>
        <mc:AlternateContent xmlns:mc="http://schemas.openxmlformats.org/markup-compatibility/2006">
          <mc:Choice Requires="x14">
            <control shapeId="1032" r:id="rId5" name="Button 8">
              <controlPr defaultSize="0" print="0" autoFill="0" autoPict="0" macro="[0]!Kopier_B">
                <anchor moveWithCells="1" sizeWithCells="1">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1033" r:id="rId6" name="Button 9">
              <controlPr defaultSize="0" print="0" autoFill="0" autoPict="0" macro="[0]!Kopier_F">
                <anchor moveWithCells="1" sizeWithCells="1">
                  <from>
                    <xdr:col>7</xdr:col>
                    <xdr:colOff>0</xdr:colOff>
                    <xdr:row>138</xdr:row>
                    <xdr:rowOff>0</xdr:rowOff>
                  </from>
                  <to>
                    <xdr:col>8</xdr:col>
                    <xdr:colOff>0</xdr:colOff>
                    <xdr:row>139</xdr:row>
                    <xdr:rowOff>0</xdr:rowOff>
                  </to>
                </anchor>
              </controlPr>
            </control>
          </mc:Choice>
        </mc:AlternateContent>
        <mc:AlternateContent xmlns:mc="http://schemas.openxmlformats.org/markup-compatibility/2006">
          <mc:Choice Requires="x14">
            <control shapeId="1034" r:id="rId7" name="Button 10">
              <controlPr defaultSize="0" print="0" autoFill="0" autoPict="0" macro="[0]!Kopier_E">
                <anchor moveWithCells="1" sizeWithCells="1">
                  <from>
                    <xdr:col>7</xdr:col>
                    <xdr:colOff>0</xdr:colOff>
                    <xdr:row>183</xdr:row>
                    <xdr:rowOff>0</xdr:rowOff>
                  </from>
                  <to>
                    <xdr:col>8</xdr:col>
                    <xdr:colOff>0</xdr:colOff>
                    <xdr:row>184</xdr:row>
                    <xdr:rowOff>0</xdr:rowOff>
                  </to>
                </anchor>
              </controlPr>
            </control>
          </mc:Choice>
        </mc:AlternateContent>
        <mc:AlternateContent xmlns:mc="http://schemas.openxmlformats.org/markup-compatibility/2006">
          <mc:Choice Requires="x14">
            <control shapeId="1035" r:id="rId8" name="Button 11">
              <controlPr defaultSize="0" print="0" autoFill="0" autoPict="0" macro="[0]!Kopier_Bore">
                <anchor moveWithCells="1" sizeWithCells="1">
                  <from>
                    <xdr:col>7</xdr:col>
                    <xdr:colOff>0</xdr:colOff>
                    <xdr:row>255</xdr:row>
                    <xdr:rowOff>0</xdr:rowOff>
                  </from>
                  <to>
                    <xdr:col>8</xdr:col>
                    <xdr:colOff>0</xdr:colOff>
                    <xdr:row>256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dimension ref="A1:C1009"/>
  <sheetViews>
    <sheetView workbookViewId="0">
      <selection activeCell="A2" sqref="A2:A1000"/>
    </sheetView>
  </sheetViews>
  <sheetFormatPr defaultRowHeight="18" customHeight="1" x14ac:dyDescent="0.2"/>
  <cols>
    <col min="1" max="1" width="27.625" customWidth="1"/>
    <col min="2" max="2" width="255.625" hidden="1" customWidth="1"/>
    <col min="3" max="3" width="5" style="2" customWidth="1"/>
  </cols>
  <sheetData>
    <row r="1" spans="1:3" ht="18" customHeight="1" x14ac:dyDescent="0.25">
      <c r="A1" s="1" t="s">
        <v>0</v>
      </c>
      <c r="B1" s="1"/>
      <c r="C1" s="24" t="s">
        <v>174</v>
      </c>
    </row>
    <row r="2" spans="1:3" ht="18" customHeight="1" x14ac:dyDescent="0.2">
      <c r="A2" s="3" t="s">
        <v>290</v>
      </c>
      <c r="B2" s="6" t="str">
        <f>A2</f>
        <v xml:space="preserve">Tilstandsparametre                                                  </v>
      </c>
      <c r="C2" s="24" t="s">
        <v>174</v>
      </c>
    </row>
    <row r="3" spans="1:3" ht="18" customHeight="1" x14ac:dyDescent="0.2">
      <c r="A3" s="3" t="s">
        <v>289</v>
      </c>
      <c r="B3" s="6" t="str">
        <f t="shared" ref="B3:B66" si="0">IF(ISBLANK(A3)=TRUE,B2,B2&amp;","&amp;A3)</f>
        <v xml:space="preserve">Tilstandsparametre                                                  ,                                                  </v>
      </c>
      <c r="C3" s="24" t="s">
        <v>174</v>
      </c>
    </row>
    <row r="4" spans="1:3" ht="18" customHeight="1" x14ac:dyDescent="0.2">
      <c r="A4" s="3" t="s">
        <v>291</v>
      </c>
      <c r="B4" s="6" t="str">
        <f t="shared" si="0"/>
        <v xml:space="preserve">Tilstandsparametre                                                  ,                                                  ,Stof Enhed Mængde Overskridelse Max. Min. Detektions-grænse Filtrering Analysested Metode Laboratorie Bemærkning                                       </v>
      </c>
      <c r="C4" s="24" t="s">
        <v>174</v>
      </c>
    </row>
    <row r="5" spans="1:3" ht="18" customHeight="1" x14ac:dyDescent="0.2">
      <c r="A5" s="3" t="s">
        <v>292</v>
      </c>
      <c r="B5" s="6" t="str">
        <f t="shared" si="0"/>
        <v xml:space="preserve">Tilstandsparametre                                                  ,                                                  ,Stof Enhed Mængde Overskridelse Max. Min. Detektions-grænse Filtrering Analysested Metode Laboratorie Bemærkning                                       ,pH pH  7,8    0 Ikke filtreret Feltmåling DS/EN ISO 10523 Eurofins Miljø Vand A/S                                        </v>
      </c>
      <c r="C5" s="24" t="s">
        <v>174</v>
      </c>
    </row>
    <row r="6" spans="1:3" ht="18" customHeight="1" x14ac:dyDescent="0.2">
      <c r="A6" s="3" t="s">
        <v>293</v>
      </c>
      <c r="B6"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v>
      </c>
      <c r="C6" s="24" t="s">
        <v>174</v>
      </c>
    </row>
    <row r="7" spans="1:3" ht="18" customHeight="1" x14ac:dyDescent="0.2">
      <c r="A7" s="3" t="s">
        <v>294</v>
      </c>
      <c r="B7"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v>
      </c>
      <c r="C7" s="24" t="s">
        <v>174</v>
      </c>
    </row>
    <row r="8" spans="1:3" ht="18" customHeight="1" x14ac:dyDescent="0.2">
      <c r="A8" s="3" t="s">
        <v>295</v>
      </c>
      <c r="B8"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v>
      </c>
      <c r="C8" s="24" t="s">
        <v>174</v>
      </c>
    </row>
    <row r="9" spans="1:3" ht="18" customHeight="1" x14ac:dyDescent="0.2">
      <c r="A9" s="3" t="s">
        <v>289</v>
      </c>
      <c r="B9"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v>
      </c>
      <c r="C9" s="24" t="s">
        <v>174</v>
      </c>
    </row>
    <row r="10" spans="1:3" ht="18" customHeight="1" x14ac:dyDescent="0.25">
      <c r="A10" s="23" t="s">
        <v>289</v>
      </c>
      <c r="B10"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v>
      </c>
      <c r="C10" s="24" t="s">
        <v>174</v>
      </c>
    </row>
    <row r="11" spans="1:3" ht="18" customHeight="1" x14ac:dyDescent="0.25">
      <c r="A11" s="23" t="s">
        <v>289</v>
      </c>
      <c r="B11"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v>
      </c>
      <c r="C11" s="24" t="s">
        <v>174</v>
      </c>
    </row>
    <row r="12" spans="1:3" ht="18" customHeight="1" x14ac:dyDescent="0.2">
      <c r="A12" s="11" t="s">
        <v>296</v>
      </c>
      <c r="B12"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v>
      </c>
      <c r="C12" s="24" t="s">
        <v>174</v>
      </c>
    </row>
    <row r="13" spans="1:3" ht="18" customHeight="1" x14ac:dyDescent="0.2">
      <c r="A13" s="11" t="s">
        <v>289</v>
      </c>
      <c r="B13"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v>
      </c>
      <c r="C13" s="24" t="s">
        <v>174</v>
      </c>
    </row>
    <row r="14" spans="1:3" ht="18" customHeight="1" x14ac:dyDescent="0.2">
      <c r="A14" s="11" t="s">
        <v>291</v>
      </c>
      <c r="B14"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v>
      </c>
      <c r="C14" s="24" t="s">
        <v>174</v>
      </c>
    </row>
    <row r="15" spans="1:3" ht="18" customHeight="1" x14ac:dyDescent="0.2">
      <c r="A15" s="11" t="s">
        <v>297</v>
      </c>
      <c r="B15"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v>
      </c>
      <c r="C15" s="24" t="s">
        <v>174</v>
      </c>
    </row>
    <row r="16" spans="1:3" ht="18" customHeight="1" x14ac:dyDescent="0.2">
      <c r="A16" s="11" t="s">
        <v>289</v>
      </c>
      <c r="B16"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v>
      </c>
      <c r="C16" s="24" t="s">
        <v>174</v>
      </c>
    </row>
    <row r="17" spans="1:3" ht="18" customHeight="1" x14ac:dyDescent="0.2">
      <c r="A17" s="11" t="s">
        <v>289</v>
      </c>
      <c r="B17"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v>
      </c>
      <c r="C17" s="24" t="s">
        <v>174</v>
      </c>
    </row>
    <row r="18" spans="1:3" ht="18" customHeight="1" x14ac:dyDescent="0.2">
      <c r="A18" s="11" t="s">
        <v>289</v>
      </c>
      <c r="B18"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v>
      </c>
      <c r="C18" s="24" t="s">
        <v>174</v>
      </c>
    </row>
    <row r="19" spans="1:3" ht="18" customHeight="1" x14ac:dyDescent="0.2">
      <c r="A19" s="11" t="s">
        <v>298</v>
      </c>
      <c r="B19"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v>
      </c>
      <c r="C19" s="24" t="s">
        <v>174</v>
      </c>
    </row>
    <row r="20" spans="1:3" ht="18" customHeight="1" x14ac:dyDescent="0.2">
      <c r="A20" s="11" t="s">
        <v>289</v>
      </c>
      <c r="B20"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v>
      </c>
      <c r="C20" s="24" t="s">
        <v>174</v>
      </c>
    </row>
    <row r="21" spans="1:3" ht="18" customHeight="1" x14ac:dyDescent="0.2">
      <c r="A21" s="11" t="s">
        <v>291</v>
      </c>
      <c r="B21"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v>
      </c>
      <c r="C21" s="24" t="s">
        <v>174</v>
      </c>
    </row>
    <row r="22" spans="1:3" ht="18" customHeight="1" x14ac:dyDescent="0.2">
      <c r="A22" s="11" t="s">
        <v>299</v>
      </c>
      <c r="B22"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v>
      </c>
      <c r="C22" s="24" t="s">
        <v>174</v>
      </c>
    </row>
    <row r="23" spans="1:3" ht="18" customHeight="1" x14ac:dyDescent="0.2">
      <c r="A23" s="11" t="s">
        <v>300</v>
      </c>
      <c r="B23"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v>
      </c>
      <c r="C23" s="24" t="s">
        <v>174</v>
      </c>
    </row>
    <row r="24" spans="1:3" ht="18" customHeight="1" x14ac:dyDescent="0.2">
      <c r="A24" s="11" t="s">
        <v>303</v>
      </c>
      <c r="B24"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v>
      </c>
      <c r="C24" s="24" t="s">
        <v>174</v>
      </c>
    </row>
    <row r="25" spans="1:3" ht="18" customHeight="1" x14ac:dyDescent="0.2">
      <c r="A25" s="11" t="s">
        <v>289</v>
      </c>
      <c r="B25"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v>
      </c>
      <c r="C25" s="24" t="s">
        <v>174</v>
      </c>
    </row>
    <row r="26" spans="1:3" ht="18" customHeight="1" x14ac:dyDescent="0.2">
      <c r="A26" s="11" t="s">
        <v>289</v>
      </c>
      <c r="B26"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v>
      </c>
      <c r="C26" s="24" t="s">
        <v>174</v>
      </c>
    </row>
    <row r="27" spans="1:3" ht="18" customHeight="1" x14ac:dyDescent="0.2">
      <c r="A27" s="11" t="s">
        <v>289</v>
      </c>
      <c r="B27"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v>
      </c>
      <c r="C27" s="24" t="s">
        <v>174</v>
      </c>
    </row>
    <row r="28" spans="1:3" ht="18" customHeight="1" x14ac:dyDescent="0.2">
      <c r="A28" s="11" t="s">
        <v>289</v>
      </c>
      <c r="B28"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v>
      </c>
      <c r="C28" s="24" t="s">
        <v>174</v>
      </c>
    </row>
    <row r="29" spans="1:3" ht="18" customHeight="1" x14ac:dyDescent="0.2">
      <c r="A29" s="11" t="s">
        <v>289</v>
      </c>
      <c r="B29"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v>
      </c>
      <c r="C29" s="24" t="s">
        <v>174</v>
      </c>
    </row>
    <row r="30" spans="1:3" ht="18" customHeight="1" x14ac:dyDescent="0.2">
      <c r="A30" s="11" t="s">
        <v>289</v>
      </c>
      <c r="B30"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v>
      </c>
      <c r="C30" s="24" t="s">
        <v>174</v>
      </c>
    </row>
    <row r="31" spans="1:3" ht="18" customHeight="1" x14ac:dyDescent="0.2">
      <c r="A31" s="11" t="s">
        <v>289</v>
      </c>
      <c r="B31"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v>
      </c>
      <c r="C31" s="24" t="s">
        <v>174</v>
      </c>
    </row>
    <row r="32" spans="1:3" ht="18" customHeight="1" x14ac:dyDescent="0.2">
      <c r="A32" s="11" t="s">
        <v>289</v>
      </c>
      <c r="B32"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v>
      </c>
      <c r="C32" s="24" t="s">
        <v>174</v>
      </c>
    </row>
    <row r="33" spans="1:3" ht="18" customHeight="1" x14ac:dyDescent="0.2">
      <c r="A33" s="11" t="s">
        <v>289</v>
      </c>
      <c r="B33"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v>
      </c>
      <c r="C33" s="24" t="s">
        <v>174</v>
      </c>
    </row>
    <row r="34" spans="1:3" ht="18" customHeight="1" x14ac:dyDescent="0.2">
      <c r="A34" s="11" t="s">
        <v>289</v>
      </c>
      <c r="B34"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v>
      </c>
      <c r="C34" s="24" t="s">
        <v>174</v>
      </c>
    </row>
    <row r="35" spans="1:3" ht="18" customHeight="1" x14ac:dyDescent="0.2">
      <c r="A35" s="11" t="s">
        <v>289</v>
      </c>
      <c r="B35"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v>
      </c>
      <c r="C35" s="24" t="s">
        <v>174</v>
      </c>
    </row>
    <row r="36" spans="1:3" ht="18" customHeight="1" x14ac:dyDescent="0.2">
      <c r="A36" s="11" t="s">
        <v>289</v>
      </c>
      <c r="B36"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v>
      </c>
      <c r="C36" s="24" t="s">
        <v>174</v>
      </c>
    </row>
    <row r="37" spans="1:3" ht="18" customHeight="1" x14ac:dyDescent="0.2">
      <c r="A37" s="11" t="s">
        <v>289</v>
      </c>
      <c r="B37"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v>
      </c>
      <c r="C37" s="24" t="s">
        <v>174</v>
      </c>
    </row>
    <row r="38" spans="1:3" ht="18" customHeight="1" x14ac:dyDescent="0.2">
      <c r="A38" s="11" t="s">
        <v>289</v>
      </c>
      <c r="B38"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v>
      </c>
      <c r="C38" s="24" t="s">
        <v>174</v>
      </c>
    </row>
    <row r="39" spans="1:3" ht="18" customHeight="1" x14ac:dyDescent="0.2">
      <c r="A39" s="11" t="s">
        <v>289</v>
      </c>
      <c r="B39"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v>
      </c>
      <c r="C39" s="24" t="s">
        <v>174</v>
      </c>
    </row>
    <row r="40" spans="1:3" ht="18" customHeight="1" x14ac:dyDescent="0.2">
      <c r="A40" s="11" t="s">
        <v>289</v>
      </c>
      <c r="B40"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v>
      </c>
      <c r="C40" s="24" t="s">
        <v>174</v>
      </c>
    </row>
    <row r="41" spans="1:3" ht="18" customHeight="1" x14ac:dyDescent="0.2">
      <c r="A41" s="11" t="s">
        <v>289</v>
      </c>
      <c r="B41"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v>
      </c>
      <c r="C41" s="24" t="s">
        <v>174</v>
      </c>
    </row>
    <row r="42" spans="1:3" ht="18" customHeight="1" x14ac:dyDescent="0.2">
      <c r="A42" s="11" t="s">
        <v>289</v>
      </c>
      <c r="B42"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v>
      </c>
      <c r="C42" s="24" t="s">
        <v>174</v>
      </c>
    </row>
    <row r="43" spans="1:3" ht="18" customHeight="1" x14ac:dyDescent="0.2">
      <c r="A43" s="11" t="s">
        <v>289</v>
      </c>
      <c r="B43"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v>
      </c>
      <c r="C43" s="24" t="s">
        <v>174</v>
      </c>
    </row>
    <row r="44" spans="1:3" ht="18" customHeight="1" x14ac:dyDescent="0.2">
      <c r="A44" s="11" t="s">
        <v>289</v>
      </c>
      <c r="B44"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v>
      </c>
      <c r="C44" s="24" t="s">
        <v>174</v>
      </c>
    </row>
    <row r="45" spans="1:3" ht="18" customHeight="1" x14ac:dyDescent="0.2">
      <c r="A45" s="11" t="s">
        <v>289</v>
      </c>
      <c r="B45"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v>
      </c>
      <c r="C45" s="24" t="s">
        <v>174</v>
      </c>
    </row>
    <row r="46" spans="1:3" ht="18" customHeight="1" x14ac:dyDescent="0.2">
      <c r="A46" s="11" t="s">
        <v>289</v>
      </c>
      <c r="B46"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v>
      </c>
      <c r="C46" s="24" t="s">
        <v>174</v>
      </c>
    </row>
    <row r="47" spans="1:3" ht="18" customHeight="1" x14ac:dyDescent="0.2">
      <c r="A47" s="11" t="s">
        <v>289</v>
      </c>
      <c r="B47"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v>
      </c>
      <c r="C47" s="24" t="s">
        <v>174</v>
      </c>
    </row>
    <row r="48" spans="1:3" ht="18" customHeight="1" x14ac:dyDescent="0.2">
      <c r="A48" s="11" t="s">
        <v>289</v>
      </c>
      <c r="B48"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v>
      </c>
      <c r="C48" s="24" t="s">
        <v>174</v>
      </c>
    </row>
    <row r="49" spans="1:3" ht="18" customHeight="1" x14ac:dyDescent="0.2">
      <c r="A49" s="11" t="s">
        <v>289</v>
      </c>
      <c r="B49"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v>
      </c>
      <c r="C49" s="24" t="s">
        <v>174</v>
      </c>
    </row>
    <row r="50" spans="1:3" ht="18" customHeight="1" x14ac:dyDescent="0.2">
      <c r="A50" s="11" t="s">
        <v>289</v>
      </c>
      <c r="B50"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v>
      </c>
      <c r="C50" s="24" t="s">
        <v>174</v>
      </c>
    </row>
    <row r="51" spans="1:3" ht="18" customHeight="1" x14ac:dyDescent="0.2">
      <c r="A51" s="11" t="s">
        <v>289</v>
      </c>
      <c r="B51"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v>
      </c>
      <c r="C51" s="24" t="s">
        <v>174</v>
      </c>
    </row>
    <row r="52" spans="1:3" ht="18" customHeight="1" x14ac:dyDescent="0.2">
      <c r="A52" s="11" t="s">
        <v>289</v>
      </c>
      <c r="B52"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v>
      </c>
      <c r="C52" s="24" t="s">
        <v>174</v>
      </c>
    </row>
    <row r="53" spans="1:3" ht="18" customHeight="1" x14ac:dyDescent="0.2">
      <c r="A53" s="11" t="s">
        <v>289</v>
      </c>
      <c r="B53"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v>
      </c>
      <c r="C53" s="24" t="s">
        <v>174</v>
      </c>
    </row>
    <row r="54" spans="1:3" ht="18" customHeight="1" x14ac:dyDescent="0.2">
      <c r="A54" s="11" t="s">
        <v>289</v>
      </c>
      <c r="B54"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v>
      </c>
      <c r="C54" s="24" t="s">
        <v>174</v>
      </c>
    </row>
    <row r="55" spans="1:3" ht="18" customHeight="1" x14ac:dyDescent="0.2">
      <c r="A55" s="11" t="s">
        <v>289</v>
      </c>
      <c r="B55"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v>
      </c>
      <c r="C55" s="24" t="s">
        <v>174</v>
      </c>
    </row>
    <row r="56" spans="1:3" ht="18" customHeight="1" x14ac:dyDescent="0.2">
      <c r="A56" s="11" t="s">
        <v>289</v>
      </c>
      <c r="B56"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v>
      </c>
      <c r="C56" s="24" t="s">
        <v>174</v>
      </c>
    </row>
    <row r="57" spans="1:3" ht="18" customHeight="1" x14ac:dyDescent="0.2">
      <c r="A57" s="11" t="s">
        <v>289</v>
      </c>
      <c r="B57"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v>
      </c>
      <c r="C57" s="24" t="s">
        <v>174</v>
      </c>
    </row>
    <row r="58" spans="1:3" ht="18" customHeight="1" x14ac:dyDescent="0.2">
      <c r="A58" s="11" t="s">
        <v>289</v>
      </c>
      <c r="B58"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v>
      </c>
      <c r="C58" s="24" t="s">
        <v>174</v>
      </c>
    </row>
    <row r="59" spans="1:3" ht="18" customHeight="1" x14ac:dyDescent="0.2">
      <c r="A59" s="11" t="s">
        <v>289</v>
      </c>
      <c r="B59"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v>
      </c>
      <c r="C59" s="24" t="s">
        <v>174</v>
      </c>
    </row>
    <row r="60" spans="1:3" ht="18" customHeight="1" x14ac:dyDescent="0.2">
      <c r="A60" s="11" t="s">
        <v>289</v>
      </c>
      <c r="B60"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v>
      </c>
      <c r="C60" s="24" t="s">
        <v>174</v>
      </c>
    </row>
    <row r="61" spans="1:3" ht="18" customHeight="1" x14ac:dyDescent="0.2">
      <c r="A61" s="11" t="s">
        <v>289</v>
      </c>
      <c r="B61"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v>
      </c>
      <c r="C61" s="24" t="s">
        <v>174</v>
      </c>
    </row>
    <row r="62" spans="1:3" ht="18" customHeight="1" x14ac:dyDescent="0.2">
      <c r="A62" s="11" t="s">
        <v>289</v>
      </c>
      <c r="B62"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v>
      </c>
      <c r="C62" s="24" t="s">
        <v>174</v>
      </c>
    </row>
    <row r="63" spans="1:3" ht="18" customHeight="1" x14ac:dyDescent="0.2">
      <c r="A63" s="11" t="s">
        <v>289</v>
      </c>
      <c r="B63"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v>
      </c>
      <c r="C63" s="24" t="s">
        <v>174</v>
      </c>
    </row>
    <row r="64" spans="1:3" ht="18" customHeight="1" x14ac:dyDescent="0.2">
      <c r="A64" s="11" t="s">
        <v>289</v>
      </c>
      <c r="B64"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v>
      </c>
      <c r="C64" s="24" t="s">
        <v>174</v>
      </c>
    </row>
    <row r="65" spans="1:3" ht="18" customHeight="1" x14ac:dyDescent="0.2">
      <c r="A65" s="11" t="s">
        <v>289</v>
      </c>
      <c r="B65"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v>
      </c>
      <c r="C65" s="24" t="s">
        <v>174</v>
      </c>
    </row>
    <row r="66" spans="1:3" ht="18" customHeight="1" x14ac:dyDescent="0.2">
      <c r="A66" s="11" t="s">
        <v>289</v>
      </c>
      <c r="B66" s="6" t="str">
        <f t="shared" si="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v>
      </c>
      <c r="C66" s="24" t="s">
        <v>174</v>
      </c>
    </row>
    <row r="67" spans="1:3" ht="18" customHeight="1" x14ac:dyDescent="0.2">
      <c r="A67" s="11" t="s">
        <v>289</v>
      </c>
      <c r="B67" s="6" t="str">
        <f t="shared" ref="B67:B130" si="1">IF(ISBLANK(A67)=TRUE,B66,B66&amp;","&amp;A67)</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v>
      </c>
      <c r="C67" s="24" t="s">
        <v>174</v>
      </c>
    </row>
    <row r="68" spans="1:3" ht="18" customHeight="1" x14ac:dyDescent="0.2">
      <c r="A68" s="11" t="s">
        <v>289</v>
      </c>
      <c r="B68"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v>
      </c>
      <c r="C68" s="24" t="s">
        <v>174</v>
      </c>
    </row>
    <row r="69" spans="1:3" ht="18" customHeight="1" x14ac:dyDescent="0.2">
      <c r="A69" s="11" t="s">
        <v>289</v>
      </c>
      <c r="B69"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v>
      </c>
      <c r="C69" s="24" t="s">
        <v>174</v>
      </c>
    </row>
    <row r="70" spans="1:3" ht="18" customHeight="1" x14ac:dyDescent="0.2">
      <c r="A70" s="11" t="s">
        <v>289</v>
      </c>
      <c r="B70"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v>
      </c>
      <c r="C70" s="24" t="s">
        <v>174</v>
      </c>
    </row>
    <row r="71" spans="1:3" ht="18" customHeight="1" x14ac:dyDescent="0.2">
      <c r="A71" s="11" t="s">
        <v>289</v>
      </c>
      <c r="B71"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v>
      </c>
      <c r="C71" s="24" t="s">
        <v>174</v>
      </c>
    </row>
    <row r="72" spans="1:3" ht="18" customHeight="1" x14ac:dyDescent="0.2">
      <c r="A72" s="11" t="s">
        <v>289</v>
      </c>
      <c r="B72"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v>
      </c>
      <c r="C72" s="24" t="s">
        <v>174</v>
      </c>
    </row>
    <row r="73" spans="1:3" ht="18" customHeight="1" x14ac:dyDescent="0.2">
      <c r="A73" s="11" t="s">
        <v>289</v>
      </c>
      <c r="B73"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v>
      </c>
      <c r="C73" s="24" t="s">
        <v>174</v>
      </c>
    </row>
    <row r="74" spans="1:3" ht="18" customHeight="1" x14ac:dyDescent="0.2">
      <c r="A74" s="11" t="s">
        <v>289</v>
      </c>
      <c r="B74"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v>
      </c>
      <c r="C74" s="24" t="s">
        <v>174</v>
      </c>
    </row>
    <row r="75" spans="1:3" ht="18" customHeight="1" x14ac:dyDescent="0.2">
      <c r="A75" s="11" t="s">
        <v>289</v>
      </c>
      <c r="B75"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v>
      </c>
      <c r="C75" s="24" t="s">
        <v>174</v>
      </c>
    </row>
    <row r="76" spans="1:3" ht="18" customHeight="1" x14ac:dyDescent="0.2">
      <c r="A76" s="11" t="s">
        <v>289</v>
      </c>
      <c r="B76"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v>
      </c>
      <c r="C76" s="24" t="s">
        <v>174</v>
      </c>
    </row>
    <row r="77" spans="1:3" ht="18" customHeight="1" x14ac:dyDescent="0.2">
      <c r="A77" s="11" t="s">
        <v>289</v>
      </c>
      <c r="B77"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v>
      </c>
      <c r="C77" s="24" t="s">
        <v>174</v>
      </c>
    </row>
    <row r="78" spans="1:3" ht="18" customHeight="1" x14ac:dyDescent="0.2">
      <c r="A78" s="11" t="s">
        <v>289</v>
      </c>
      <c r="B78"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v>
      </c>
      <c r="C78" s="24" t="s">
        <v>174</v>
      </c>
    </row>
    <row r="79" spans="1:3" ht="18" customHeight="1" x14ac:dyDescent="0.2">
      <c r="A79" s="11" t="s">
        <v>289</v>
      </c>
      <c r="B79"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v>
      </c>
      <c r="C79" s="24" t="s">
        <v>174</v>
      </c>
    </row>
    <row r="80" spans="1:3" ht="18" customHeight="1" x14ac:dyDescent="0.2">
      <c r="A80" s="11" t="s">
        <v>289</v>
      </c>
      <c r="B80"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v>
      </c>
      <c r="C80" s="24" t="s">
        <v>174</v>
      </c>
    </row>
    <row r="81" spans="1:3" ht="18" customHeight="1" x14ac:dyDescent="0.2">
      <c r="A81" s="11" t="s">
        <v>289</v>
      </c>
      <c r="B81"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v>
      </c>
      <c r="C81" s="24" t="s">
        <v>174</v>
      </c>
    </row>
    <row r="82" spans="1:3" ht="18" customHeight="1" x14ac:dyDescent="0.2">
      <c r="A82" s="11" t="s">
        <v>289</v>
      </c>
      <c r="B82"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v>
      </c>
      <c r="C82" s="24" t="s">
        <v>174</v>
      </c>
    </row>
    <row r="83" spans="1:3" ht="18" customHeight="1" x14ac:dyDescent="0.2">
      <c r="A83" s="11" t="s">
        <v>289</v>
      </c>
      <c r="B83"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v>
      </c>
      <c r="C83" s="24" t="s">
        <v>174</v>
      </c>
    </row>
    <row r="84" spans="1:3" ht="18" customHeight="1" x14ac:dyDescent="0.2">
      <c r="A84" s="11" t="s">
        <v>289</v>
      </c>
      <c r="B84"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v>
      </c>
      <c r="C84" s="24" t="s">
        <v>174</v>
      </c>
    </row>
    <row r="85" spans="1:3" ht="18" customHeight="1" x14ac:dyDescent="0.2">
      <c r="A85" s="11" t="s">
        <v>289</v>
      </c>
      <c r="B85"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v>
      </c>
      <c r="C85" s="24" t="s">
        <v>174</v>
      </c>
    </row>
    <row r="86" spans="1:3" ht="18" customHeight="1" x14ac:dyDescent="0.2">
      <c r="A86" s="11" t="s">
        <v>289</v>
      </c>
      <c r="B86"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v>
      </c>
      <c r="C86" s="24" t="s">
        <v>174</v>
      </c>
    </row>
    <row r="87" spans="1:3" ht="18" customHeight="1" x14ac:dyDescent="0.2">
      <c r="A87" s="11" t="s">
        <v>289</v>
      </c>
      <c r="B87"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v>
      </c>
      <c r="C87" s="24" t="s">
        <v>174</v>
      </c>
    </row>
    <row r="88" spans="1:3" ht="18" customHeight="1" x14ac:dyDescent="0.2">
      <c r="A88" s="11" t="s">
        <v>289</v>
      </c>
      <c r="B88"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v>
      </c>
      <c r="C88" s="24" t="s">
        <v>174</v>
      </c>
    </row>
    <row r="89" spans="1:3" ht="18" customHeight="1" x14ac:dyDescent="0.2">
      <c r="A89" s="11" t="s">
        <v>289</v>
      </c>
      <c r="B89"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v>
      </c>
      <c r="C89" s="24" t="s">
        <v>174</v>
      </c>
    </row>
    <row r="90" spans="1:3" ht="18" customHeight="1" x14ac:dyDescent="0.2">
      <c r="A90" s="11" t="s">
        <v>289</v>
      </c>
      <c r="B90"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v>
      </c>
      <c r="C90" s="24" t="s">
        <v>174</v>
      </c>
    </row>
    <row r="91" spans="1:3" ht="18" customHeight="1" x14ac:dyDescent="0.2">
      <c r="A91" s="11" t="s">
        <v>289</v>
      </c>
      <c r="B91"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v>
      </c>
      <c r="C91" s="24" t="s">
        <v>174</v>
      </c>
    </row>
    <row r="92" spans="1:3" ht="18" customHeight="1" x14ac:dyDescent="0.2">
      <c r="A92" s="11" t="s">
        <v>289</v>
      </c>
      <c r="B92"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v>
      </c>
      <c r="C92" s="24" t="s">
        <v>174</v>
      </c>
    </row>
    <row r="93" spans="1:3" ht="18" customHeight="1" x14ac:dyDescent="0.2">
      <c r="A93" s="11" t="s">
        <v>289</v>
      </c>
      <c r="B93"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v>
      </c>
      <c r="C93" s="24" t="s">
        <v>174</v>
      </c>
    </row>
    <row r="94" spans="1:3" ht="18" customHeight="1" x14ac:dyDescent="0.2">
      <c r="A94" s="11" t="s">
        <v>289</v>
      </c>
      <c r="B94"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v>
      </c>
      <c r="C94" s="24" t="s">
        <v>174</v>
      </c>
    </row>
    <row r="95" spans="1:3" ht="18" customHeight="1" x14ac:dyDescent="0.2">
      <c r="A95" s="11" t="s">
        <v>289</v>
      </c>
      <c r="B95"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v>
      </c>
      <c r="C95" s="24" t="s">
        <v>174</v>
      </c>
    </row>
    <row r="96" spans="1:3" ht="18" customHeight="1" x14ac:dyDescent="0.2">
      <c r="A96" s="11" t="s">
        <v>289</v>
      </c>
      <c r="B96"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v>
      </c>
      <c r="C96" s="24" t="s">
        <v>174</v>
      </c>
    </row>
    <row r="97" spans="1:3" ht="18" customHeight="1" x14ac:dyDescent="0.2">
      <c r="A97" s="11" t="s">
        <v>289</v>
      </c>
      <c r="B97"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v>
      </c>
      <c r="C97" s="24" t="s">
        <v>174</v>
      </c>
    </row>
    <row r="98" spans="1:3" ht="18" customHeight="1" x14ac:dyDescent="0.2">
      <c r="A98" s="11" t="s">
        <v>289</v>
      </c>
      <c r="B98"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v>
      </c>
      <c r="C98" s="24" t="s">
        <v>174</v>
      </c>
    </row>
    <row r="99" spans="1:3" ht="18" customHeight="1" x14ac:dyDescent="0.2">
      <c r="A99" s="11" t="s">
        <v>289</v>
      </c>
      <c r="B99"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v>
      </c>
      <c r="C99" s="24" t="s">
        <v>174</v>
      </c>
    </row>
    <row r="100" spans="1:3" ht="18" customHeight="1" x14ac:dyDescent="0.2">
      <c r="A100" s="11" t="s">
        <v>289</v>
      </c>
      <c r="B100"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v>
      </c>
      <c r="C100" s="24" t="s">
        <v>174</v>
      </c>
    </row>
    <row r="101" spans="1:3" ht="18" customHeight="1" x14ac:dyDescent="0.2">
      <c r="A101" s="11" t="s">
        <v>289</v>
      </c>
      <c r="B101"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v>
      </c>
      <c r="C101" s="24" t="s">
        <v>174</v>
      </c>
    </row>
    <row r="102" spans="1:3" ht="18" customHeight="1" x14ac:dyDescent="0.2">
      <c r="A102" s="11" t="s">
        <v>289</v>
      </c>
      <c r="B102"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v>
      </c>
      <c r="C102" s="24" t="s">
        <v>174</v>
      </c>
    </row>
    <row r="103" spans="1:3" ht="18" customHeight="1" x14ac:dyDescent="0.2">
      <c r="A103" s="11" t="s">
        <v>289</v>
      </c>
      <c r="B103"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v>
      </c>
      <c r="C103" s="24" t="s">
        <v>174</v>
      </c>
    </row>
    <row r="104" spans="1:3" ht="18" customHeight="1" x14ac:dyDescent="0.2">
      <c r="A104" s="11" t="s">
        <v>289</v>
      </c>
      <c r="B104"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v>
      </c>
      <c r="C104" s="24" t="s">
        <v>174</v>
      </c>
    </row>
    <row r="105" spans="1:3" ht="18" customHeight="1" x14ac:dyDescent="0.2">
      <c r="A105" s="11" t="s">
        <v>289</v>
      </c>
      <c r="B105"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v>
      </c>
      <c r="C105" s="24" t="s">
        <v>174</v>
      </c>
    </row>
    <row r="106" spans="1:3" ht="18" customHeight="1" x14ac:dyDescent="0.2">
      <c r="A106" s="11" t="s">
        <v>289</v>
      </c>
      <c r="B106"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v>
      </c>
      <c r="C106" s="24" t="s">
        <v>174</v>
      </c>
    </row>
    <row r="107" spans="1:3" ht="18" customHeight="1" x14ac:dyDescent="0.2">
      <c r="A107" s="11" t="s">
        <v>289</v>
      </c>
      <c r="B107"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v>
      </c>
      <c r="C107" s="24" t="s">
        <v>174</v>
      </c>
    </row>
    <row r="108" spans="1:3" ht="18" customHeight="1" x14ac:dyDescent="0.2">
      <c r="A108" s="11" t="s">
        <v>289</v>
      </c>
      <c r="B108"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v>
      </c>
      <c r="C108" s="24" t="s">
        <v>174</v>
      </c>
    </row>
    <row r="109" spans="1:3" ht="18" customHeight="1" x14ac:dyDescent="0.2">
      <c r="A109" s="11" t="s">
        <v>289</v>
      </c>
      <c r="B109"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v>
      </c>
      <c r="C109" s="24" t="s">
        <v>174</v>
      </c>
    </row>
    <row r="110" spans="1:3" ht="18" customHeight="1" x14ac:dyDescent="0.2">
      <c r="A110" s="11" t="s">
        <v>289</v>
      </c>
      <c r="B110"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v>
      </c>
      <c r="C110" s="24" t="s">
        <v>174</v>
      </c>
    </row>
    <row r="111" spans="1:3" ht="18" customHeight="1" x14ac:dyDescent="0.2">
      <c r="A111" s="11" t="s">
        <v>289</v>
      </c>
      <c r="B111"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v>
      </c>
      <c r="C111" s="24" t="s">
        <v>174</v>
      </c>
    </row>
    <row r="112" spans="1:3" ht="18" customHeight="1" x14ac:dyDescent="0.2">
      <c r="A112" s="11" t="s">
        <v>289</v>
      </c>
      <c r="B112"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v>
      </c>
      <c r="C112" s="24" t="s">
        <v>174</v>
      </c>
    </row>
    <row r="113" spans="1:3" ht="18" customHeight="1" x14ac:dyDescent="0.2">
      <c r="A113" s="11" t="s">
        <v>289</v>
      </c>
      <c r="B113"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v>
      </c>
      <c r="C113" s="24" t="s">
        <v>174</v>
      </c>
    </row>
    <row r="114" spans="1:3" ht="18" customHeight="1" x14ac:dyDescent="0.2">
      <c r="A114" s="11" t="s">
        <v>289</v>
      </c>
      <c r="B114"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v>
      </c>
      <c r="C114" s="24" t="s">
        <v>174</v>
      </c>
    </row>
    <row r="115" spans="1:3" ht="18" customHeight="1" x14ac:dyDescent="0.2">
      <c r="A115" s="11" t="s">
        <v>289</v>
      </c>
      <c r="B115"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v>
      </c>
      <c r="C115" s="24" t="s">
        <v>174</v>
      </c>
    </row>
    <row r="116" spans="1:3" ht="18" customHeight="1" x14ac:dyDescent="0.2">
      <c r="A116" s="11" t="s">
        <v>289</v>
      </c>
      <c r="B116"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v>
      </c>
      <c r="C116" s="24" t="s">
        <v>174</v>
      </c>
    </row>
    <row r="117" spans="1:3" ht="18" customHeight="1" x14ac:dyDescent="0.2">
      <c r="A117" s="11" t="s">
        <v>289</v>
      </c>
      <c r="B117"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v>
      </c>
      <c r="C117" s="24" t="s">
        <v>174</v>
      </c>
    </row>
    <row r="118" spans="1:3" ht="18" customHeight="1" x14ac:dyDescent="0.2">
      <c r="A118" s="11" t="s">
        <v>289</v>
      </c>
      <c r="B118"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v>
      </c>
      <c r="C118" s="24" t="s">
        <v>174</v>
      </c>
    </row>
    <row r="119" spans="1:3" ht="18" customHeight="1" x14ac:dyDescent="0.2">
      <c r="A119" s="11" t="s">
        <v>289</v>
      </c>
      <c r="B119"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v>
      </c>
      <c r="C119" s="24" t="s">
        <v>174</v>
      </c>
    </row>
    <row r="120" spans="1:3" ht="18" customHeight="1" x14ac:dyDescent="0.2">
      <c r="A120" s="11" t="s">
        <v>289</v>
      </c>
      <c r="B120"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v>
      </c>
      <c r="C120" s="24" t="s">
        <v>174</v>
      </c>
    </row>
    <row r="121" spans="1:3" ht="18" customHeight="1" x14ac:dyDescent="0.2">
      <c r="A121" s="11" t="s">
        <v>289</v>
      </c>
      <c r="B121"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v>
      </c>
      <c r="C121" s="24" t="s">
        <v>174</v>
      </c>
    </row>
    <row r="122" spans="1:3" ht="18" customHeight="1" x14ac:dyDescent="0.2">
      <c r="A122" s="11" t="s">
        <v>289</v>
      </c>
      <c r="B122"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v>
      </c>
      <c r="C122" s="24" t="s">
        <v>174</v>
      </c>
    </row>
    <row r="123" spans="1:3" ht="18" customHeight="1" x14ac:dyDescent="0.2">
      <c r="A123" s="11" t="s">
        <v>289</v>
      </c>
      <c r="B123"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v>
      </c>
      <c r="C123" s="24" t="s">
        <v>174</v>
      </c>
    </row>
    <row r="124" spans="1:3" ht="18" customHeight="1" x14ac:dyDescent="0.2">
      <c r="A124" s="11" t="s">
        <v>289</v>
      </c>
      <c r="B124"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v>
      </c>
      <c r="C124" s="24" t="s">
        <v>174</v>
      </c>
    </row>
    <row r="125" spans="1:3" ht="18" customHeight="1" x14ac:dyDescent="0.2">
      <c r="A125" s="11" t="s">
        <v>289</v>
      </c>
      <c r="B125"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v>
      </c>
      <c r="C125" s="24" t="s">
        <v>174</v>
      </c>
    </row>
    <row r="126" spans="1:3" ht="18" customHeight="1" x14ac:dyDescent="0.2">
      <c r="A126" s="11" t="s">
        <v>289</v>
      </c>
      <c r="B126"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v>
      </c>
      <c r="C126" s="24" t="s">
        <v>174</v>
      </c>
    </row>
    <row r="127" spans="1:3" ht="18" customHeight="1" x14ac:dyDescent="0.2">
      <c r="A127" s="11" t="s">
        <v>289</v>
      </c>
      <c r="B127"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v>
      </c>
      <c r="C127" s="24" t="s">
        <v>174</v>
      </c>
    </row>
    <row r="128" spans="1:3" ht="18" customHeight="1" x14ac:dyDescent="0.2">
      <c r="A128" s="11" t="s">
        <v>289</v>
      </c>
      <c r="B128"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v>
      </c>
      <c r="C128" s="24" t="s">
        <v>174</v>
      </c>
    </row>
    <row r="129" spans="1:3" ht="18" customHeight="1" x14ac:dyDescent="0.2">
      <c r="A129" s="3" t="s">
        <v>289</v>
      </c>
      <c r="B129"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v>
      </c>
      <c r="C129" s="24" t="s">
        <v>174</v>
      </c>
    </row>
    <row r="130" spans="1:3" ht="18" customHeight="1" x14ac:dyDescent="0.2">
      <c r="A130" s="3" t="s">
        <v>289</v>
      </c>
      <c r="B130" s="6" t="str">
        <f t="shared" si="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v>
      </c>
      <c r="C130" s="24" t="s">
        <v>174</v>
      </c>
    </row>
    <row r="131" spans="1:3" ht="18" customHeight="1" x14ac:dyDescent="0.2">
      <c r="A131" s="3" t="s">
        <v>289</v>
      </c>
      <c r="B131" s="6" t="str">
        <f t="shared" ref="B131:B194" si="2">IF(ISBLANK(A131)=TRUE,B130,B130&amp;","&amp;A131)</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v>
      </c>
      <c r="C131" s="24" t="s">
        <v>174</v>
      </c>
    </row>
    <row r="132" spans="1:3" ht="18" customHeight="1" x14ac:dyDescent="0.2">
      <c r="A132" s="3" t="s">
        <v>289</v>
      </c>
      <c r="B132"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v>
      </c>
      <c r="C132" s="24" t="s">
        <v>174</v>
      </c>
    </row>
    <row r="133" spans="1:3" ht="18" customHeight="1" x14ac:dyDescent="0.2">
      <c r="A133" s="3" t="s">
        <v>289</v>
      </c>
      <c r="B133"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v>
      </c>
      <c r="C133" s="24" t="s">
        <v>174</v>
      </c>
    </row>
    <row r="134" spans="1:3" ht="18" customHeight="1" x14ac:dyDescent="0.2">
      <c r="A134" s="3" t="s">
        <v>289</v>
      </c>
      <c r="B134"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v>
      </c>
      <c r="C134" s="24" t="s">
        <v>174</v>
      </c>
    </row>
    <row r="135" spans="1:3" ht="18" customHeight="1" x14ac:dyDescent="0.2">
      <c r="A135" s="3" t="s">
        <v>289</v>
      </c>
      <c r="B135"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v>
      </c>
      <c r="C135" s="24" t="s">
        <v>174</v>
      </c>
    </row>
    <row r="136" spans="1:3" ht="18" customHeight="1" x14ac:dyDescent="0.2">
      <c r="A136" s="3" t="s">
        <v>289</v>
      </c>
      <c r="B136"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v>
      </c>
      <c r="C136" s="24" t="s">
        <v>174</v>
      </c>
    </row>
    <row r="137" spans="1:3" ht="18" customHeight="1" x14ac:dyDescent="0.2">
      <c r="A137" s="3" t="s">
        <v>289</v>
      </c>
      <c r="B137"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v>
      </c>
      <c r="C137" s="24" t="s">
        <v>174</v>
      </c>
    </row>
    <row r="138" spans="1:3" ht="18" customHeight="1" x14ac:dyDescent="0.2">
      <c r="A138" s="3" t="s">
        <v>289</v>
      </c>
      <c r="B138"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v>
      </c>
      <c r="C138" s="24" t="s">
        <v>174</v>
      </c>
    </row>
    <row r="139" spans="1:3" ht="18" customHeight="1" x14ac:dyDescent="0.2">
      <c r="A139" s="3" t="s">
        <v>289</v>
      </c>
      <c r="B139"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v>
      </c>
      <c r="C139" s="24" t="s">
        <v>174</v>
      </c>
    </row>
    <row r="140" spans="1:3" ht="18" customHeight="1" x14ac:dyDescent="0.2">
      <c r="A140" s="3" t="s">
        <v>289</v>
      </c>
      <c r="B140"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v>
      </c>
      <c r="C140" s="24" t="s">
        <v>174</v>
      </c>
    </row>
    <row r="141" spans="1:3" ht="18" customHeight="1" x14ac:dyDescent="0.2">
      <c r="A141" s="3" t="s">
        <v>289</v>
      </c>
      <c r="B141"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v>
      </c>
      <c r="C141" s="24" t="s">
        <v>174</v>
      </c>
    </row>
    <row r="142" spans="1:3" ht="18" customHeight="1" x14ac:dyDescent="0.2">
      <c r="A142" s="3" t="s">
        <v>289</v>
      </c>
      <c r="B142"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v>
      </c>
      <c r="C142" s="24" t="s">
        <v>174</v>
      </c>
    </row>
    <row r="143" spans="1:3" ht="18" customHeight="1" x14ac:dyDescent="0.2">
      <c r="A143" s="3" t="s">
        <v>289</v>
      </c>
      <c r="B143"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v>
      </c>
      <c r="C143" s="24" t="s">
        <v>174</v>
      </c>
    </row>
    <row r="144" spans="1:3" ht="18" customHeight="1" x14ac:dyDescent="0.2">
      <c r="A144" s="3" t="s">
        <v>289</v>
      </c>
      <c r="B144"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v>
      </c>
      <c r="C144" s="24" t="s">
        <v>174</v>
      </c>
    </row>
    <row r="145" spans="1:3" ht="18" customHeight="1" x14ac:dyDescent="0.2">
      <c r="A145" s="3" t="s">
        <v>289</v>
      </c>
      <c r="B145"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v>
      </c>
      <c r="C145" s="24" t="s">
        <v>174</v>
      </c>
    </row>
    <row r="146" spans="1:3" ht="18" customHeight="1" x14ac:dyDescent="0.2">
      <c r="A146" s="3" t="s">
        <v>289</v>
      </c>
      <c r="B146"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v>
      </c>
      <c r="C146" s="24" t="s">
        <v>174</v>
      </c>
    </row>
    <row r="147" spans="1:3" ht="18" customHeight="1" x14ac:dyDescent="0.2">
      <c r="A147" s="3" t="s">
        <v>289</v>
      </c>
      <c r="B147"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v>
      </c>
      <c r="C147" s="24" t="s">
        <v>174</v>
      </c>
    </row>
    <row r="148" spans="1:3" ht="18" customHeight="1" x14ac:dyDescent="0.2">
      <c r="A148" s="3" t="s">
        <v>289</v>
      </c>
      <c r="B148"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v>
      </c>
      <c r="C148" s="24" t="s">
        <v>174</v>
      </c>
    </row>
    <row r="149" spans="1:3" ht="18" customHeight="1" x14ac:dyDescent="0.2">
      <c r="A149" s="3" t="s">
        <v>289</v>
      </c>
      <c r="B149"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v>
      </c>
      <c r="C149" s="24" t="s">
        <v>174</v>
      </c>
    </row>
    <row r="150" spans="1:3" ht="18" customHeight="1" x14ac:dyDescent="0.2">
      <c r="A150" s="3" t="s">
        <v>289</v>
      </c>
      <c r="B150"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v>
      </c>
      <c r="C150" s="24" t="s">
        <v>174</v>
      </c>
    </row>
    <row r="151" spans="1:3" ht="18" customHeight="1" x14ac:dyDescent="0.2">
      <c r="A151" s="3" t="s">
        <v>289</v>
      </c>
      <c r="B151"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v>
      </c>
      <c r="C151" s="24" t="s">
        <v>174</v>
      </c>
    </row>
    <row r="152" spans="1:3" ht="18" customHeight="1" x14ac:dyDescent="0.2">
      <c r="A152" s="3" t="s">
        <v>289</v>
      </c>
      <c r="B152"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v>
      </c>
      <c r="C152" s="24" t="s">
        <v>174</v>
      </c>
    </row>
    <row r="153" spans="1:3" ht="18" customHeight="1" x14ac:dyDescent="0.2">
      <c r="A153" s="3" t="s">
        <v>289</v>
      </c>
      <c r="B153"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v>
      </c>
      <c r="C153" s="24" t="s">
        <v>174</v>
      </c>
    </row>
    <row r="154" spans="1:3" ht="18" customHeight="1" x14ac:dyDescent="0.2">
      <c r="A154" s="3" t="s">
        <v>289</v>
      </c>
      <c r="B154"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v>
      </c>
      <c r="C154" s="24" t="s">
        <v>174</v>
      </c>
    </row>
    <row r="155" spans="1:3" ht="18" customHeight="1" x14ac:dyDescent="0.2">
      <c r="A155" s="3" t="s">
        <v>289</v>
      </c>
      <c r="B155"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v>
      </c>
      <c r="C155" s="24" t="s">
        <v>174</v>
      </c>
    </row>
    <row r="156" spans="1:3" ht="18" customHeight="1" x14ac:dyDescent="0.2">
      <c r="A156" s="3" t="s">
        <v>289</v>
      </c>
      <c r="B156"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v>
      </c>
      <c r="C156" s="24" t="s">
        <v>174</v>
      </c>
    </row>
    <row r="157" spans="1:3" ht="18" customHeight="1" x14ac:dyDescent="0.2">
      <c r="A157" s="3" t="s">
        <v>289</v>
      </c>
      <c r="B157"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v>
      </c>
      <c r="C157" s="24" t="s">
        <v>174</v>
      </c>
    </row>
    <row r="158" spans="1:3" ht="18" customHeight="1" x14ac:dyDescent="0.2">
      <c r="A158" s="3" t="s">
        <v>289</v>
      </c>
      <c r="B158"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v>
      </c>
      <c r="C158" s="24" t="s">
        <v>174</v>
      </c>
    </row>
    <row r="159" spans="1:3" ht="18" customHeight="1" x14ac:dyDescent="0.2">
      <c r="A159" s="3" t="s">
        <v>289</v>
      </c>
      <c r="B159"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v>
      </c>
      <c r="C159" s="24" t="s">
        <v>174</v>
      </c>
    </row>
    <row r="160" spans="1:3" ht="18" customHeight="1" x14ac:dyDescent="0.2">
      <c r="A160" s="3" t="s">
        <v>289</v>
      </c>
      <c r="B160"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v>
      </c>
      <c r="C160" s="24" t="s">
        <v>174</v>
      </c>
    </row>
    <row r="161" spans="1:3" ht="18" customHeight="1" x14ac:dyDescent="0.2">
      <c r="A161" s="3" t="s">
        <v>289</v>
      </c>
      <c r="B161"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v>
      </c>
      <c r="C161" s="24" t="s">
        <v>174</v>
      </c>
    </row>
    <row r="162" spans="1:3" ht="18" customHeight="1" x14ac:dyDescent="0.2">
      <c r="A162" s="3" t="s">
        <v>289</v>
      </c>
      <c r="B162"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v>
      </c>
      <c r="C162" s="24" t="s">
        <v>174</v>
      </c>
    </row>
    <row r="163" spans="1:3" ht="18" customHeight="1" x14ac:dyDescent="0.2">
      <c r="A163" s="3" t="s">
        <v>289</v>
      </c>
      <c r="B163"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v>
      </c>
      <c r="C163" s="24" t="s">
        <v>174</v>
      </c>
    </row>
    <row r="164" spans="1:3" ht="18" customHeight="1" x14ac:dyDescent="0.2">
      <c r="A164" s="3" t="s">
        <v>289</v>
      </c>
      <c r="B164"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v>
      </c>
      <c r="C164" s="24" t="s">
        <v>174</v>
      </c>
    </row>
    <row r="165" spans="1:3" ht="18" customHeight="1" x14ac:dyDescent="0.2">
      <c r="A165" s="3" t="s">
        <v>289</v>
      </c>
      <c r="B165"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v>
      </c>
      <c r="C165" s="24" t="s">
        <v>174</v>
      </c>
    </row>
    <row r="166" spans="1:3" ht="18" customHeight="1" x14ac:dyDescent="0.2">
      <c r="A166" s="3" t="s">
        <v>289</v>
      </c>
      <c r="B166"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v>
      </c>
      <c r="C166" s="24" t="s">
        <v>174</v>
      </c>
    </row>
    <row r="167" spans="1:3" ht="18" customHeight="1" x14ac:dyDescent="0.2">
      <c r="A167" s="3" t="s">
        <v>289</v>
      </c>
      <c r="B167"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v>
      </c>
      <c r="C167" s="24" t="s">
        <v>174</v>
      </c>
    </row>
    <row r="168" spans="1:3" ht="18" customHeight="1" x14ac:dyDescent="0.2">
      <c r="A168" s="3" t="s">
        <v>289</v>
      </c>
      <c r="B168"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v>
      </c>
      <c r="C168" s="24" t="s">
        <v>174</v>
      </c>
    </row>
    <row r="169" spans="1:3" ht="18" customHeight="1" x14ac:dyDescent="0.2">
      <c r="A169" s="3" t="s">
        <v>289</v>
      </c>
      <c r="B169"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v>
      </c>
      <c r="C169" s="24" t="s">
        <v>174</v>
      </c>
    </row>
    <row r="170" spans="1:3" ht="18" customHeight="1" x14ac:dyDescent="0.2">
      <c r="A170" s="3" t="s">
        <v>289</v>
      </c>
      <c r="B170"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v>
      </c>
      <c r="C170" s="24" t="s">
        <v>174</v>
      </c>
    </row>
    <row r="171" spans="1:3" ht="18" customHeight="1" x14ac:dyDescent="0.2">
      <c r="A171" s="3" t="s">
        <v>289</v>
      </c>
      <c r="B171"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v>
      </c>
      <c r="C171" s="24" t="s">
        <v>174</v>
      </c>
    </row>
    <row r="172" spans="1:3" ht="18" customHeight="1" x14ac:dyDescent="0.2">
      <c r="A172" s="3" t="s">
        <v>289</v>
      </c>
      <c r="B172"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v>
      </c>
      <c r="C172" s="24" t="s">
        <v>174</v>
      </c>
    </row>
    <row r="173" spans="1:3" ht="18" customHeight="1" x14ac:dyDescent="0.2">
      <c r="A173" s="3" t="s">
        <v>289</v>
      </c>
      <c r="B173"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v>
      </c>
      <c r="C173" s="24" t="s">
        <v>174</v>
      </c>
    </row>
    <row r="174" spans="1:3" ht="18" customHeight="1" x14ac:dyDescent="0.2">
      <c r="A174" s="3" t="s">
        <v>289</v>
      </c>
      <c r="B174"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v>
      </c>
      <c r="C174" s="24" t="s">
        <v>174</v>
      </c>
    </row>
    <row r="175" spans="1:3" ht="18" customHeight="1" x14ac:dyDescent="0.2">
      <c r="A175" s="3" t="s">
        <v>289</v>
      </c>
      <c r="B175"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v>
      </c>
      <c r="C175" s="24" t="s">
        <v>174</v>
      </c>
    </row>
    <row r="176" spans="1:3" ht="18" customHeight="1" x14ac:dyDescent="0.2">
      <c r="A176" s="3" t="s">
        <v>289</v>
      </c>
      <c r="B176"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v>
      </c>
      <c r="C176" s="24" t="s">
        <v>174</v>
      </c>
    </row>
    <row r="177" spans="1:3" ht="18" customHeight="1" x14ac:dyDescent="0.2">
      <c r="A177" s="3" t="s">
        <v>289</v>
      </c>
      <c r="B177"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v>
      </c>
      <c r="C177" s="24" t="s">
        <v>174</v>
      </c>
    </row>
    <row r="178" spans="1:3" ht="18" customHeight="1" x14ac:dyDescent="0.2">
      <c r="A178" s="3" t="s">
        <v>289</v>
      </c>
      <c r="B178"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v>
      </c>
      <c r="C178" s="24" t="s">
        <v>174</v>
      </c>
    </row>
    <row r="179" spans="1:3" ht="18" customHeight="1" x14ac:dyDescent="0.2">
      <c r="A179" s="3" t="s">
        <v>289</v>
      </c>
      <c r="B179"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v>
      </c>
      <c r="C179" s="24" t="s">
        <v>174</v>
      </c>
    </row>
    <row r="180" spans="1:3" ht="18" customHeight="1" x14ac:dyDescent="0.2">
      <c r="A180" s="3" t="s">
        <v>289</v>
      </c>
      <c r="B180"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v>
      </c>
      <c r="C180" s="24" t="s">
        <v>174</v>
      </c>
    </row>
    <row r="181" spans="1:3" ht="18" customHeight="1" x14ac:dyDescent="0.2">
      <c r="A181" s="3" t="s">
        <v>289</v>
      </c>
      <c r="B181"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v>
      </c>
      <c r="C181" s="24" t="s">
        <v>174</v>
      </c>
    </row>
    <row r="182" spans="1:3" ht="18" customHeight="1" x14ac:dyDescent="0.2">
      <c r="A182" s="3" t="s">
        <v>289</v>
      </c>
      <c r="B182"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v>
      </c>
      <c r="C182" s="24" t="s">
        <v>174</v>
      </c>
    </row>
    <row r="183" spans="1:3" ht="18" customHeight="1" x14ac:dyDescent="0.2">
      <c r="A183" s="3" t="s">
        <v>289</v>
      </c>
      <c r="B183"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v>
      </c>
      <c r="C183" s="24" t="s">
        <v>174</v>
      </c>
    </row>
    <row r="184" spans="1:3" ht="18" customHeight="1" x14ac:dyDescent="0.2">
      <c r="A184" s="3" t="s">
        <v>289</v>
      </c>
      <c r="B184"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v>
      </c>
      <c r="C184" s="24" t="s">
        <v>174</v>
      </c>
    </row>
    <row r="185" spans="1:3" ht="18" customHeight="1" x14ac:dyDescent="0.2">
      <c r="A185" s="3" t="s">
        <v>289</v>
      </c>
      <c r="B185"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v>
      </c>
      <c r="C185" s="24" t="s">
        <v>174</v>
      </c>
    </row>
    <row r="186" spans="1:3" ht="18" customHeight="1" x14ac:dyDescent="0.2">
      <c r="A186" s="3" t="s">
        <v>289</v>
      </c>
      <c r="B186"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v>
      </c>
      <c r="C186" s="24" t="s">
        <v>174</v>
      </c>
    </row>
    <row r="187" spans="1:3" ht="18" customHeight="1" x14ac:dyDescent="0.2">
      <c r="A187" s="3" t="s">
        <v>289</v>
      </c>
      <c r="B187"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v>
      </c>
      <c r="C187" s="24" t="s">
        <v>174</v>
      </c>
    </row>
    <row r="188" spans="1:3" ht="18" customHeight="1" x14ac:dyDescent="0.2">
      <c r="A188" s="3" t="s">
        <v>289</v>
      </c>
      <c r="B188"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v>
      </c>
      <c r="C188" s="24" t="s">
        <v>174</v>
      </c>
    </row>
    <row r="189" spans="1:3" ht="18" customHeight="1" x14ac:dyDescent="0.2">
      <c r="A189" s="3" t="s">
        <v>289</v>
      </c>
      <c r="B189"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v>
      </c>
      <c r="C189" s="24" t="s">
        <v>174</v>
      </c>
    </row>
    <row r="190" spans="1:3" ht="18" customHeight="1" x14ac:dyDescent="0.2">
      <c r="A190" s="3" t="s">
        <v>289</v>
      </c>
      <c r="B190"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v>
      </c>
      <c r="C190" s="24" t="s">
        <v>174</v>
      </c>
    </row>
    <row r="191" spans="1:3" ht="18" customHeight="1" x14ac:dyDescent="0.2">
      <c r="A191" s="3" t="s">
        <v>289</v>
      </c>
      <c r="B191"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v>
      </c>
      <c r="C191" s="24" t="s">
        <v>174</v>
      </c>
    </row>
    <row r="192" spans="1:3" ht="18" customHeight="1" x14ac:dyDescent="0.2">
      <c r="A192" s="3" t="s">
        <v>289</v>
      </c>
      <c r="B192"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v>
      </c>
      <c r="C192" s="24" t="s">
        <v>174</v>
      </c>
    </row>
    <row r="193" spans="1:3" ht="18" customHeight="1" x14ac:dyDescent="0.2">
      <c r="A193" s="3" t="s">
        <v>289</v>
      </c>
      <c r="B193"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v>
      </c>
      <c r="C193" s="24" t="s">
        <v>174</v>
      </c>
    </row>
    <row r="194" spans="1:3" ht="18" customHeight="1" x14ac:dyDescent="0.2">
      <c r="A194" s="3" t="s">
        <v>289</v>
      </c>
      <c r="B194" s="6" t="str">
        <f t="shared" si="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v>
      </c>
      <c r="C194" s="24" t="s">
        <v>174</v>
      </c>
    </row>
    <row r="195" spans="1:3" ht="18" customHeight="1" x14ac:dyDescent="0.2">
      <c r="A195" s="3" t="s">
        <v>289</v>
      </c>
      <c r="B195" s="6" t="str">
        <f t="shared" ref="B195:B258" si="3">IF(ISBLANK(A195)=TRUE,B194,B194&amp;","&amp;A195)</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v>
      </c>
      <c r="C195" s="24" t="s">
        <v>174</v>
      </c>
    </row>
    <row r="196" spans="1:3" ht="18" customHeight="1" x14ac:dyDescent="0.2">
      <c r="A196" s="3" t="s">
        <v>289</v>
      </c>
      <c r="B196"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v>
      </c>
      <c r="C196" s="24" t="s">
        <v>174</v>
      </c>
    </row>
    <row r="197" spans="1:3" ht="18" customHeight="1" x14ac:dyDescent="0.2">
      <c r="A197" s="3" t="s">
        <v>289</v>
      </c>
      <c r="B197"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v>
      </c>
      <c r="C197" s="24" t="s">
        <v>174</v>
      </c>
    </row>
    <row r="198" spans="1:3" ht="18" customHeight="1" x14ac:dyDescent="0.2">
      <c r="A198" s="3" t="s">
        <v>289</v>
      </c>
      <c r="B198"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v>
      </c>
      <c r="C198" s="24" t="s">
        <v>174</v>
      </c>
    </row>
    <row r="199" spans="1:3" ht="18" customHeight="1" x14ac:dyDescent="0.2">
      <c r="A199" s="3" t="s">
        <v>289</v>
      </c>
      <c r="B199"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v>
      </c>
      <c r="C199" s="24" t="s">
        <v>174</v>
      </c>
    </row>
    <row r="200" spans="1:3" ht="18" customHeight="1" x14ac:dyDescent="0.2">
      <c r="A200" s="3" t="s">
        <v>289</v>
      </c>
      <c r="B200"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v>
      </c>
      <c r="C200" s="24" t="s">
        <v>174</v>
      </c>
    </row>
    <row r="201" spans="1:3" ht="18" customHeight="1" x14ac:dyDescent="0.2">
      <c r="A201" s="3" t="s">
        <v>289</v>
      </c>
      <c r="B201"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v>
      </c>
      <c r="C201" s="24" t="s">
        <v>174</v>
      </c>
    </row>
    <row r="202" spans="1:3" ht="18" customHeight="1" x14ac:dyDescent="0.2">
      <c r="A202" s="3" t="s">
        <v>289</v>
      </c>
      <c r="B202"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v>
      </c>
      <c r="C202" s="24" t="s">
        <v>174</v>
      </c>
    </row>
    <row r="203" spans="1:3" ht="18" customHeight="1" x14ac:dyDescent="0.2">
      <c r="A203" s="3" t="s">
        <v>289</v>
      </c>
      <c r="B203"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v>
      </c>
      <c r="C203" s="24" t="s">
        <v>174</v>
      </c>
    </row>
    <row r="204" spans="1:3" ht="18" customHeight="1" x14ac:dyDescent="0.2">
      <c r="A204" s="3" t="s">
        <v>289</v>
      </c>
      <c r="B204"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v>
      </c>
      <c r="C204" s="24" t="s">
        <v>174</v>
      </c>
    </row>
    <row r="205" spans="1:3" ht="18" customHeight="1" x14ac:dyDescent="0.2">
      <c r="A205" s="3" t="s">
        <v>289</v>
      </c>
      <c r="B205"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v>
      </c>
      <c r="C205" s="24" t="s">
        <v>174</v>
      </c>
    </row>
    <row r="206" spans="1:3" ht="18" customHeight="1" x14ac:dyDescent="0.2">
      <c r="A206" s="3" t="s">
        <v>289</v>
      </c>
      <c r="B206"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v>
      </c>
      <c r="C206" s="24" t="s">
        <v>174</v>
      </c>
    </row>
    <row r="207" spans="1:3" ht="18" customHeight="1" x14ac:dyDescent="0.2">
      <c r="A207" s="3" t="s">
        <v>289</v>
      </c>
      <c r="B207"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v>
      </c>
      <c r="C207" s="24" t="s">
        <v>174</v>
      </c>
    </row>
    <row r="208" spans="1:3" ht="18" customHeight="1" x14ac:dyDescent="0.2">
      <c r="A208" s="3" t="s">
        <v>289</v>
      </c>
      <c r="B208"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v>
      </c>
      <c r="C208" s="24" t="s">
        <v>174</v>
      </c>
    </row>
    <row r="209" spans="1:3" ht="18" customHeight="1" x14ac:dyDescent="0.2">
      <c r="A209" s="3" t="s">
        <v>289</v>
      </c>
      <c r="B209"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v>
      </c>
      <c r="C209" s="24" t="s">
        <v>174</v>
      </c>
    </row>
    <row r="210" spans="1:3" ht="18" customHeight="1" x14ac:dyDescent="0.2">
      <c r="A210" s="3" t="s">
        <v>289</v>
      </c>
      <c r="B210"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v>
      </c>
      <c r="C210" s="24" t="s">
        <v>174</v>
      </c>
    </row>
    <row r="211" spans="1:3" ht="18" customHeight="1" x14ac:dyDescent="0.2">
      <c r="A211" s="3" t="s">
        <v>289</v>
      </c>
      <c r="B211"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v>
      </c>
      <c r="C211" s="24" t="s">
        <v>174</v>
      </c>
    </row>
    <row r="212" spans="1:3" ht="18" customHeight="1" x14ac:dyDescent="0.2">
      <c r="A212" s="3" t="s">
        <v>289</v>
      </c>
      <c r="B212"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v>
      </c>
      <c r="C212" s="24" t="s">
        <v>174</v>
      </c>
    </row>
    <row r="213" spans="1:3" ht="18" customHeight="1" x14ac:dyDescent="0.2">
      <c r="A213" s="3" t="s">
        <v>289</v>
      </c>
      <c r="B213"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v>
      </c>
      <c r="C213" s="24" t="s">
        <v>174</v>
      </c>
    </row>
    <row r="214" spans="1:3" ht="18" customHeight="1" x14ac:dyDescent="0.2">
      <c r="A214" s="3" t="s">
        <v>289</v>
      </c>
      <c r="B214"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v>
      </c>
      <c r="C214" s="24" t="s">
        <v>174</v>
      </c>
    </row>
    <row r="215" spans="1:3" ht="18" customHeight="1" x14ac:dyDescent="0.2">
      <c r="A215" s="3" t="s">
        <v>289</v>
      </c>
      <c r="B215"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v>
      </c>
      <c r="C215" s="24" t="s">
        <v>174</v>
      </c>
    </row>
    <row r="216" spans="1:3" ht="18" customHeight="1" x14ac:dyDescent="0.2">
      <c r="A216" s="3" t="s">
        <v>289</v>
      </c>
      <c r="B216"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v>
      </c>
      <c r="C216" s="24" t="s">
        <v>174</v>
      </c>
    </row>
    <row r="217" spans="1:3" ht="18" customHeight="1" x14ac:dyDescent="0.2">
      <c r="A217" s="3" t="s">
        <v>289</v>
      </c>
      <c r="B217"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v>
      </c>
      <c r="C217" s="24" t="s">
        <v>174</v>
      </c>
    </row>
    <row r="218" spans="1:3" ht="18" customHeight="1" x14ac:dyDescent="0.2">
      <c r="A218" s="3" t="s">
        <v>289</v>
      </c>
      <c r="B218"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v>
      </c>
      <c r="C218" s="24" t="s">
        <v>174</v>
      </c>
    </row>
    <row r="219" spans="1:3" ht="18" customHeight="1" x14ac:dyDescent="0.2">
      <c r="A219" s="3" t="s">
        <v>289</v>
      </c>
      <c r="B219"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v>
      </c>
      <c r="C219" s="24" t="s">
        <v>174</v>
      </c>
    </row>
    <row r="220" spans="1:3" ht="18" customHeight="1" x14ac:dyDescent="0.2">
      <c r="A220" s="3" t="s">
        <v>289</v>
      </c>
      <c r="B220"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v>
      </c>
      <c r="C220" s="24" t="s">
        <v>174</v>
      </c>
    </row>
    <row r="221" spans="1:3" ht="18" customHeight="1" x14ac:dyDescent="0.2">
      <c r="A221" s="3" t="s">
        <v>289</v>
      </c>
      <c r="B221"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v>
      </c>
      <c r="C221" s="24" t="s">
        <v>174</v>
      </c>
    </row>
    <row r="222" spans="1:3" ht="18" customHeight="1" x14ac:dyDescent="0.2">
      <c r="A222" s="3" t="s">
        <v>289</v>
      </c>
      <c r="B222"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v>
      </c>
      <c r="C222" s="24" t="s">
        <v>174</v>
      </c>
    </row>
    <row r="223" spans="1:3" ht="18" customHeight="1" x14ac:dyDescent="0.2">
      <c r="A223" s="3" t="s">
        <v>289</v>
      </c>
      <c r="B223"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v>
      </c>
      <c r="C223" s="24" t="s">
        <v>174</v>
      </c>
    </row>
    <row r="224" spans="1:3" ht="18" customHeight="1" x14ac:dyDescent="0.2">
      <c r="A224" s="3" t="s">
        <v>289</v>
      </c>
      <c r="B224"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v>
      </c>
      <c r="C224" s="24" t="s">
        <v>174</v>
      </c>
    </row>
    <row r="225" spans="1:3" ht="18" customHeight="1" x14ac:dyDescent="0.2">
      <c r="A225" s="3" t="s">
        <v>289</v>
      </c>
      <c r="B225"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v>
      </c>
      <c r="C225" s="24" t="s">
        <v>174</v>
      </c>
    </row>
    <row r="226" spans="1:3" ht="18" customHeight="1" x14ac:dyDescent="0.2">
      <c r="A226" s="3" t="s">
        <v>289</v>
      </c>
      <c r="B226"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v>
      </c>
      <c r="C226" s="24" t="s">
        <v>174</v>
      </c>
    </row>
    <row r="227" spans="1:3" ht="18" customHeight="1" x14ac:dyDescent="0.2">
      <c r="A227" s="3" t="s">
        <v>289</v>
      </c>
      <c r="B227"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v>
      </c>
      <c r="C227" s="24" t="s">
        <v>174</v>
      </c>
    </row>
    <row r="228" spans="1:3" ht="18" customHeight="1" x14ac:dyDescent="0.2">
      <c r="A228" s="3" t="s">
        <v>289</v>
      </c>
      <c r="B228"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v>
      </c>
      <c r="C228" s="24" t="s">
        <v>174</v>
      </c>
    </row>
    <row r="229" spans="1:3" ht="18" customHeight="1" x14ac:dyDescent="0.2">
      <c r="A229" s="3" t="s">
        <v>289</v>
      </c>
      <c r="B229"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v>
      </c>
      <c r="C229" s="24" t="s">
        <v>174</v>
      </c>
    </row>
    <row r="230" spans="1:3" ht="18" customHeight="1" x14ac:dyDescent="0.2">
      <c r="A230" s="3" t="s">
        <v>289</v>
      </c>
      <c r="B230"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v>
      </c>
      <c r="C230" s="24" t="s">
        <v>174</v>
      </c>
    </row>
    <row r="231" spans="1:3" ht="18" customHeight="1" x14ac:dyDescent="0.2">
      <c r="A231" s="3" t="s">
        <v>289</v>
      </c>
      <c r="B231"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v>
      </c>
      <c r="C231" s="24" t="s">
        <v>174</v>
      </c>
    </row>
    <row r="232" spans="1:3" ht="18" customHeight="1" x14ac:dyDescent="0.2">
      <c r="A232" s="3" t="s">
        <v>289</v>
      </c>
      <c r="B232"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v>
      </c>
      <c r="C232" s="24" t="s">
        <v>174</v>
      </c>
    </row>
    <row r="233" spans="1:3" ht="18" customHeight="1" x14ac:dyDescent="0.2">
      <c r="A233" s="3" t="s">
        <v>289</v>
      </c>
      <c r="B233"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v>
      </c>
      <c r="C233" s="24" t="s">
        <v>174</v>
      </c>
    </row>
    <row r="234" spans="1:3" ht="18" customHeight="1" x14ac:dyDescent="0.2">
      <c r="A234" s="3" t="s">
        <v>289</v>
      </c>
      <c r="B234"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v>
      </c>
      <c r="C234" s="24" t="s">
        <v>174</v>
      </c>
    </row>
    <row r="235" spans="1:3" ht="18" customHeight="1" x14ac:dyDescent="0.2">
      <c r="A235" s="3" t="s">
        <v>289</v>
      </c>
      <c r="B235"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v>
      </c>
      <c r="C235" s="24" t="s">
        <v>174</v>
      </c>
    </row>
    <row r="236" spans="1:3" ht="18" customHeight="1" x14ac:dyDescent="0.2">
      <c r="A236" s="3" t="s">
        <v>289</v>
      </c>
      <c r="B236"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v>
      </c>
      <c r="C236" s="24" t="s">
        <v>174</v>
      </c>
    </row>
    <row r="237" spans="1:3" ht="18" customHeight="1" x14ac:dyDescent="0.2">
      <c r="A237" s="3" t="s">
        <v>289</v>
      </c>
      <c r="B237"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v>
      </c>
      <c r="C237" s="24" t="s">
        <v>174</v>
      </c>
    </row>
    <row r="238" spans="1:3" ht="18" customHeight="1" x14ac:dyDescent="0.2">
      <c r="A238" s="3" t="s">
        <v>289</v>
      </c>
      <c r="B238"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v>
      </c>
      <c r="C238" s="24" t="s">
        <v>174</v>
      </c>
    </row>
    <row r="239" spans="1:3" ht="18" customHeight="1" x14ac:dyDescent="0.2">
      <c r="A239" s="3" t="s">
        <v>289</v>
      </c>
      <c r="B239"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v>
      </c>
      <c r="C239" s="24" t="s">
        <v>174</v>
      </c>
    </row>
    <row r="240" spans="1:3" ht="18" customHeight="1" x14ac:dyDescent="0.2">
      <c r="A240" s="3" t="s">
        <v>289</v>
      </c>
      <c r="B240"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v>
      </c>
      <c r="C240" s="24" t="s">
        <v>174</v>
      </c>
    </row>
    <row r="241" spans="1:3" ht="18" customHeight="1" x14ac:dyDescent="0.2">
      <c r="A241" s="3" t="s">
        <v>289</v>
      </c>
      <c r="B241"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v>
      </c>
      <c r="C241" s="24" t="s">
        <v>174</v>
      </c>
    </row>
    <row r="242" spans="1:3" ht="18" customHeight="1" x14ac:dyDescent="0.2">
      <c r="A242" s="3" t="s">
        <v>289</v>
      </c>
      <c r="B242"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v>
      </c>
      <c r="C242" s="24" t="s">
        <v>174</v>
      </c>
    </row>
    <row r="243" spans="1:3" ht="18" customHeight="1" x14ac:dyDescent="0.2">
      <c r="A243" s="3" t="s">
        <v>289</v>
      </c>
      <c r="B243"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v>
      </c>
      <c r="C243" s="24" t="s">
        <v>174</v>
      </c>
    </row>
    <row r="244" spans="1:3" ht="18" customHeight="1" x14ac:dyDescent="0.2">
      <c r="A244" s="3" t="s">
        <v>289</v>
      </c>
      <c r="B244"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v>
      </c>
      <c r="C244" s="24" t="s">
        <v>174</v>
      </c>
    </row>
    <row r="245" spans="1:3" ht="18" customHeight="1" x14ac:dyDescent="0.2">
      <c r="A245" s="3" t="s">
        <v>289</v>
      </c>
      <c r="B245"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v>
      </c>
      <c r="C245" s="24" t="s">
        <v>174</v>
      </c>
    </row>
    <row r="246" spans="1:3" ht="18" customHeight="1" x14ac:dyDescent="0.2">
      <c r="A246" s="3" t="s">
        <v>289</v>
      </c>
      <c r="B246"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v>
      </c>
      <c r="C246" s="24" t="s">
        <v>174</v>
      </c>
    </row>
    <row r="247" spans="1:3" ht="18" customHeight="1" x14ac:dyDescent="0.2">
      <c r="A247" s="3" t="s">
        <v>289</v>
      </c>
      <c r="B247"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v>
      </c>
      <c r="C247" s="24" t="s">
        <v>174</v>
      </c>
    </row>
    <row r="248" spans="1:3" ht="18" customHeight="1" x14ac:dyDescent="0.2">
      <c r="A248" s="3" t="s">
        <v>289</v>
      </c>
      <c r="B248"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v>
      </c>
      <c r="C248" s="24" t="s">
        <v>174</v>
      </c>
    </row>
    <row r="249" spans="1:3" ht="18" customHeight="1" x14ac:dyDescent="0.2">
      <c r="A249" s="3" t="s">
        <v>289</v>
      </c>
      <c r="B249"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v>
      </c>
      <c r="C249" s="24" t="s">
        <v>174</v>
      </c>
    </row>
    <row r="250" spans="1:3" ht="18" customHeight="1" x14ac:dyDescent="0.2">
      <c r="A250" s="3" t="s">
        <v>289</v>
      </c>
      <c r="B250"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v>
      </c>
      <c r="C250" s="24" t="s">
        <v>174</v>
      </c>
    </row>
    <row r="251" spans="1:3" ht="18" customHeight="1" x14ac:dyDescent="0.2">
      <c r="A251" s="3" t="s">
        <v>289</v>
      </c>
      <c r="B251"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v>
      </c>
      <c r="C251" s="24" t="s">
        <v>174</v>
      </c>
    </row>
    <row r="252" spans="1:3" ht="18" customHeight="1" x14ac:dyDescent="0.2">
      <c r="A252" s="3" t="s">
        <v>289</v>
      </c>
      <c r="B252"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v>
      </c>
      <c r="C252" s="24" t="s">
        <v>174</v>
      </c>
    </row>
    <row r="253" spans="1:3" ht="18" customHeight="1" x14ac:dyDescent="0.2">
      <c r="A253" s="3" t="s">
        <v>289</v>
      </c>
      <c r="B253"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v>
      </c>
      <c r="C253" s="24" t="s">
        <v>174</v>
      </c>
    </row>
    <row r="254" spans="1:3" ht="18" customHeight="1" x14ac:dyDescent="0.2">
      <c r="A254" s="3" t="s">
        <v>289</v>
      </c>
      <c r="B254"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v>
      </c>
      <c r="C254" s="24" t="s">
        <v>174</v>
      </c>
    </row>
    <row r="255" spans="1:3" ht="18" customHeight="1" x14ac:dyDescent="0.2">
      <c r="A255" s="3" t="s">
        <v>289</v>
      </c>
      <c r="B255"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v>
      </c>
      <c r="C255" s="24" t="s">
        <v>174</v>
      </c>
    </row>
    <row r="256" spans="1:3" ht="18" customHeight="1" x14ac:dyDescent="0.2">
      <c r="A256" s="3" t="s">
        <v>289</v>
      </c>
      <c r="B256"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v>
      </c>
      <c r="C256" s="24" t="s">
        <v>174</v>
      </c>
    </row>
    <row r="257" spans="1:3" ht="18" customHeight="1" x14ac:dyDescent="0.2">
      <c r="A257" s="3" t="s">
        <v>289</v>
      </c>
      <c r="B257"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v>
      </c>
      <c r="C257" s="24" t="s">
        <v>174</v>
      </c>
    </row>
    <row r="258" spans="1:3" ht="18" customHeight="1" x14ac:dyDescent="0.2">
      <c r="A258" s="3" t="s">
        <v>289</v>
      </c>
      <c r="B258" s="6" t="str">
        <f t="shared" si="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v>
      </c>
      <c r="C258" s="24" t="s">
        <v>174</v>
      </c>
    </row>
    <row r="259" spans="1:3" ht="18" customHeight="1" x14ac:dyDescent="0.2">
      <c r="A259" s="3" t="s">
        <v>289</v>
      </c>
      <c r="B259" s="6" t="str">
        <f t="shared" ref="B259:B322" si="4">IF(ISBLANK(A259)=TRUE,B258,B258&amp;","&amp;A259)</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v>
      </c>
      <c r="C259" s="24" t="s">
        <v>174</v>
      </c>
    </row>
    <row r="260" spans="1:3" ht="18" customHeight="1" x14ac:dyDescent="0.2">
      <c r="A260" s="3" t="s">
        <v>289</v>
      </c>
      <c r="B260"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v>
      </c>
      <c r="C260" s="24" t="s">
        <v>174</v>
      </c>
    </row>
    <row r="261" spans="1:3" ht="18" customHeight="1" x14ac:dyDescent="0.2">
      <c r="A261" s="3" t="s">
        <v>289</v>
      </c>
      <c r="B261"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v>
      </c>
      <c r="C261" s="24" t="s">
        <v>174</v>
      </c>
    </row>
    <row r="262" spans="1:3" ht="18" customHeight="1" x14ac:dyDescent="0.2">
      <c r="A262" s="3" t="s">
        <v>289</v>
      </c>
      <c r="B262"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v>
      </c>
      <c r="C262" s="24" t="s">
        <v>174</v>
      </c>
    </row>
    <row r="263" spans="1:3" ht="18" customHeight="1" x14ac:dyDescent="0.2">
      <c r="A263" s="3" t="s">
        <v>289</v>
      </c>
      <c r="B263"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v>
      </c>
      <c r="C263" s="24" t="s">
        <v>174</v>
      </c>
    </row>
    <row r="264" spans="1:3" ht="18" customHeight="1" x14ac:dyDescent="0.2">
      <c r="A264" s="3" t="s">
        <v>289</v>
      </c>
      <c r="B264"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v>
      </c>
      <c r="C264" s="24" t="s">
        <v>174</v>
      </c>
    </row>
    <row r="265" spans="1:3" ht="18" customHeight="1" x14ac:dyDescent="0.2">
      <c r="A265" s="3" t="s">
        <v>289</v>
      </c>
      <c r="B265"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v>
      </c>
      <c r="C265" s="24" t="s">
        <v>174</v>
      </c>
    </row>
    <row r="266" spans="1:3" ht="18" customHeight="1" x14ac:dyDescent="0.2">
      <c r="A266" s="3" t="s">
        <v>289</v>
      </c>
      <c r="B266"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v>
      </c>
      <c r="C266" s="24" t="s">
        <v>174</v>
      </c>
    </row>
    <row r="267" spans="1:3" ht="18" customHeight="1" x14ac:dyDescent="0.2">
      <c r="A267" s="3" t="s">
        <v>289</v>
      </c>
      <c r="B267"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v>
      </c>
      <c r="C267" s="24" t="s">
        <v>174</v>
      </c>
    </row>
    <row r="268" spans="1:3" ht="18" customHeight="1" x14ac:dyDescent="0.2">
      <c r="A268" s="3" t="s">
        <v>289</v>
      </c>
      <c r="B268"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v>
      </c>
      <c r="C268" s="24" t="s">
        <v>174</v>
      </c>
    </row>
    <row r="269" spans="1:3" ht="18" customHeight="1" x14ac:dyDescent="0.2">
      <c r="A269" s="3" t="s">
        <v>289</v>
      </c>
      <c r="B269"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v>
      </c>
      <c r="C269" s="24" t="s">
        <v>174</v>
      </c>
    </row>
    <row r="270" spans="1:3" ht="18" customHeight="1" x14ac:dyDescent="0.2">
      <c r="A270" s="3" t="s">
        <v>289</v>
      </c>
      <c r="B270"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v>
      </c>
      <c r="C270" s="24" t="s">
        <v>174</v>
      </c>
    </row>
    <row r="271" spans="1:3" ht="18" customHeight="1" x14ac:dyDescent="0.2">
      <c r="A271" s="3" t="s">
        <v>289</v>
      </c>
      <c r="B271"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v>
      </c>
      <c r="C271" s="24" t="s">
        <v>174</v>
      </c>
    </row>
    <row r="272" spans="1:3" ht="18" customHeight="1" x14ac:dyDescent="0.2">
      <c r="A272" s="3" t="s">
        <v>289</v>
      </c>
      <c r="B272"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v>
      </c>
      <c r="C272" s="24" t="s">
        <v>174</v>
      </c>
    </row>
    <row r="273" spans="1:3" ht="18" customHeight="1" x14ac:dyDescent="0.2">
      <c r="A273" s="3" t="s">
        <v>289</v>
      </c>
      <c r="B273"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v>
      </c>
      <c r="C273" s="24" t="s">
        <v>174</v>
      </c>
    </row>
    <row r="274" spans="1:3" ht="18" customHeight="1" x14ac:dyDescent="0.2">
      <c r="A274" s="3" t="s">
        <v>289</v>
      </c>
      <c r="B274"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v>
      </c>
      <c r="C274" s="24" t="s">
        <v>174</v>
      </c>
    </row>
    <row r="275" spans="1:3" ht="18" customHeight="1" x14ac:dyDescent="0.2">
      <c r="A275" s="3" t="s">
        <v>289</v>
      </c>
      <c r="B275"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v>
      </c>
      <c r="C275" s="24" t="s">
        <v>174</v>
      </c>
    </row>
    <row r="276" spans="1:3" ht="18" customHeight="1" x14ac:dyDescent="0.2">
      <c r="A276" s="3" t="s">
        <v>289</v>
      </c>
      <c r="B276"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v>
      </c>
      <c r="C276" s="24" t="s">
        <v>174</v>
      </c>
    </row>
    <row r="277" spans="1:3" ht="18" customHeight="1" x14ac:dyDescent="0.2">
      <c r="A277" s="3" t="s">
        <v>289</v>
      </c>
      <c r="B277"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v>
      </c>
      <c r="C277" s="24" t="s">
        <v>174</v>
      </c>
    </row>
    <row r="278" spans="1:3" ht="18" customHeight="1" x14ac:dyDescent="0.2">
      <c r="A278" s="3" t="s">
        <v>289</v>
      </c>
      <c r="B278"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v>
      </c>
      <c r="C278" s="24" t="s">
        <v>174</v>
      </c>
    </row>
    <row r="279" spans="1:3" ht="18" customHeight="1" x14ac:dyDescent="0.2">
      <c r="A279" s="3" t="s">
        <v>289</v>
      </c>
      <c r="B279"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v>
      </c>
      <c r="C279" s="24" t="s">
        <v>174</v>
      </c>
    </row>
    <row r="280" spans="1:3" ht="18" customHeight="1" x14ac:dyDescent="0.2">
      <c r="A280" s="3" t="s">
        <v>289</v>
      </c>
      <c r="B280"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v>
      </c>
      <c r="C280" s="24" t="s">
        <v>174</v>
      </c>
    </row>
    <row r="281" spans="1:3" ht="18" customHeight="1" x14ac:dyDescent="0.2">
      <c r="A281" s="3" t="s">
        <v>289</v>
      </c>
      <c r="B281"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v>
      </c>
      <c r="C281" s="24" t="s">
        <v>174</v>
      </c>
    </row>
    <row r="282" spans="1:3" ht="18" customHeight="1" x14ac:dyDescent="0.2">
      <c r="A282" s="3" t="s">
        <v>289</v>
      </c>
      <c r="B282"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v>
      </c>
      <c r="C282" s="24" t="s">
        <v>174</v>
      </c>
    </row>
    <row r="283" spans="1:3" ht="18" customHeight="1" x14ac:dyDescent="0.2">
      <c r="A283" s="3" t="s">
        <v>289</v>
      </c>
      <c r="B283"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v>
      </c>
      <c r="C283" s="24" t="s">
        <v>174</v>
      </c>
    </row>
    <row r="284" spans="1:3" ht="18" customHeight="1" x14ac:dyDescent="0.2">
      <c r="A284" s="3" t="s">
        <v>289</v>
      </c>
      <c r="B284"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v>
      </c>
      <c r="C284" s="24" t="s">
        <v>174</v>
      </c>
    </row>
    <row r="285" spans="1:3" ht="18" customHeight="1" x14ac:dyDescent="0.2">
      <c r="A285" s="3" t="s">
        <v>289</v>
      </c>
      <c r="B285"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v>
      </c>
      <c r="C285" s="24" t="s">
        <v>174</v>
      </c>
    </row>
    <row r="286" spans="1:3" ht="18" customHeight="1" x14ac:dyDescent="0.2">
      <c r="A286" s="3" t="s">
        <v>289</v>
      </c>
      <c r="B286"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v>
      </c>
      <c r="C286" s="24" t="s">
        <v>174</v>
      </c>
    </row>
    <row r="287" spans="1:3" ht="18" customHeight="1" x14ac:dyDescent="0.2">
      <c r="A287" s="3" t="s">
        <v>289</v>
      </c>
      <c r="B287"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v>
      </c>
      <c r="C287" s="24" t="s">
        <v>174</v>
      </c>
    </row>
    <row r="288" spans="1:3" ht="18" customHeight="1" x14ac:dyDescent="0.2">
      <c r="A288" s="3" t="s">
        <v>289</v>
      </c>
      <c r="B288"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v>
      </c>
      <c r="C288" s="24" t="s">
        <v>174</v>
      </c>
    </row>
    <row r="289" spans="1:3" ht="18" customHeight="1" x14ac:dyDescent="0.2">
      <c r="A289" s="3" t="s">
        <v>289</v>
      </c>
      <c r="B289"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v>
      </c>
      <c r="C289" s="24" t="s">
        <v>174</v>
      </c>
    </row>
    <row r="290" spans="1:3" ht="18" customHeight="1" x14ac:dyDescent="0.2">
      <c r="A290" s="3" t="s">
        <v>289</v>
      </c>
      <c r="B290"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v>
      </c>
      <c r="C290" s="24" t="s">
        <v>174</v>
      </c>
    </row>
    <row r="291" spans="1:3" ht="18" customHeight="1" x14ac:dyDescent="0.2">
      <c r="A291" s="3" t="s">
        <v>289</v>
      </c>
      <c r="B291"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v>
      </c>
      <c r="C291" s="24" t="s">
        <v>174</v>
      </c>
    </row>
    <row r="292" spans="1:3" ht="18" customHeight="1" x14ac:dyDescent="0.2">
      <c r="A292" s="3" t="s">
        <v>289</v>
      </c>
      <c r="B292"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v>
      </c>
      <c r="C292" s="24" t="s">
        <v>174</v>
      </c>
    </row>
    <row r="293" spans="1:3" ht="18" customHeight="1" x14ac:dyDescent="0.2">
      <c r="A293" s="3" t="s">
        <v>289</v>
      </c>
      <c r="B293"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v>
      </c>
      <c r="C293" s="24" t="s">
        <v>174</v>
      </c>
    </row>
    <row r="294" spans="1:3" ht="18" customHeight="1" x14ac:dyDescent="0.2">
      <c r="A294" s="3" t="s">
        <v>289</v>
      </c>
      <c r="B294"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v>
      </c>
      <c r="C294" s="24" t="s">
        <v>174</v>
      </c>
    </row>
    <row r="295" spans="1:3" ht="18" customHeight="1" x14ac:dyDescent="0.2">
      <c r="A295" s="3" t="s">
        <v>289</v>
      </c>
      <c r="B295"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295" s="24" t="s">
        <v>174</v>
      </c>
    </row>
    <row r="296" spans="1:3" ht="18" customHeight="1" x14ac:dyDescent="0.2">
      <c r="A296" s="3" t="s">
        <v>289</v>
      </c>
      <c r="B296"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296" s="24" t="s">
        <v>174</v>
      </c>
    </row>
    <row r="297" spans="1:3" ht="18" customHeight="1" x14ac:dyDescent="0.2">
      <c r="A297" s="3" t="s">
        <v>289</v>
      </c>
      <c r="B297"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297" s="24" t="s">
        <v>174</v>
      </c>
    </row>
    <row r="298" spans="1:3" ht="18" customHeight="1" x14ac:dyDescent="0.2">
      <c r="A298" s="3" t="s">
        <v>289</v>
      </c>
      <c r="B298"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298" s="24" t="s">
        <v>174</v>
      </c>
    </row>
    <row r="299" spans="1:3" ht="18" customHeight="1" x14ac:dyDescent="0.2">
      <c r="A299" s="3" t="s">
        <v>289</v>
      </c>
      <c r="B299"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299" s="24" t="s">
        <v>174</v>
      </c>
    </row>
    <row r="300" spans="1:3" ht="18" customHeight="1" x14ac:dyDescent="0.2">
      <c r="A300" s="3" t="s">
        <v>289</v>
      </c>
      <c r="B300"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00" s="24" t="s">
        <v>174</v>
      </c>
    </row>
    <row r="301" spans="1:3" ht="18" customHeight="1" x14ac:dyDescent="0.2">
      <c r="A301" s="3" t="s">
        <v>289</v>
      </c>
      <c r="B301"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01" s="24" t="s">
        <v>174</v>
      </c>
    </row>
    <row r="302" spans="1:3" ht="18" customHeight="1" x14ac:dyDescent="0.2">
      <c r="A302" s="3" t="s">
        <v>289</v>
      </c>
      <c r="B302"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02" s="24" t="s">
        <v>174</v>
      </c>
    </row>
    <row r="303" spans="1:3" ht="18" customHeight="1" x14ac:dyDescent="0.2">
      <c r="A303" s="3" t="s">
        <v>289</v>
      </c>
      <c r="B303"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03" s="24" t="s">
        <v>174</v>
      </c>
    </row>
    <row r="304" spans="1:3" ht="18" customHeight="1" x14ac:dyDescent="0.2">
      <c r="A304" s="3" t="s">
        <v>289</v>
      </c>
      <c r="B304"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04" s="24" t="s">
        <v>174</v>
      </c>
    </row>
    <row r="305" spans="1:3" ht="18" customHeight="1" x14ac:dyDescent="0.2">
      <c r="A305" s="3" t="s">
        <v>289</v>
      </c>
      <c r="B305"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05" s="24" t="s">
        <v>174</v>
      </c>
    </row>
    <row r="306" spans="1:3" ht="18" customHeight="1" x14ac:dyDescent="0.2">
      <c r="A306" s="3" t="s">
        <v>289</v>
      </c>
      <c r="B306"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06" s="24" t="s">
        <v>174</v>
      </c>
    </row>
    <row r="307" spans="1:3" ht="18" customHeight="1" x14ac:dyDescent="0.2">
      <c r="A307" s="3" t="s">
        <v>289</v>
      </c>
      <c r="B307"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07" s="24" t="s">
        <v>174</v>
      </c>
    </row>
    <row r="308" spans="1:3" ht="18" customHeight="1" x14ac:dyDescent="0.2">
      <c r="A308" s="3" t="s">
        <v>289</v>
      </c>
      <c r="B308"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08" s="24" t="s">
        <v>174</v>
      </c>
    </row>
    <row r="309" spans="1:3" ht="18" customHeight="1" x14ac:dyDescent="0.2">
      <c r="A309" s="3" t="s">
        <v>289</v>
      </c>
      <c r="B309"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09" s="24" t="s">
        <v>174</v>
      </c>
    </row>
    <row r="310" spans="1:3" ht="18" customHeight="1" x14ac:dyDescent="0.2">
      <c r="A310" s="3" t="s">
        <v>289</v>
      </c>
      <c r="B310"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10" s="24" t="s">
        <v>174</v>
      </c>
    </row>
    <row r="311" spans="1:3" ht="18" customHeight="1" x14ac:dyDescent="0.2">
      <c r="A311" s="3" t="s">
        <v>289</v>
      </c>
      <c r="B311"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11" s="24" t="s">
        <v>174</v>
      </c>
    </row>
    <row r="312" spans="1:3" ht="18" customHeight="1" x14ac:dyDescent="0.2">
      <c r="A312" s="3" t="s">
        <v>289</v>
      </c>
      <c r="B312"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12" s="24" t="s">
        <v>174</v>
      </c>
    </row>
    <row r="313" spans="1:3" ht="18" customHeight="1" x14ac:dyDescent="0.2">
      <c r="A313" s="3" t="s">
        <v>289</v>
      </c>
      <c r="B313"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13" s="24" t="s">
        <v>174</v>
      </c>
    </row>
    <row r="314" spans="1:3" ht="18" customHeight="1" x14ac:dyDescent="0.2">
      <c r="A314" s="3" t="s">
        <v>289</v>
      </c>
      <c r="B314"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14" s="24" t="s">
        <v>174</v>
      </c>
    </row>
    <row r="315" spans="1:3" ht="18" customHeight="1" x14ac:dyDescent="0.2">
      <c r="A315" s="3" t="s">
        <v>289</v>
      </c>
      <c r="B315"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15" s="24" t="s">
        <v>174</v>
      </c>
    </row>
    <row r="316" spans="1:3" ht="18" customHeight="1" x14ac:dyDescent="0.2">
      <c r="A316" s="3" t="s">
        <v>289</v>
      </c>
      <c r="B316"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16" s="24" t="s">
        <v>174</v>
      </c>
    </row>
    <row r="317" spans="1:3" ht="18" customHeight="1" x14ac:dyDescent="0.2">
      <c r="A317" s="3" t="s">
        <v>289</v>
      </c>
      <c r="B317"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17" s="24" t="s">
        <v>174</v>
      </c>
    </row>
    <row r="318" spans="1:3" ht="18" customHeight="1" x14ac:dyDescent="0.2">
      <c r="A318" s="3" t="s">
        <v>289</v>
      </c>
      <c r="B318"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18" s="24" t="s">
        <v>174</v>
      </c>
    </row>
    <row r="319" spans="1:3" ht="18" customHeight="1" x14ac:dyDescent="0.2">
      <c r="A319" s="3" t="s">
        <v>289</v>
      </c>
      <c r="B319"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19" s="24" t="s">
        <v>174</v>
      </c>
    </row>
    <row r="320" spans="1:3" ht="18" customHeight="1" x14ac:dyDescent="0.2">
      <c r="A320" s="3" t="s">
        <v>289</v>
      </c>
      <c r="B320"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20" s="24" t="s">
        <v>174</v>
      </c>
    </row>
    <row r="321" spans="1:3" ht="18" customHeight="1" x14ac:dyDescent="0.2">
      <c r="A321" s="3" t="s">
        <v>289</v>
      </c>
      <c r="B321"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21" s="24" t="s">
        <v>174</v>
      </c>
    </row>
    <row r="322" spans="1:3" ht="18" customHeight="1" x14ac:dyDescent="0.2">
      <c r="A322" s="3" t="s">
        <v>289</v>
      </c>
      <c r="B322" s="6" t="str">
        <f t="shared" si="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22" s="24" t="s">
        <v>174</v>
      </c>
    </row>
    <row r="323" spans="1:3" ht="18" customHeight="1" x14ac:dyDescent="0.2">
      <c r="A323" s="3" t="s">
        <v>289</v>
      </c>
      <c r="B323" s="6" t="str">
        <f t="shared" ref="B323:B386" si="5">IF(ISBLANK(A323)=TRUE,B322,B322&amp;","&amp;A323)</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23" s="24" t="s">
        <v>174</v>
      </c>
    </row>
    <row r="324" spans="1:3" ht="18" customHeight="1" x14ac:dyDescent="0.2">
      <c r="A324" s="3" t="s">
        <v>289</v>
      </c>
      <c r="B324"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24" s="24" t="s">
        <v>174</v>
      </c>
    </row>
    <row r="325" spans="1:3" ht="18" customHeight="1" x14ac:dyDescent="0.2">
      <c r="A325" s="3" t="s">
        <v>289</v>
      </c>
      <c r="B325"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25" s="24" t="s">
        <v>174</v>
      </c>
    </row>
    <row r="326" spans="1:3" ht="18" customHeight="1" x14ac:dyDescent="0.2">
      <c r="A326" s="3" t="s">
        <v>289</v>
      </c>
      <c r="B326"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26" s="24" t="s">
        <v>174</v>
      </c>
    </row>
    <row r="327" spans="1:3" ht="18" customHeight="1" x14ac:dyDescent="0.2">
      <c r="A327" s="3" t="s">
        <v>289</v>
      </c>
      <c r="B327"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27" s="24" t="s">
        <v>174</v>
      </c>
    </row>
    <row r="328" spans="1:3" ht="18" customHeight="1" x14ac:dyDescent="0.2">
      <c r="A328" s="3" t="s">
        <v>289</v>
      </c>
      <c r="B328"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28" s="24" t="s">
        <v>174</v>
      </c>
    </row>
    <row r="329" spans="1:3" ht="18" customHeight="1" x14ac:dyDescent="0.2">
      <c r="A329" s="3" t="s">
        <v>289</v>
      </c>
      <c r="B329"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29" s="24" t="s">
        <v>174</v>
      </c>
    </row>
    <row r="330" spans="1:3" ht="18" customHeight="1" x14ac:dyDescent="0.2">
      <c r="A330" s="3" t="s">
        <v>289</v>
      </c>
      <c r="B330"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30" s="24" t="s">
        <v>174</v>
      </c>
    </row>
    <row r="331" spans="1:3" ht="18" customHeight="1" x14ac:dyDescent="0.2">
      <c r="A331" s="3" t="s">
        <v>289</v>
      </c>
      <c r="B331"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31" s="24" t="s">
        <v>174</v>
      </c>
    </row>
    <row r="332" spans="1:3" ht="18" customHeight="1" x14ac:dyDescent="0.2">
      <c r="A332" s="3" t="s">
        <v>289</v>
      </c>
      <c r="B332"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32" s="24" t="s">
        <v>174</v>
      </c>
    </row>
    <row r="333" spans="1:3" ht="18" customHeight="1" x14ac:dyDescent="0.2">
      <c r="A333" s="3" t="s">
        <v>289</v>
      </c>
      <c r="B333"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33" s="24" t="s">
        <v>174</v>
      </c>
    </row>
    <row r="334" spans="1:3" ht="18" customHeight="1" x14ac:dyDescent="0.2">
      <c r="A334" s="3" t="s">
        <v>289</v>
      </c>
      <c r="B334"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34" s="24" t="s">
        <v>174</v>
      </c>
    </row>
    <row r="335" spans="1:3" ht="18" customHeight="1" x14ac:dyDescent="0.2">
      <c r="A335" s="3" t="s">
        <v>289</v>
      </c>
      <c r="B335"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35" s="24" t="s">
        <v>174</v>
      </c>
    </row>
    <row r="336" spans="1:3" ht="18" customHeight="1" x14ac:dyDescent="0.2">
      <c r="A336" s="3" t="s">
        <v>289</v>
      </c>
      <c r="B336"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36" s="24" t="s">
        <v>174</v>
      </c>
    </row>
    <row r="337" spans="1:3" ht="18" customHeight="1" x14ac:dyDescent="0.2">
      <c r="A337" s="3" t="s">
        <v>289</v>
      </c>
      <c r="B337"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37" s="24" t="s">
        <v>174</v>
      </c>
    </row>
    <row r="338" spans="1:3" ht="18" customHeight="1" x14ac:dyDescent="0.2">
      <c r="A338" s="3" t="s">
        <v>289</v>
      </c>
      <c r="B338"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38" s="24" t="s">
        <v>174</v>
      </c>
    </row>
    <row r="339" spans="1:3" ht="18" customHeight="1" x14ac:dyDescent="0.2">
      <c r="A339" s="3" t="s">
        <v>289</v>
      </c>
      <c r="B339"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39" s="24" t="s">
        <v>174</v>
      </c>
    </row>
    <row r="340" spans="1:3" ht="18" customHeight="1" x14ac:dyDescent="0.2">
      <c r="A340" s="3" t="s">
        <v>289</v>
      </c>
      <c r="B340"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40" s="24" t="s">
        <v>174</v>
      </c>
    </row>
    <row r="341" spans="1:3" ht="18" customHeight="1" x14ac:dyDescent="0.2">
      <c r="A341" s="3" t="s">
        <v>289</v>
      </c>
      <c r="B341"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41" s="24" t="s">
        <v>174</v>
      </c>
    </row>
    <row r="342" spans="1:3" ht="18" customHeight="1" x14ac:dyDescent="0.2">
      <c r="A342" s="3" t="s">
        <v>289</v>
      </c>
      <c r="B342"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42" s="24" t="s">
        <v>174</v>
      </c>
    </row>
    <row r="343" spans="1:3" ht="18" customHeight="1" x14ac:dyDescent="0.2">
      <c r="A343" s="3" t="s">
        <v>289</v>
      </c>
      <c r="B343"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43" s="24" t="s">
        <v>174</v>
      </c>
    </row>
    <row r="344" spans="1:3" ht="18" customHeight="1" x14ac:dyDescent="0.2">
      <c r="A344" s="3" t="s">
        <v>289</v>
      </c>
      <c r="B344"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44" s="24" t="s">
        <v>174</v>
      </c>
    </row>
    <row r="345" spans="1:3" ht="18" customHeight="1" x14ac:dyDescent="0.2">
      <c r="A345" s="3" t="s">
        <v>289</v>
      </c>
      <c r="B345"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45" s="24" t="s">
        <v>174</v>
      </c>
    </row>
    <row r="346" spans="1:3" ht="18" customHeight="1" x14ac:dyDescent="0.2">
      <c r="A346" s="3" t="s">
        <v>289</v>
      </c>
      <c r="B346"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46" s="24" t="s">
        <v>174</v>
      </c>
    </row>
    <row r="347" spans="1:3" ht="18" customHeight="1" x14ac:dyDescent="0.2">
      <c r="A347" s="3" t="s">
        <v>289</v>
      </c>
      <c r="B347"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47" s="24" t="s">
        <v>174</v>
      </c>
    </row>
    <row r="348" spans="1:3" ht="18" customHeight="1" x14ac:dyDescent="0.2">
      <c r="A348" s="3" t="s">
        <v>289</v>
      </c>
      <c r="B348"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48" s="24" t="s">
        <v>174</v>
      </c>
    </row>
    <row r="349" spans="1:3" ht="18" customHeight="1" x14ac:dyDescent="0.2">
      <c r="A349" s="3" t="s">
        <v>289</v>
      </c>
      <c r="B349"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49" s="24" t="s">
        <v>174</v>
      </c>
    </row>
    <row r="350" spans="1:3" ht="18" customHeight="1" x14ac:dyDescent="0.2">
      <c r="A350" s="3" t="s">
        <v>289</v>
      </c>
      <c r="B350"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50" s="24" t="s">
        <v>174</v>
      </c>
    </row>
    <row r="351" spans="1:3" ht="18" customHeight="1" x14ac:dyDescent="0.2">
      <c r="A351" s="3" t="s">
        <v>289</v>
      </c>
      <c r="B351"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51" s="24" t="s">
        <v>174</v>
      </c>
    </row>
    <row r="352" spans="1:3" ht="18" customHeight="1" x14ac:dyDescent="0.2">
      <c r="A352" s="3" t="s">
        <v>289</v>
      </c>
      <c r="B352"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52" s="24" t="s">
        <v>174</v>
      </c>
    </row>
    <row r="353" spans="1:3" ht="18" customHeight="1" x14ac:dyDescent="0.2">
      <c r="A353" s="3" t="s">
        <v>289</v>
      </c>
      <c r="B353"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53" s="24" t="s">
        <v>174</v>
      </c>
    </row>
    <row r="354" spans="1:3" ht="18" customHeight="1" x14ac:dyDescent="0.2">
      <c r="A354" s="3" t="s">
        <v>289</v>
      </c>
      <c r="B354"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54" s="24" t="s">
        <v>174</v>
      </c>
    </row>
    <row r="355" spans="1:3" ht="18" customHeight="1" x14ac:dyDescent="0.2">
      <c r="A355" s="3" t="s">
        <v>289</v>
      </c>
      <c r="B355"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55" s="24" t="s">
        <v>174</v>
      </c>
    </row>
    <row r="356" spans="1:3" ht="18" customHeight="1" x14ac:dyDescent="0.2">
      <c r="A356" s="3" t="s">
        <v>289</v>
      </c>
      <c r="B356"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56" s="24" t="s">
        <v>174</v>
      </c>
    </row>
    <row r="357" spans="1:3" ht="18" customHeight="1" x14ac:dyDescent="0.2">
      <c r="A357" s="3" t="s">
        <v>289</v>
      </c>
      <c r="B357"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57" s="24" t="s">
        <v>174</v>
      </c>
    </row>
    <row r="358" spans="1:3" ht="18" customHeight="1" x14ac:dyDescent="0.2">
      <c r="A358" s="3" t="s">
        <v>289</v>
      </c>
      <c r="B358"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58" s="24" t="s">
        <v>174</v>
      </c>
    </row>
    <row r="359" spans="1:3" ht="18" customHeight="1" x14ac:dyDescent="0.2">
      <c r="A359" s="3" t="s">
        <v>289</v>
      </c>
      <c r="B359"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59" s="24" t="s">
        <v>174</v>
      </c>
    </row>
    <row r="360" spans="1:3" ht="18" customHeight="1" x14ac:dyDescent="0.2">
      <c r="A360" s="3" t="s">
        <v>289</v>
      </c>
      <c r="B360"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60" s="24" t="s">
        <v>174</v>
      </c>
    </row>
    <row r="361" spans="1:3" ht="18" customHeight="1" x14ac:dyDescent="0.2">
      <c r="A361" s="3" t="s">
        <v>289</v>
      </c>
      <c r="B361"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61" s="24" t="s">
        <v>174</v>
      </c>
    </row>
    <row r="362" spans="1:3" ht="18" customHeight="1" x14ac:dyDescent="0.2">
      <c r="A362" s="3" t="s">
        <v>289</v>
      </c>
      <c r="B362"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62" s="24" t="s">
        <v>174</v>
      </c>
    </row>
    <row r="363" spans="1:3" ht="18" customHeight="1" x14ac:dyDescent="0.2">
      <c r="A363" s="3" t="s">
        <v>289</v>
      </c>
      <c r="B363"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63" s="24" t="s">
        <v>174</v>
      </c>
    </row>
    <row r="364" spans="1:3" ht="18" customHeight="1" x14ac:dyDescent="0.2">
      <c r="A364" s="3" t="s">
        <v>289</v>
      </c>
      <c r="B364"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64" s="24" t="s">
        <v>174</v>
      </c>
    </row>
    <row r="365" spans="1:3" ht="18" customHeight="1" x14ac:dyDescent="0.2">
      <c r="A365" s="3" t="s">
        <v>289</v>
      </c>
      <c r="B365"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65" s="24" t="s">
        <v>174</v>
      </c>
    </row>
    <row r="366" spans="1:3" ht="18" customHeight="1" x14ac:dyDescent="0.2">
      <c r="A366" s="3" t="s">
        <v>289</v>
      </c>
      <c r="B366"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66" s="24" t="s">
        <v>174</v>
      </c>
    </row>
    <row r="367" spans="1:3" ht="18" customHeight="1" x14ac:dyDescent="0.2">
      <c r="A367" s="3" t="s">
        <v>289</v>
      </c>
      <c r="B367"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67" s="24" t="s">
        <v>174</v>
      </c>
    </row>
    <row r="368" spans="1:3" ht="18" customHeight="1" x14ac:dyDescent="0.2">
      <c r="A368" s="3" t="s">
        <v>289</v>
      </c>
      <c r="B368"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68" s="24" t="s">
        <v>174</v>
      </c>
    </row>
    <row r="369" spans="1:3" ht="18" customHeight="1" x14ac:dyDescent="0.2">
      <c r="A369" s="3" t="s">
        <v>289</v>
      </c>
      <c r="B369"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69" s="24" t="s">
        <v>174</v>
      </c>
    </row>
    <row r="370" spans="1:3" ht="18" customHeight="1" x14ac:dyDescent="0.2">
      <c r="A370" s="3" t="s">
        <v>289</v>
      </c>
      <c r="B370"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70" s="24" t="s">
        <v>174</v>
      </c>
    </row>
    <row r="371" spans="1:3" ht="18" customHeight="1" x14ac:dyDescent="0.2">
      <c r="A371" s="3" t="s">
        <v>289</v>
      </c>
      <c r="B371"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71" s="24" t="s">
        <v>174</v>
      </c>
    </row>
    <row r="372" spans="1:3" ht="18" customHeight="1" x14ac:dyDescent="0.2">
      <c r="A372" s="3" t="s">
        <v>289</v>
      </c>
      <c r="B372"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72" s="24" t="s">
        <v>174</v>
      </c>
    </row>
    <row r="373" spans="1:3" ht="18" customHeight="1" x14ac:dyDescent="0.2">
      <c r="A373" s="3" t="s">
        <v>289</v>
      </c>
      <c r="B373"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73" s="24" t="s">
        <v>174</v>
      </c>
    </row>
    <row r="374" spans="1:3" ht="18" customHeight="1" x14ac:dyDescent="0.2">
      <c r="A374" s="3" t="s">
        <v>289</v>
      </c>
      <c r="B374"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74" s="24" t="s">
        <v>174</v>
      </c>
    </row>
    <row r="375" spans="1:3" ht="18" customHeight="1" x14ac:dyDescent="0.2">
      <c r="A375" s="3" t="s">
        <v>289</v>
      </c>
      <c r="B375"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75" s="24" t="s">
        <v>174</v>
      </c>
    </row>
    <row r="376" spans="1:3" ht="18" customHeight="1" x14ac:dyDescent="0.2">
      <c r="A376" s="3" t="s">
        <v>289</v>
      </c>
      <c r="B376"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76" s="24" t="s">
        <v>174</v>
      </c>
    </row>
    <row r="377" spans="1:3" ht="18" customHeight="1" x14ac:dyDescent="0.2">
      <c r="A377" s="3" t="s">
        <v>289</v>
      </c>
      <c r="B377"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77" s="24" t="s">
        <v>174</v>
      </c>
    </row>
    <row r="378" spans="1:3" ht="18" customHeight="1" x14ac:dyDescent="0.2">
      <c r="A378" s="3" t="s">
        <v>289</v>
      </c>
      <c r="B378"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78" s="24" t="s">
        <v>174</v>
      </c>
    </row>
    <row r="379" spans="1:3" ht="18" customHeight="1" x14ac:dyDescent="0.2">
      <c r="A379" s="3" t="s">
        <v>289</v>
      </c>
      <c r="B379"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79" s="24" t="s">
        <v>174</v>
      </c>
    </row>
    <row r="380" spans="1:3" ht="18" customHeight="1" x14ac:dyDescent="0.2">
      <c r="A380" s="3" t="s">
        <v>289</v>
      </c>
      <c r="B380"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80" s="24" t="s">
        <v>174</v>
      </c>
    </row>
    <row r="381" spans="1:3" ht="18" customHeight="1" x14ac:dyDescent="0.2">
      <c r="A381" s="3" t="s">
        <v>289</v>
      </c>
      <c r="B381"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81" s="24" t="s">
        <v>174</v>
      </c>
    </row>
    <row r="382" spans="1:3" ht="18" customHeight="1" x14ac:dyDescent="0.2">
      <c r="A382" s="3" t="s">
        <v>289</v>
      </c>
      <c r="B382"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82" s="24" t="s">
        <v>174</v>
      </c>
    </row>
    <row r="383" spans="1:3" ht="18" customHeight="1" x14ac:dyDescent="0.2">
      <c r="A383" s="3" t="s">
        <v>289</v>
      </c>
      <c r="B383"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83" s="24" t="s">
        <v>174</v>
      </c>
    </row>
    <row r="384" spans="1:3" ht="18" customHeight="1" x14ac:dyDescent="0.2">
      <c r="A384" s="3" t="s">
        <v>289</v>
      </c>
      <c r="B384"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84" s="24" t="s">
        <v>174</v>
      </c>
    </row>
    <row r="385" spans="1:3" ht="18" customHeight="1" x14ac:dyDescent="0.2">
      <c r="A385" s="3" t="s">
        <v>289</v>
      </c>
      <c r="B385"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85" s="24" t="s">
        <v>174</v>
      </c>
    </row>
    <row r="386" spans="1:3" ht="18" customHeight="1" x14ac:dyDescent="0.2">
      <c r="A386" s="3" t="s">
        <v>289</v>
      </c>
      <c r="B386" s="6" t="str">
        <f t="shared" si="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86" s="24" t="s">
        <v>174</v>
      </c>
    </row>
    <row r="387" spans="1:3" ht="18" customHeight="1" x14ac:dyDescent="0.2">
      <c r="A387" s="3" t="s">
        <v>289</v>
      </c>
      <c r="B387" s="6" t="str">
        <f t="shared" ref="B387:B450" si="6">IF(ISBLANK(A387)=TRUE,B386,B386&amp;","&amp;A387)</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87" s="24" t="s">
        <v>174</v>
      </c>
    </row>
    <row r="388" spans="1:3" ht="18" customHeight="1" x14ac:dyDescent="0.2">
      <c r="A388" s="3" t="s">
        <v>289</v>
      </c>
      <c r="B388"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88" s="24" t="s">
        <v>174</v>
      </c>
    </row>
    <row r="389" spans="1:3" ht="18" customHeight="1" x14ac:dyDescent="0.2">
      <c r="A389" s="3" t="s">
        <v>289</v>
      </c>
      <c r="B389"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89" s="24" t="s">
        <v>174</v>
      </c>
    </row>
    <row r="390" spans="1:3" ht="18" customHeight="1" x14ac:dyDescent="0.2">
      <c r="A390" s="3" t="s">
        <v>289</v>
      </c>
      <c r="B390"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90" s="24" t="s">
        <v>174</v>
      </c>
    </row>
    <row r="391" spans="1:3" ht="18" customHeight="1" x14ac:dyDescent="0.2">
      <c r="A391" s="3" t="s">
        <v>289</v>
      </c>
      <c r="B391"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91" s="24" t="s">
        <v>174</v>
      </c>
    </row>
    <row r="392" spans="1:3" ht="18" customHeight="1" x14ac:dyDescent="0.2">
      <c r="A392" s="3" t="s">
        <v>289</v>
      </c>
      <c r="B392"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92" s="24" t="s">
        <v>174</v>
      </c>
    </row>
    <row r="393" spans="1:3" ht="18" customHeight="1" x14ac:dyDescent="0.2">
      <c r="A393" s="3" t="s">
        <v>289</v>
      </c>
      <c r="B393"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93" s="24" t="s">
        <v>174</v>
      </c>
    </row>
    <row r="394" spans="1:3" ht="18" customHeight="1" x14ac:dyDescent="0.2">
      <c r="A394" s="3" t="s">
        <v>289</v>
      </c>
      <c r="B394"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94" s="24" t="s">
        <v>174</v>
      </c>
    </row>
    <row r="395" spans="1:3" ht="18" customHeight="1" x14ac:dyDescent="0.2">
      <c r="A395" s="3" t="s">
        <v>289</v>
      </c>
      <c r="B395"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95" s="24" t="s">
        <v>174</v>
      </c>
    </row>
    <row r="396" spans="1:3" ht="18" customHeight="1" x14ac:dyDescent="0.2">
      <c r="A396" s="3" t="s">
        <v>289</v>
      </c>
      <c r="B396"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96" s="24" t="s">
        <v>174</v>
      </c>
    </row>
    <row r="397" spans="1:3" ht="18" customHeight="1" x14ac:dyDescent="0.2">
      <c r="A397" s="3" t="s">
        <v>289</v>
      </c>
      <c r="B397"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97" s="24" t="s">
        <v>174</v>
      </c>
    </row>
    <row r="398" spans="1:3" ht="18" customHeight="1" x14ac:dyDescent="0.2">
      <c r="A398" s="3" t="s">
        <v>289</v>
      </c>
      <c r="B398"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98" s="24" t="s">
        <v>174</v>
      </c>
    </row>
    <row r="399" spans="1:3" ht="18" customHeight="1" x14ac:dyDescent="0.2">
      <c r="A399" s="3" t="s">
        <v>289</v>
      </c>
      <c r="B399"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399" s="24" t="s">
        <v>174</v>
      </c>
    </row>
    <row r="400" spans="1:3" ht="18" customHeight="1" x14ac:dyDescent="0.2">
      <c r="A400" s="3" t="s">
        <v>289</v>
      </c>
      <c r="B400"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00" s="24" t="s">
        <v>174</v>
      </c>
    </row>
    <row r="401" spans="1:3" ht="18" customHeight="1" x14ac:dyDescent="0.2">
      <c r="A401" s="3" t="s">
        <v>289</v>
      </c>
      <c r="B401"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01" s="24" t="s">
        <v>174</v>
      </c>
    </row>
    <row r="402" spans="1:3" ht="18" customHeight="1" x14ac:dyDescent="0.2">
      <c r="A402" s="3" t="s">
        <v>289</v>
      </c>
      <c r="B402"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02" s="24" t="s">
        <v>174</v>
      </c>
    </row>
    <row r="403" spans="1:3" ht="18" customHeight="1" x14ac:dyDescent="0.2">
      <c r="A403" s="3" t="s">
        <v>289</v>
      </c>
      <c r="B403"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03" s="24" t="s">
        <v>174</v>
      </c>
    </row>
    <row r="404" spans="1:3" ht="18" customHeight="1" x14ac:dyDescent="0.2">
      <c r="A404" s="3" t="s">
        <v>289</v>
      </c>
      <c r="B404"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04" s="24" t="s">
        <v>174</v>
      </c>
    </row>
    <row r="405" spans="1:3" ht="18" customHeight="1" x14ac:dyDescent="0.2">
      <c r="A405" s="3" t="s">
        <v>289</v>
      </c>
      <c r="B405"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05" s="24" t="s">
        <v>174</v>
      </c>
    </row>
    <row r="406" spans="1:3" ht="18" customHeight="1" x14ac:dyDescent="0.2">
      <c r="A406" s="3" t="s">
        <v>289</v>
      </c>
      <c r="B406"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06" s="24" t="s">
        <v>174</v>
      </c>
    </row>
    <row r="407" spans="1:3" ht="18" customHeight="1" x14ac:dyDescent="0.2">
      <c r="A407" s="3" t="s">
        <v>289</v>
      </c>
      <c r="B407"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07" s="24" t="s">
        <v>174</v>
      </c>
    </row>
    <row r="408" spans="1:3" ht="18" customHeight="1" x14ac:dyDescent="0.2">
      <c r="A408" s="3" t="s">
        <v>289</v>
      </c>
      <c r="B408"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08" s="24" t="s">
        <v>174</v>
      </c>
    </row>
    <row r="409" spans="1:3" ht="18" customHeight="1" x14ac:dyDescent="0.2">
      <c r="A409" s="3" t="s">
        <v>289</v>
      </c>
      <c r="B409"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09" s="24" t="s">
        <v>174</v>
      </c>
    </row>
    <row r="410" spans="1:3" ht="18" customHeight="1" x14ac:dyDescent="0.2">
      <c r="A410" s="3" t="s">
        <v>289</v>
      </c>
      <c r="B410"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10" s="24" t="s">
        <v>174</v>
      </c>
    </row>
    <row r="411" spans="1:3" ht="18" customHeight="1" x14ac:dyDescent="0.2">
      <c r="A411" s="3" t="s">
        <v>289</v>
      </c>
      <c r="B411"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11" s="24" t="s">
        <v>174</v>
      </c>
    </row>
    <row r="412" spans="1:3" ht="18" customHeight="1" x14ac:dyDescent="0.2">
      <c r="A412" s="3" t="s">
        <v>289</v>
      </c>
      <c r="B412"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12" s="24" t="s">
        <v>174</v>
      </c>
    </row>
    <row r="413" spans="1:3" ht="18" customHeight="1" x14ac:dyDescent="0.2">
      <c r="A413" s="3" t="s">
        <v>289</v>
      </c>
      <c r="B413"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13" s="24" t="s">
        <v>174</v>
      </c>
    </row>
    <row r="414" spans="1:3" ht="18" customHeight="1" x14ac:dyDescent="0.2">
      <c r="A414" s="3" t="s">
        <v>289</v>
      </c>
      <c r="B414"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14" s="24" t="s">
        <v>174</v>
      </c>
    </row>
    <row r="415" spans="1:3" ht="18" customHeight="1" x14ac:dyDescent="0.2">
      <c r="A415" s="3" t="s">
        <v>289</v>
      </c>
      <c r="B415"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15" s="24" t="s">
        <v>174</v>
      </c>
    </row>
    <row r="416" spans="1:3" ht="18" customHeight="1" x14ac:dyDescent="0.2">
      <c r="A416" s="3" t="s">
        <v>289</v>
      </c>
      <c r="B416"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16" s="24" t="s">
        <v>174</v>
      </c>
    </row>
    <row r="417" spans="1:3" ht="18" customHeight="1" x14ac:dyDescent="0.2">
      <c r="A417" s="3" t="s">
        <v>289</v>
      </c>
      <c r="B417"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17" s="24" t="s">
        <v>174</v>
      </c>
    </row>
    <row r="418" spans="1:3" ht="18" customHeight="1" x14ac:dyDescent="0.2">
      <c r="A418" s="3" t="s">
        <v>289</v>
      </c>
      <c r="B418"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18" s="24" t="s">
        <v>174</v>
      </c>
    </row>
    <row r="419" spans="1:3" ht="18" customHeight="1" x14ac:dyDescent="0.2">
      <c r="A419" s="3" t="s">
        <v>289</v>
      </c>
      <c r="B419"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19" s="24" t="s">
        <v>174</v>
      </c>
    </row>
    <row r="420" spans="1:3" ht="18" customHeight="1" x14ac:dyDescent="0.2">
      <c r="A420" s="3" t="s">
        <v>289</v>
      </c>
      <c r="B420"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20" s="24" t="s">
        <v>174</v>
      </c>
    </row>
    <row r="421" spans="1:3" ht="18" customHeight="1" x14ac:dyDescent="0.2">
      <c r="A421" s="3" t="s">
        <v>289</v>
      </c>
      <c r="B421"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21" s="24" t="s">
        <v>174</v>
      </c>
    </row>
    <row r="422" spans="1:3" ht="18" customHeight="1" x14ac:dyDescent="0.2">
      <c r="A422" s="3" t="s">
        <v>289</v>
      </c>
      <c r="B422"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22" s="24" t="s">
        <v>174</v>
      </c>
    </row>
    <row r="423" spans="1:3" ht="18" customHeight="1" x14ac:dyDescent="0.2">
      <c r="A423" s="3" t="s">
        <v>289</v>
      </c>
      <c r="B423"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23" s="24" t="s">
        <v>174</v>
      </c>
    </row>
    <row r="424" spans="1:3" ht="18" customHeight="1" x14ac:dyDescent="0.2">
      <c r="A424" s="3" t="s">
        <v>289</v>
      </c>
      <c r="B424"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24" s="24" t="s">
        <v>174</v>
      </c>
    </row>
    <row r="425" spans="1:3" ht="18" customHeight="1" x14ac:dyDescent="0.2">
      <c r="A425" s="3" t="s">
        <v>289</v>
      </c>
      <c r="B425"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25" s="24" t="s">
        <v>174</v>
      </c>
    </row>
    <row r="426" spans="1:3" ht="18" customHeight="1" x14ac:dyDescent="0.2">
      <c r="A426" s="3" t="s">
        <v>289</v>
      </c>
      <c r="B426"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26" s="24" t="s">
        <v>174</v>
      </c>
    </row>
    <row r="427" spans="1:3" ht="18" customHeight="1" x14ac:dyDescent="0.2">
      <c r="A427" s="3" t="s">
        <v>289</v>
      </c>
      <c r="B427"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27" s="24" t="s">
        <v>174</v>
      </c>
    </row>
    <row r="428" spans="1:3" ht="18" customHeight="1" x14ac:dyDescent="0.2">
      <c r="A428" s="3" t="s">
        <v>289</v>
      </c>
      <c r="B428"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28" s="24" t="s">
        <v>174</v>
      </c>
    </row>
    <row r="429" spans="1:3" ht="18" customHeight="1" x14ac:dyDescent="0.2">
      <c r="A429" s="3" t="s">
        <v>289</v>
      </c>
      <c r="B429"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29" s="24" t="s">
        <v>174</v>
      </c>
    </row>
    <row r="430" spans="1:3" ht="18" customHeight="1" x14ac:dyDescent="0.2">
      <c r="A430" s="3" t="s">
        <v>289</v>
      </c>
      <c r="B430"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30" s="24" t="s">
        <v>174</v>
      </c>
    </row>
    <row r="431" spans="1:3" ht="18" customHeight="1" x14ac:dyDescent="0.2">
      <c r="A431" s="3" t="s">
        <v>289</v>
      </c>
      <c r="B431"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31" s="24" t="s">
        <v>174</v>
      </c>
    </row>
    <row r="432" spans="1:3" ht="18" customHeight="1" x14ac:dyDescent="0.2">
      <c r="A432" s="3" t="s">
        <v>289</v>
      </c>
      <c r="B432"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32" s="24" t="s">
        <v>174</v>
      </c>
    </row>
    <row r="433" spans="1:3" ht="18" customHeight="1" x14ac:dyDescent="0.2">
      <c r="A433" s="3" t="s">
        <v>289</v>
      </c>
      <c r="B433"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33" s="24" t="s">
        <v>174</v>
      </c>
    </row>
    <row r="434" spans="1:3" ht="18" customHeight="1" x14ac:dyDescent="0.2">
      <c r="A434" s="3" t="s">
        <v>289</v>
      </c>
      <c r="B434"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34" s="24" t="s">
        <v>174</v>
      </c>
    </row>
    <row r="435" spans="1:3" ht="18" customHeight="1" x14ac:dyDescent="0.2">
      <c r="A435" s="3" t="s">
        <v>289</v>
      </c>
      <c r="B435"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35" s="24" t="s">
        <v>174</v>
      </c>
    </row>
    <row r="436" spans="1:3" ht="18" customHeight="1" x14ac:dyDescent="0.2">
      <c r="A436" s="3" t="s">
        <v>289</v>
      </c>
      <c r="B436"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36" s="24" t="s">
        <v>174</v>
      </c>
    </row>
    <row r="437" spans="1:3" ht="18" customHeight="1" x14ac:dyDescent="0.2">
      <c r="A437" s="3" t="s">
        <v>289</v>
      </c>
      <c r="B437"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37" s="24" t="s">
        <v>174</v>
      </c>
    </row>
    <row r="438" spans="1:3" ht="18" customHeight="1" x14ac:dyDescent="0.2">
      <c r="A438" s="3" t="s">
        <v>289</v>
      </c>
      <c r="B438"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38" s="24" t="s">
        <v>174</v>
      </c>
    </row>
    <row r="439" spans="1:3" ht="18" customHeight="1" x14ac:dyDescent="0.2">
      <c r="A439" s="3" t="s">
        <v>289</v>
      </c>
      <c r="B439"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39" s="24" t="s">
        <v>174</v>
      </c>
    </row>
    <row r="440" spans="1:3" ht="18" customHeight="1" x14ac:dyDescent="0.2">
      <c r="A440" s="3" t="s">
        <v>289</v>
      </c>
      <c r="B440"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40" s="24" t="s">
        <v>174</v>
      </c>
    </row>
    <row r="441" spans="1:3" ht="18" customHeight="1" x14ac:dyDescent="0.2">
      <c r="A441" s="3" t="s">
        <v>289</v>
      </c>
      <c r="B441"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41" s="24" t="s">
        <v>174</v>
      </c>
    </row>
    <row r="442" spans="1:3" ht="18" customHeight="1" x14ac:dyDescent="0.2">
      <c r="A442" s="3" t="s">
        <v>289</v>
      </c>
      <c r="B442"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42" s="24" t="s">
        <v>174</v>
      </c>
    </row>
    <row r="443" spans="1:3" ht="18" customHeight="1" x14ac:dyDescent="0.2">
      <c r="A443" s="3" t="s">
        <v>289</v>
      </c>
      <c r="B443"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43" s="24" t="s">
        <v>174</v>
      </c>
    </row>
    <row r="444" spans="1:3" ht="18" customHeight="1" x14ac:dyDescent="0.2">
      <c r="A444" s="3" t="s">
        <v>289</v>
      </c>
      <c r="B444"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44" s="24" t="s">
        <v>174</v>
      </c>
    </row>
    <row r="445" spans="1:3" ht="18" customHeight="1" x14ac:dyDescent="0.2">
      <c r="A445" s="3" t="s">
        <v>289</v>
      </c>
      <c r="B445"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45" s="24" t="s">
        <v>174</v>
      </c>
    </row>
    <row r="446" spans="1:3" ht="18" customHeight="1" x14ac:dyDescent="0.2">
      <c r="A446" s="3" t="s">
        <v>289</v>
      </c>
      <c r="B446"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46" s="24" t="s">
        <v>174</v>
      </c>
    </row>
    <row r="447" spans="1:3" ht="18" customHeight="1" x14ac:dyDescent="0.2">
      <c r="A447" s="3" t="s">
        <v>289</v>
      </c>
      <c r="B447"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47" s="24" t="s">
        <v>174</v>
      </c>
    </row>
    <row r="448" spans="1:3" ht="18" customHeight="1" x14ac:dyDescent="0.2">
      <c r="A448" s="3" t="s">
        <v>289</v>
      </c>
      <c r="B448"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48" s="24" t="s">
        <v>174</v>
      </c>
    </row>
    <row r="449" spans="1:3" ht="18" customHeight="1" x14ac:dyDescent="0.2">
      <c r="A449" s="3" t="s">
        <v>289</v>
      </c>
      <c r="B449"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49" s="24" t="s">
        <v>174</v>
      </c>
    </row>
    <row r="450" spans="1:3" ht="18" customHeight="1" x14ac:dyDescent="0.2">
      <c r="A450" s="3" t="s">
        <v>289</v>
      </c>
      <c r="B450" s="6" t="str">
        <f t="shared" si="6"/>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50" s="24" t="s">
        <v>174</v>
      </c>
    </row>
    <row r="451" spans="1:3" ht="18" customHeight="1" x14ac:dyDescent="0.2">
      <c r="A451" s="3" t="s">
        <v>289</v>
      </c>
      <c r="B451" s="6" t="str">
        <f t="shared" ref="B451:B514" si="7">IF(ISBLANK(A451)=TRUE,B450,B450&amp;","&amp;A451)</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51" s="24" t="s">
        <v>174</v>
      </c>
    </row>
    <row r="452" spans="1:3" ht="18" customHeight="1" x14ac:dyDescent="0.2">
      <c r="A452" s="3" t="s">
        <v>289</v>
      </c>
      <c r="B452"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52" s="24" t="s">
        <v>174</v>
      </c>
    </row>
    <row r="453" spans="1:3" ht="18" customHeight="1" x14ac:dyDescent="0.2">
      <c r="A453" s="3" t="s">
        <v>289</v>
      </c>
      <c r="B453"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53" s="24" t="s">
        <v>174</v>
      </c>
    </row>
    <row r="454" spans="1:3" ht="18" customHeight="1" x14ac:dyDescent="0.2">
      <c r="A454" s="3" t="s">
        <v>289</v>
      </c>
      <c r="B454"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54" s="24" t="s">
        <v>174</v>
      </c>
    </row>
    <row r="455" spans="1:3" ht="18" customHeight="1" x14ac:dyDescent="0.2">
      <c r="A455" s="3" t="s">
        <v>289</v>
      </c>
      <c r="B455"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55" s="24" t="s">
        <v>174</v>
      </c>
    </row>
    <row r="456" spans="1:3" ht="18" customHeight="1" x14ac:dyDescent="0.2">
      <c r="A456" s="3" t="s">
        <v>289</v>
      </c>
      <c r="B456"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56" s="24" t="s">
        <v>174</v>
      </c>
    </row>
    <row r="457" spans="1:3" ht="18" customHeight="1" x14ac:dyDescent="0.2">
      <c r="A457" s="3" t="s">
        <v>289</v>
      </c>
      <c r="B457"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57" s="24" t="s">
        <v>174</v>
      </c>
    </row>
    <row r="458" spans="1:3" ht="18" customHeight="1" x14ac:dyDescent="0.2">
      <c r="A458" s="3" t="s">
        <v>289</v>
      </c>
      <c r="B458"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58" s="24" t="s">
        <v>174</v>
      </c>
    </row>
    <row r="459" spans="1:3" ht="18" customHeight="1" x14ac:dyDescent="0.2">
      <c r="A459" s="3" t="s">
        <v>289</v>
      </c>
      <c r="B459"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59" s="24" t="s">
        <v>174</v>
      </c>
    </row>
    <row r="460" spans="1:3" ht="18" customHeight="1" x14ac:dyDescent="0.2">
      <c r="A460" s="3" t="s">
        <v>289</v>
      </c>
      <c r="B460"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60" s="24" t="s">
        <v>174</v>
      </c>
    </row>
    <row r="461" spans="1:3" ht="18" customHeight="1" x14ac:dyDescent="0.2">
      <c r="A461" s="3" t="s">
        <v>289</v>
      </c>
      <c r="B461"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61" s="24" t="s">
        <v>174</v>
      </c>
    </row>
    <row r="462" spans="1:3" ht="18" customHeight="1" x14ac:dyDescent="0.2">
      <c r="A462" s="3" t="s">
        <v>289</v>
      </c>
      <c r="B462"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62" s="24" t="s">
        <v>174</v>
      </c>
    </row>
    <row r="463" spans="1:3" ht="18" customHeight="1" x14ac:dyDescent="0.2">
      <c r="A463" s="3" t="s">
        <v>289</v>
      </c>
      <c r="B463"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63" s="24" t="s">
        <v>174</v>
      </c>
    </row>
    <row r="464" spans="1:3" ht="18" customHeight="1" x14ac:dyDescent="0.2">
      <c r="A464" s="3" t="s">
        <v>289</v>
      </c>
      <c r="B464"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64" s="24" t="s">
        <v>174</v>
      </c>
    </row>
    <row r="465" spans="1:3" ht="18" customHeight="1" x14ac:dyDescent="0.2">
      <c r="A465" s="3" t="s">
        <v>289</v>
      </c>
      <c r="B465"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65" s="24" t="s">
        <v>174</v>
      </c>
    </row>
    <row r="466" spans="1:3" ht="18" customHeight="1" x14ac:dyDescent="0.2">
      <c r="A466" s="3" t="s">
        <v>289</v>
      </c>
      <c r="B466"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66" s="24" t="s">
        <v>174</v>
      </c>
    </row>
    <row r="467" spans="1:3" ht="18" customHeight="1" x14ac:dyDescent="0.2">
      <c r="A467" s="3" t="s">
        <v>289</v>
      </c>
      <c r="B467"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67" s="24" t="s">
        <v>174</v>
      </c>
    </row>
    <row r="468" spans="1:3" ht="18" customHeight="1" x14ac:dyDescent="0.2">
      <c r="A468" s="3" t="s">
        <v>289</v>
      </c>
      <c r="B468"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68" s="24" t="s">
        <v>174</v>
      </c>
    </row>
    <row r="469" spans="1:3" ht="18" customHeight="1" x14ac:dyDescent="0.2">
      <c r="A469" s="3" t="s">
        <v>289</v>
      </c>
      <c r="B469"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69" s="24" t="s">
        <v>174</v>
      </c>
    </row>
    <row r="470" spans="1:3" ht="18" customHeight="1" x14ac:dyDescent="0.2">
      <c r="A470" s="3" t="s">
        <v>289</v>
      </c>
      <c r="B470"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70" s="24" t="s">
        <v>174</v>
      </c>
    </row>
    <row r="471" spans="1:3" ht="18" customHeight="1" x14ac:dyDescent="0.2">
      <c r="A471" s="3" t="s">
        <v>289</v>
      </c>
      <c r="B471"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71" s="24" t="s">
        <v>174</v>
      </c>
    </row>
    <row r="472" spans="1:3" ht="18" customHeight="1" x14ac:dyDescent="0.2">
      <c r="A472" s="3" t="s">
        <v>289</v>
      </c>
      <c r="B472"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72" s="24" t="s">
        <v>174</v>
      </c>
    </row>
    <row r="473" spans="1:3" ht="18" customHeight="1" x14ac:dyDescent="0.2">
      <c r="A473" s="3" t="s">
        <v>289</v>
      </c>
      <c r="B473"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73" s="24" t="s">
        <v>174</v>
      </c>
    </row>
    <row r="474" spans="1:3" ht="18" customHeight="1" x14ac:dyDescent="0.2">
      <c r="A474" s="3" t="s">
        <v>289</v>
      </c>
      <c r="B474"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74" s="24" t="s">
        <v>174</v>
      </c>
    </row>
    <row r="475" spans="1:3" ht="18" customHeight="1" x14ac:dyDescent="0.2">
      <c r="A475" s="3" t="s">
        <v>289</v>
      </c>
      <c r="B475"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75" s="24" t="s">
        <v>174</v>
      </c>
    </row>
    <row r="476" spans="1:3" ht="18" customHeight="1" x14ac:dyDescent="0.2">
      <c r="A476" s="3" t="s">
        <v>289</v>
      </c>
      <c r="B476"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76" s="24" t="s">
        <v>174</v>
      </c>
    </row>
    <row r="477" spans="1:3" ht="18" customHeight="1" x14ac:dyDescent="0.2">
      <c r="A477" s="3" t="s">
        <v>289</v>
      </c>
      <c r="B477"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77" s="24" t="s">
        <v>174</v>
      </c>
    </row>
    <row r="478" spans="1:3" ht="18" customHeight="1" x14ac:dyDescent="0.2">
      <c r="A478" s="3" t="s">
        <v>289</v>
      </c>
      <c r="B478"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78" s="24" t="s">
        <v>174</v>
      </c>
    </row>
    <row r="479" spans="1:3" ht="18" customHeight="1" x14ac:dyDescent="0.2">
      <c r="A479" s="3" t="s">
        <v>289</v>
      </c>
      <c r="B479"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79" s="24" t="s">
        <v>174</v>
      </c>
    </row>
    <row r="480" spans="1:3" ht="18" customHeight="1" x14ac:dyDescent="0.2">
      <c r="A480" s="3" t="s">
        <v>289</v>
      </c>
      <c r="B480"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80" s="24" t="s">
        <v>174</v>
      </c>
    </row>
    <row r="481" spans="1:3" ht="18" customHeight="1" x14ac:dyDescent="0.2">
      <c r="A481" s="3" t="s">
        <v>289</v>
      </c>
      <c r="B481"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81" s="24" t="s">
        <v>174</v>
      </c>
    </row>
    <row r="482" spans="1:3" ht="18" customHeight="1" x14ac:dyDescent="0.2">
      <c r="A482" s="3" t="s">
        <v>289</v>
      </c>
      <c r="B482"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82" s="24" t="s">
        <v>174</v>
      </c>
    </row>
    <row r="483" spans="1:3" ht="18" customHeight="1" x14ac:dyDescent="0.2">
      <c r="A483" s="3" t="s">
        <v>289</v>
      </c>
      <c r="B483"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83" s="24" t="s">
        <v>174</v>
      </c>
    </row>
    <row r="484" spans="1:3" ht="18" customHeight="1" x14ac:dyDescent="0.2">
      <c r="A484" s="3" t="s">
        <v>289</v>
      </c>
      <c r="B484"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84" s="24" t="s">
        <v>174</v>
      </c>
    </row>
    <row r="485" spans="1:3" ht="18" customHeight="1" x14ac:dyDescent="0.2">
      <c r="A485" s="3" t="s">
        <v>289</v>
      </c>
      <c r="B485"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85" s="24" t="s">
        <v>174</v>
      </c>
    </row>
    <row r="486" spans="1:3" ht="18" customHeight="1" x14ac:dyDescent="0.2">
      <c r="A486" s="3" t="s">
        <v>289</v>
      </c>
      <c r="B486"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86" s="24" t="s">
        <v>174</v>
      </c>
    </row>
    <row r="487" spans="1:3" ht="18" customHeight="1" x14ac:dyDescent="0.2">
      <c r="A487" s="3" t="s">
        <v>289</v>
      </c>
      <c r="B487"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87" s="24" t="s">
        <v>174</v>
      </c>
    </row>
    <row r="488" spans="1:3" ht="18" customHeight="1" x14ac:dyDescent="0.2">
      <c r="A488" s="3" t="s">
        <v>289</v>
      </c>
      <c r="B488"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88" s="24" t="s">
        <v>174</v>
      </c>
    </row>
    <row r="489" spans="1:3" ht="18" customHeight="1" x14ac:dyDescent="0.2">
      <c r="A489" s="3" t="s">
        <v>289</v>
      </c>
      <c r="B489"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89" s="24" t="s">
        <v>174</v>
      </c>
    </row>
    <row r="490" spans="1:3" ht="18" customHeight="1" x14ac:dyDescent="0.2">
      <c r="A490" s="3" t="s">
        <v>289</v>
      </c>
      <c r="B490"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90" s="24" t="s">
        <v>174</v>
      </c>
    </row>
    <row r="491" spans="1:3" ht="18" customHeight="1" x14ac:dyDescent="0.2">
      <c r="A491" s="3" t="s">
        <v>289</v>
      </c>
      <c r="B491"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91" s="24" t="s">
        <v>174</v>
      </c>
    </row>
    <row r="492" spans="1:3" ht="18" customHeight="1" x14ac:dyDescent="0.2">
      <c r="A492" s="3" t="s">
        <v>289</v>
      </c>
      <c r="B492"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92" s="24" t="s">
        <v>174</v>
      </c>
    </row>
    <row r="493" spans="1:3" ht="18" customHeight="1" x14ac:dyDescent="0.2">
      <c r="A493" s="3" t="s">
        <v>289</v>
      </c>
      <c r="B493"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93" s="24" t="s">
        <v>174</v>
      </c>
    </row>
    <row r="494" spans="1:3" ht="18" customHeight="1" x14ac:dyDescent="0.2">
      <c r="A494" s="3" t="s">
        <v>289</v>
      </c>
      <c r="B494"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94" s="24" t="s">
        <v>174</v>
      </c>
    </row>
    <row r="495" spans="1:3" ht="18" customHeight="1" x14ac:dyDescent="0.2">
      <c r="A495" s="3" t="s">
        <v>289</v>
      </c>
      <c r="B495"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95" s="24" t="s">
        <v>174</v>
      </c>
    </row>
    <row r="496" spans="1:3" ht="18" customHeight="1" x14ac:dyDescent="0.2">
      <c r="A496" s="3" t="s">
        <v>289</v>
      </c>
      <c r="B496"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96" s="24" t="s">
        <v>174</v>
      </c>
    </row>
    <row r="497" spans="1:3" ht="18" customHeight="1" x14ac:dyDescent="0.2">
      <c r="A497" s="3" t="s">
        <v>289</v>
      </c>
      <c r="B497"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97" s="24" t="s">
        <v>174</v>
      </c>
    </row>
    <row r="498" spans="1:3" ht="18" customHeight="1" x14ac:dyDescent="0.2">
      <c r="A498" s="3" t="s">
        <v>289</v>
      </c>
      <c r="B498"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98" s="24" t="s">
        <v>174</v>
      </c>
    </row>
    <row r="499" spans="1:3" ht="18" customHeight="1" x14ac:dyDescent="0.2">
      <c r="A499" s="3" t="s">
        <v>289</v>
      </c>
      <c r="B499"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499" s="24" t="s">
        <v>174</v>
      </c>
    </row>
    <row r="500" spans="1:3" ht="18" customHeight="1" x14ac:dyDescent="0.2">
      <c r="A500" s="3" t="s">
        <v>289</v>
      </c>
      <c r="B500"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00" s="24" t="s">
        <v>174</v>
      </c>
    </row>
    <row r="501" spans="1:3" ht="18" customHeight="1" x14ac:dyDescent="0.2">
      <c r="A501" s="3" t="s">
        <v>289</v>
      </c>
      <c r="B501"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01" s="24" t="s">
        <v>174</v>
      </c>
    </row>
    <row r="502" spans="1:3" ht="18" customHeight="1" x14ac:dyDescent="0.2">
      <c r="A502" s="3" t="s">
        <v>289</v>
      </c>
      <c r="B502"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02" s="24" t="s">
        <v>174</v>
      </c>
    </row>
    <row r="503" spans="1:3" ht="18" customHeight="1" x14ac:dyDescent="0.2">
      <c r="A503" s="3" t="s">
        <v>289</v>
      </c>
      <c r="B503"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03" s="24" t="s">
        <v>174</v>
      </c>
    </row>
    <row r="504" spans="1:3" ht="18" customHeight="1" x14ac:dyDescent="0.2">
      <c r="A504" s="3" t="s">
        <v>289</v>
      </c>
      <c r="B504"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04" s="24" t="s">
        <v>174</v>
      </c>
    </row>
    <row r="505" spans="1:3" ht="18" customHeight="1" x14ac:dyDescent="0.2">
      <c r="A505" s="3" t="s">
        <v>289</v>
      </c>
      <c r="B505"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05" s="24" t="s">
        <v>174</v>
      </c>
    </row>
    <row r="506" spans="1:3" ht="18" customHeight="1" x14ac:dyDescent="0.2">
      <c r="A506" s="3" t="s">
        <v>289</v>
      </c>
      <c r="B506"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06" s="24" t="s">
        <v>174</v>
      </c>
    </row>
    <row r="507" spans="1:3" ht="18" customHeight="1" x14ac:dyDescent="0.2">
      <c r="A507" s="3" t="s">
        <v>289</v>
      </c>
      <c r="B507"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07" s="24" t="s">
        <v>174</v>
      </c>
    </row>
    <row r="508" spans="1:3" ht="18" customHeight="1" x14ac:dyDescent="0.2">
      <c r="A508" s="3" t="s">
        <v>289</v>
      </c>
      <c r="B508"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08" s="24" t="s">
        <v>174</v>
      </c>
    </row>
    <row r="509" spans="1:3" ht="18" customHeight="1" x14ac:dyDescent="0.2">
      <c r="A509" s="3" t="s">
        <v>289</v>
      </c>
      <c r="B509"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09" s="24" t="s">
        <v>174</v>
      </c>
    </row>
    <row r="510" spans="1:3" ht="18" customHeight="1" x14ac:dyDescent="0.2">
      <c r="A510" s="3" t="s">
        <v>289</v>
      </c>
      <c r="B510"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10" s="24" t="s">
        <v>174</v>
      </c>
    </row>
    <row r="511" spans="1:3" ht="18" customHeight="1" x14ac:dyDescent="0.2">
      <c r="A511" s="3" t="s">
        <v>289</v>
      </c>
      <c r="B511"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11" s="24" t="s">
        <v>174</v>
      </c>
    </row>
    <row r="512" spans="1:3" ht="18" customHeight="1" x14ac:dyDescent="0.2">
      <c r="A512" s="3" t="s">
        <v>289</v>
      </c>
      <c r="B512"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12" s="24" t="s">
        <v>174</v>
      </c>
    </row>
    <row r="513" spans="1:3" ht="18" customHeight="1" x14ac:dyDescent="0.2">
      <c r="A513" s="3" t="s">
        <v>289</v>
      </c>
      <c r="B513"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13" s="24" t="s">
        <v>174</v>
      </c>
    </row>
    <row r="514" spans="1:3" ht="18" customHeight="1" x14ac:dyDescent="0.2">
      <c r="A514" s="3" t="s">
        <v>289</v>
      </c>
      <c r="B514" s="6" t="str">
        <f t="shared" si="7"/>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14" s="24" t="s">
        <v>174</v>
      </c>
    </row>
    <row r="515" spans="1:3" ht="18" customHeight="1" x14ac:dyDescent="0.2">
      <c r="A515" s="3" t="s">
        <v>289</v>
      </c>
      <c r="B515" s="6" t="str">
        <f t="shared" ref="B515:B578" si="8">IF(ISBLANK(A515)=TRUE,B514,B514&amp;","&amp;A515)</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15" s="24" t="s">
        <v>174</v>
      </c>
    </row>
    <row r="516" spans="1:3" ht="18" customHeight="1" x14ac:dyDescent="0.2">
      <c r="A516" s="3" t="s">
        <v>289</v>
      </c>
      <c r="B516"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16" s="24" t="s">
        <v>174</v>
      </c>
    </row>
    <row r="517" spans="1:3" ht="18" customHeight="1" x14ac:dyDescent="0.2">
      <c r="A517" s="3" t="s">
        <v>289</v>
      </c>
      <c r="B517"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17" s="24" t="s">
        <v>174</v>
      </c>
    </row>
    <row r="518" spans="1:3" ht="18" customHeight="1" x14ac:dyDescent="0.2">
      <c r="A518" s="3" t="s">
        <v>289</v>
      </c>
      <c r="B518"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18" s="24" t="s">
        <v>174</v>
      </c>
    </row>
    <row r="519" spans="1:3" ht="18" customHeight="1" x14ac:dyDescent="0.2">
      <c r="A519" s="3" t="s">
        <v>289</v>
      </c>
      <c r="B519"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19" s="24" t="s">
        <v>174</v>
      </c>
    </row>
    <row r="520" spans="1:3" ht="18" customHeight="1" x14ac:dyDescent="0.2">
      <c r="A520" s="3" t="s">
        <v>289</v>
      </c>
      <c r="B520"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20" s="24" t="s">
        <v>174</v>
      </c>
    </row>
    <row r="521" spans="1:3" ht="18" customHeight="1" x14ac:dyDescent="0.2">
      <c r="A521" s="3" t="s">
        <v>289</v>
      </c>
      <c r="B521"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21" s="24" t="s">
        <v>174</v>
      </c>
    </row>
    <row r="522" spans="1:3" ht="18" customHeight="1" x14ac:dyDescent="0.2">
      <c r="A522" s="3" t="s">
        <v>289</v>
      </c>
      <c r="B522"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22" s="24" t="s">
        <v>174</v>
      </c>
    </row>
    <row r="523" spans="1:3" ht="18" customHeight="1" x14ac:dyDescent="0.2">
      <c r="A523" s="3" t="s">
        <v>289</v>
      </c>
      <c r="B523"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23" s="24" t="s">
        <v>174</v>
      </c>
    </row>
    <row r="524" spans="1:3" ht="18" customHeight="1" x14ac:dyDescent="0.2">
      <c r="A524" s="3" t="s">
        <v>289</v>
      </c>
      <c r="B524"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24" s="24" t="s">
        <v>174</v>
      </c>
    </row>
    <row r="525" spans="1:3" ht="18" customHeight="1" x14ac:dyDescent="0.2">
      <c r="A525" s="3" t="s">
        <v>289</v>
      </c>
      <c r="B525"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25" s="24" t="s">
        <v>174</v>
      </c>
    </row>
    <row r="526" spans="1:3" ht="18" customHeight="1" x14ac:dyDescent="0.2">
      <c r="A526" s="3" t="s">
        <v>289</v>
      </c>
      <c r="B526"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26" s="24" t="s">
        <v>174</v>
      </c>
    </row>
    <row r="527" spans="1:3" ht="18" customHeight="1" x14ac:dyDescent="0.2">
      <c r="A527" s="3" t="s">
        <v>289</v>
      </c>
      <c r="B527"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27" s="24" t="s">
        <v>174</v>
      </c>
    </row>
    <row r="528" spans="1:3" ht="18" customHeight="1" x14ac:dyDescent="0.2">
      <c r="A528" s="3" t="s">
        <v>289</v>
      </c>
      <c r="B528"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28" s="24" t="s">
        <v>174</v>
      </c>
    </row>
    <row r="529" spans="1:3" ht="18" customHeight="1" x14ac:dyDescent="0.2">
      <c r="A529" s="3" t="s">
        <v>289</v>
      </c>
      <c r="B529"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29" s="24" t="s">
        <v>174</v>
      </c>
    </row>
    <row r="530" spans="1:3" ht="18" customHeight="1" x14ac:dyDescent="0.2">
      <c r="A530" s="3" t="s">
        <v>289</v>
      </c>
      <c r="B530"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30" s="24" t="s">
        <v>174</v>
      </c>
    </row>
    <row r="531" spans="1:3" ht="18" customHeight="1" x14ac:dyDescent="0.2">
      <c r="A531" s="3" t="s">
        <v>289</v>
      </c>
      <c r="B531"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31" s="24" t="s">
        <v>174</v>
      </c>
    </row>
    <row r="532" spans="1:3" ht="18" customHeight="1" x14ac:dyDescent="0.2">
      <c r="A532" s="3" t="s">
        <v>289</v>
      </c>
      <c r="B532"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32" s="24" t="s">
        <v>174</v>
      </c>
    </row>
    <row r="533" spans="1:3" ht="18" customHeight="1" x14ac:dyDescent="0.2">
      <c r="A533" s="3" t="s">
        <v>289</v>
      </c>
      <c r="B533"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33" s="24" t="s">
        <v>174</v>
      </c>
    </row>
    <row r="534" spans="1:3" ht="18" customHeight="1" x14ac:dyDescent="0.2">
      <c r="A534" s="3" t="s">
        <v>289</v>
      </c>
      <c r="B534"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34" s="24" t="s">
        <v>174</v>
      </c>
    </row>
    <row r="535" spans="1:3" ht="18" customHeight="1" x14ac:dyDescent="0.2">
      <c r="A535" s="3" t="s">
        <v>289</v>
      </c>
      <c r="B535"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35" s="24" t="s">
        <v>174</v>
      </c>
    </row>
    <row r="536" spans="1:3" ht="18" customHeight="1" x14ac:dyDescent="0.2">
      <c r="A536" s="3" t="s">
        <v>289</v>
      </c>
      <c r="B536"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36" s="24" t="s">
        <v>174</v>
      </c>
    </row>
    <row r="537" spans="1:3" ht="18" customHeight="1" x14ac:dyDescent="0.2">
      <c r="A537" s="3" t="s">
        <v>289</v>
      </c>
      <c r="B537"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37" s="24" t="s">
        <v>174</v>
      </c>
    </row>
    <row r="538" spans="1:3" ht="18" customHeight="1" x14ac:dyDescent="0.2">
      <c r="A538" s="3" t="s">
        <v>289</v>
      </c>
      <c r="B538"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38" s="24" t="s">
        <v>174</v>
      </c>
    </row>
    <row r="539" spans="1:3" ht="18" customHeight="1" x14ac:dyDescent="0.2">
      <c r="A539" s="3" t="s">
        <v>289</v>
      </c>
      <c r="B539"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39" s="24" t="s">
        <v>174</v>
      </c>
    </row>
    <row r="540" spans="1:3" ht="18" customHeight="1" x14ac:dyDescent="0.2">
      <c r="A540" s="3" t="s">
        <v>289</v>
      </c>
      <c r="B540"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40" s="24" t="s">
        <v>174</v>
      </c>
    </row>
    <row r="541" spans="1:3" ht="18" customHeight="1" x14ac:dyDescent="0.2">
      <c r="A541" s="3" t="s">
        <v>289</v>
      </c>
      <c r="B541"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41" s="24" t="s">
        <v>174</v>
      </c>
    </row>
    <row r="542" spans="1:3" ht="18" customHeight="1" x14ac:dyDescent="0.2">
      <c r="A542" s="3" t="s">
        <v>289</v>
      </c>
      <c r="B542"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42" s="24" t="s">
        <v>174</v>
      </c>
    </row>
    <row r="543" spans="1:3" ht="18" customHeight="1" x14ac:dyDescent="0.2">
      <c r="A543" s="3" t="s">
        <v>289</v>
      </c>
      <c r="B543"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43" s="24" t="s">
        <v>174</v>
      </c>
    </row>
    <row r="544" spans="1:3" ht="18" customHeight="1" x14ac:dyDescent="0.2">
      <c r="A544" s="3" t="s">
        <v>289</v>
      </c>
      <c r="B544"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44" s="24" t="s">
        <v>174</v>
      </c>
    </row>
    <row r="545" spans="1:3" ht="18" customHeight="1" x14ac:dyDescent="0.2">
      <c r="A545" s="3" t="s">
        <v>289</v>
      </c>
      <c r="B545"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45" s="24" t="s">
        <v>174</v>
      </c>
    </row>
    <row r="546" spans="1:3" ht="18" customHeight="1" x14ac:dyDescent="0.2">
      <c r="A546" s="3" t="s">
        <v>289</v>
      </c>
      <c r="B546"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46" s="24" t="s">
        <v>174</v>
      </c>
    </row>
    <row r="547" spans="1:3" ht="18" customHeight="1" x14ac:dyDescent="0.2">
      <c r="A547" s="3" t="s">
        <v>289</v>
      </c>
      <c r="B547"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47" s="24" t="s">
        <v>174</v>
      </c>
    </row>
    <row r="548" spans="1:3" ht="18" customHeight="1" x14ac:dyDescent="0.2">
      <c r="A548" s="3" t="s">
        <v>289</v>
      </c>
      <c r="B548"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48" s="24" t="s">
        <v>174</v>
      </c>
    </row>
    <row r="549" spans="1:3" ht="18" customHeight="1" x14ac:dyDescent="0.2">
      <c r="A549" s="3" t="s">
        <v>289</v>
      </c>
      <c r="B549"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49" s="24" t="s">
        <v>174</v>
      </c>
    </row>
    <row r="550" spans="1:3" ht="18" customHeight="1" x14ac:dyDescent="0.2">
      <c r="A550" s="3" t="s">
        <v>289</v>
      </c>
      <c r="B550"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50" s="24" t="s">
        <v>174</v>
      </c>
    </row>
    <row r="551" spans="1:3" ht="18" customHeight="1" x14ac:dyDescent="0.2">
      <c r="A551" s="3" t="s">
        <v>289</v>
      </c>
      <c r="B551"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51" s="24" t="s">
        <v>174</v>
      </c>
    </row>
    <row r="552" spans="1:3" ht="18" customHeight="1" x14ac:dyDescent="0.2">
      <c r="A552" s="3" t="s">
        <v>289</v>
      </c>
      <c r="B552"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52" s="24" t="s">
        <v>174</v>
      </c>
    </row>
    <row r="553" spans="1:3" ht="18" customHeight="1" x14ac:dyDescent="0.2">
      <c r="A553" s="3" t="s">
        <v>289</v>
      </c>
      <c r="B553"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53" s="24" t="s">
        <v>174</v>
      </c>
    </row>
    <row r="554" spans="1:3" ht="18" customHeight="1" x14ac:dyDescent="0.2">
      <c r="A554" s="3" t="s">
        <v>289</v>
      </c>
      <c r="B554"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54" s="24" t="s">
        <v>174</v>
      </c>
    </row>
    <row r="555" spans="1:3" ht="18" customHeight="1" x14ac:dyDescent="0.2">
      <c r="A555" s="3" t="s">
        <v>289</v>
      </c>
      <c r="B555"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55" s="24" t="s">
        <v>174</v>
      </c>
    </row>
    <row r="556" spans="1:3" ht="18" customHeight="1" x14ac:dyDescent="0.2">
      <c r="A556" s="3" t="s">
        <v>289</v>
      </c>
      <c r="B556"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56" s="24" t="s">
        <v>174</v>
      </c>
    </row>
    <row r="557" spans="1:3" ht="18" customHeight="1" x14ac:dyDescent="0.2">
      <c r="A557" s="3" t="s">
        <v>289</v>
      </c>
      <c r="B557"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57" s="24" t="s">
        <v>174</v>
      </c>
    </row>
    <row r="558" spans="1:3" ht="18" customHeight="1" x14ac:dyDescent="0.2">
      <c r="A558" s="3" t="s">
        <v>289</v>
      </c>
      <c r="B558"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58" s="24" t="s">
        <v>174</v>
      </c>
    </row>
    <row r="559" spans="1:3" ht="18" customHeight="1" x14ac:dyDescent="0.2">
      <c r="A559" s="3" t="s">
        <v>289</v>
      </c>
      <c r="B559"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59" s="24" t="s">
        <v>174</v>
      </c>
    </row>
    <row r="560" spans="1:3" ht="18" customHeight="1" x14ac:dyDescent="0.2">
      <c r="A560" s="3" t="s">
        <v>289</v>
      </c>
      <c r="B560"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60" s="24" t="s">
        <v>174</v>
      </c>
    </row>
    <row r="561" spans="1:3" ht="18" customHeight="1" x14ac:dyDescent="0.2">
      <c r="A561" s="3" t="s">
        <v>289</v>
      </c>
      <c r="B561"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61" s="24" t="s">
        <v>174</v>
      </c>
    </row>
    <row r="562" spans="1:3" ht="18" customHeight="1" x14ac:dyDescent="0.2">
      <c r="A562" s="3" t="s">
        <v>289</v>
      </c>
      <c r="B562"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62" s="24" t="s">
        <v>174</v>
      </c>
    </row>
    <row r="563" spans="1:3" ht="18" customHeight="1" x14ac:dyDescent="0.2">
      <c r="A563" s="3" t="s">
        <v>289</v>
      </c>
      <c r="B563"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63" s="24" t="s">
        <v>174</v>
      </c>
    </row>
    <row r="564" spans="1:3" ht="18" customHeight="1" x14ac:dyDescent="0.2">
      <c r="A564" s="3" t="s">
        <v>289</v>
      </c>
      <c r="B564"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64" s="24" t="s">
        <v>174</v>
      </c>
    </row>
    <row r="565" spans="1:3" ht="18" customHeight="1" x14ac:dyDescent="0.2">
      <c r="A565" s="3" t="s">
        <v>289</v>
      </c>
      <c r="B565"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65" s="24" t="s">
        <v>174</v>
      </c>
    </row>
    <row r="566" spans="1:3" ht="18" customHeight="1" x14ac:dyDescent="0.2">
      <c r="A566" s="3" t="s">
        <v>289</v>
      </c>
      <c r="B566"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66" s="24" t="s">
        <v>174</v>
      </c>
    </row>
    <row r="567" spans="1:3" ht="18" customHeight="1" x14ac:dyDescent="0.2">
      <c r="A567" s="3" t="s">
        <v>289</v>
      </c>
      <c r="B567"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67" s="24" t="s">
        <v>174</v>
      </c>
    </row>
    <row r="568" spans="1:3" ht="18" customHeight="1" x14ac:dyDescent="0.2">
      <c r="A568" s="3" t="s">
        <v>289</v>
      </c>
      <c r="B568"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68" s="24" t="s">
        <v>174</v>
      </c>
    </row>
    <row r="569" spans="1:3" ht="18" customHeight="1" x14ac:dyDescent="0.2">
      <c r="A569" s="3" t="s">
        <v>289</v>
      </c>
      <c r="B569"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69" s="24" t="s">
        <v>174</v>
      </c>
    </row>
    <row r="570" spans="1:3" ht="18" customHeight="1" x14ac:dyDescent="0.2">
      <c r="A570" s="3" t="s">
        <v>289</v>
      </c>
      <c r="B570"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70" s="24" t="s">
        <v>174</v>
      </c>
    </row>
    <row r="571" spans="1:3" ht="18" customHeight="1" x14ac:dyDescent="0.2">
      <c r="A571" s="3" t="s">
        <v>289</v>
      </c>
      <c r="B571"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71" s="24" t="s">
        <v>174</v>
      </c>
    </row>
    <row r="572" spans="1:3" ht="18" customHeight="1" x14ac:dyDescent="0.2">
      <c r="A572" s="3" t="s">
        <v>289</v>
      </c>
      <c r="B572"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72" s="24" t="s">
        <v>174</v>
      </c>
    </row>
    <row r="573" spans="1:3" ht="18" customHeight="1" x14ac:dyDescent="0.2">
      <c r="A573" s="3" t="s">
        <v>289</v>
      </c>
      <c r="B573"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73" s="24" t="s">
        <v>174</v>
      </c>
    </row>
    <row r="574" spans="1:3" ht="18" customHeight="1" x14ac:dyDescent="0.2">
      <c r="A574" s="3" t="s">
        <v>289</v>
      </c>
      <c r="B574"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74" s="24" t="s">
        <v>174</v>
      </c>
    </row>
    <row r="575" spans="1:3" ht="18" customHeight="1" x14ac:dyDescent="0.2">
      <c r="A575" s="3" t="s">
        <v>289</v>
      </c>
      <c r="B575"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75" s="24" t="s">
        <v>174</v>
      </c>
    </row>
    <row r="576" spans="1:3" ht="18" customHeight="1" x14ac:dyDescent="0.2">
      <c r="A576" s="3" t="s">
        <v>289</v>
      </c>
      <c r="B576"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76" s="24" t="s">
        <v>174</v>
      </c>
    </row>
    <row r="577" spans="1:3" ht="18" customHeight="1" x14ac:dyDescent="0.2">
      <c r="A577" s="3" t="s">
        <v>289</v>
      </c>
      <c r="B577"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77" s="24" t="s">
        <v>174</v>
      </c>
    </row>
    <row r="578" spans="1:3" ht="18" customHeight="1" x14ac:dyDescent="0.2">
      <c r="A578" s="3" t="s">
        <v>289</v>
      </c>
      <c r="B578" s="6" t="str">
        <f t="shared" si="8"/>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78" s="24" t="s">
        <v>174</v>
      </c>
    </row>
    <row r="579" spans="1:3" ht="18" customHeight="1" x14ac:dyDescent="0.2">
      <c r="A579" s="3" t="s">
        <v>289</v>
      </c>
      <c r="B579" s="6" t="str">
        <f t="shared" ref="B579:B642" si="9">IF(ISBLANK(A579)=TRUE,B578,B578&amp;","&amp;A579)</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79" s="24" t="s">
        <v>174</v>
      </c>
    </row>
    <row r="580" spans="1:3" ht="18" customHeight="1" x14ac:dyDescent="0.2">
      <c r="A580" s="3" t="s">
        <v>289</v>
      </c>
      <c r="B580"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80" s="24" t="s">
        <v>174</v>
      </c>
    </row>
    <row r="581" spans="1:3" ht="18" customHeight="1" x14ac:dyDescent="0.2">
      <c r="A581" s="3" t="s">
        <v>289</v>
      </c>
      <c r="B581"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81" s="24" t="s">
        <v>174</v>
      </c>
    </row>
    <row r="582" spans="1:3" ht="18" customHeight="1" x14ac:dyDescent="0.2">
      <c r="A582" s="3" t="s">
        <v>289</v>
      </c>
      <c r="B582"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82" s="24" t="s">
        <v>174</v>
      </c>
    </row>
    <row r="583" spans="1:3" ht="18" customHeight="1" x14ac:dyDescent="0.2">
      <c r="A583" s="3" t="s">
        <v>289</v>
      </c>
      <c r="B583"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83" s="24" t="s">
        <v>174</v>
      </c>
    </row>
    <row r="584" spans="1:3" ht="18" customHeight="1" x14ac:dyDescent="0.2">
      <c r="A584" s="3" t="s">
        <v>289</v>
      </c>
      <c r="B584"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84" s="24" t="s">
        <v>174</v>
      </c>
    </row>
    <row r="585" spans="1:3" ht="18" customHeight="1" x14ac:dyDescent="0.2">
      <c r="A585" s="3" t="s">
        <v>289</v>
      </c>
      <c r="B585"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85" s="24" t="s">
        <v>174</v>
      </c>
    </row>
    <row r="586" spans="1:3" ht="18" customHeight="1" x14ac:dyDescent="0.2">
      <c r="A586" s="3" t="s">
        <v>289</v>
      </c>
      <c r="B586"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86" s="24" t="s">
        <v>174</v>
      </c>
    </row>
    <row r="587" spans="1:3" ht="18" customHeight="1" x14ac:dyDescent="0.2">
      <c r="A587" s="3" t="s">
        <v>289</v>
      </c>
      <c r="B587"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87" s="24" t="s">
        <v>174</v>
      </c>
    </row>
    <row r="588" spans="1:3" ht="18" customHeight="1" x14ac:dyDescent="0.2">
      <c r="A588" s="3" t="s">
        <v>289</v>
      </c>
      <c r="B588"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88" s="24" t="s">
        <v>174</v>
      </c>
    </row>
    <row r="589" spans="1:3" ht="18" customHeight="1" x14ac:dyDescent="0.2">
      <c r="A589" s="3" t="s">
        <v>289</v>
      </c>
      <c r="B589"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89" s="24" t="s">
        <v>174</v>
      </c>
    </row>
    <row r="590" spans="1:3" ht="18" customHeight="1" x14ac:dyDescent="0.2">
      <c r="A590" s="3" t="s">
        <v>289</v>
      </c>
      <c r="B590"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90" s="24" t="s">
        <v>174</v>
      </c>
    </row>
    <row r="591" spans="1:3" ht="18" customHeight="1" x14ac:dyDescent="0.2">
      <c r="A591" s="3" t="s">
        <v>289</v>
      </c>
      <c r="B591"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91" s="24" t="s">
        <v>174</v>
      </c>
    </row>
    <row r="592" spans="1:3" ht="18" customHeight="1" x14ac:dyDescent="0.2">
      <c r="A592" s="3" t="s">
        <v>289</v>
      </c>
      <c r="B592"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92" s="24" t="s">
        <v>174</v>
      </c>
    </row>
    <row r="593" spans="1:3" ht="18" customHeight="1" x14ac:dyDescent="0.2">
      <c r="A593" s="3" t="s">
        <v>289</v>
      </c>
      <c r="B593"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93" s="24" t="s">
        <v>174</v>
      </c>
    </row>
    <row r="594" spans="1:3" ht="18" customHeight="1" x14ac:dyDescent="0.2">
      <c r="A594" s="3" t="s">
        <v>289</v>
      </c>
      <c r="B594"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94" s="24" t="s">
        <v>174</v>
      </c>
    </row>
    <row r="595" spans="1:3" ht="18" customHeight="1" x14ac:dyDescent="0.2">
      <c r="A595" s="3" t="s">
        <v>289</v>
      </c>
      <c r="B595"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95" s="24" t="s">
        <v>174</v>
      </c>
    </row>
    <row r="596" spans="1:3" ht="18" customHeight="1" x14ac:dyDescent="0.2">
      <c r="A596" s="3" t="s">
        <v>289</v>
      </c>
      <c r="B596"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96" s="24" t="s">
        <v>174</v>
      </c>
    </row>
    <row r="597" spans="1:3" ht="18" customHeight="1" x14ac:dyDescent="0.2">
      <c r="A597" s="3" t="s">
        <v>289</v>
      </c>
      <c r="B597"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97" s="24" t="s">
        <v>174</v>
      </c>
    </row>
    <row r="598" spans="1:3" ht="18" customHeight="1" x14ac:dyDescent="0.2">
      <c r="A598" s="3" t="s">
        <v>289</v>
      </c>
      <c r="B598"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98" s="24" t="s">
        <v>174</v>
      </c>
    </row>
    <row r="599" spans="1:3" ht="18" customHeight="1" x14ac:dyDescent="0.2">
      <c r="A599" s="3" t="s">
        <v>289</v>
      </c>
      <c r="B599"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599" s="24" t="s">
        <v>174</v>
      </c>
    </row>
    <row r="600" spans="1:3" ht="18" customHeight="1" x14ac:dyDescent="0.2">
      <c r="A600" s="3" t="s">
        <v>289</v>
      </c>
      <c r="B600"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00" s="24" t="s">
        <v>174</v>
      </c>
    </row>
    <row r="601" spans="1:3" ht="18" customHeight="1" x14ac:dyDescent="0.2">
      <c r="A601" s="3" t="s">
        <v>289</v>
      </c>
      <c r="B601"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01" s="24" t="s">
        <v>174</v>
      </c>
    </row>
    <row r="602" spans="1:3" ht="18" customHeight="1" x14ac:dyDescent="0.2">
      <c r="A602" s="3" t="s">
        <v>289</v>
      </c>
      <c r="B602"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02" s="24" t="s">
        <v>174</v>
      </c>
    </row>
    <row r="603" spans="1:3" ht="18" customHeight="1" x14ac:dyDescent="0.2">
      <c r="A603" s="3" t="s">
        <v>289</v>
      </c>
      <c r="B603"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03" s="24" t="s">
        <v>174</v>
      </c>
    </row>
    <row r="604" spans="1:3" ht="18" customHeight="1" x14ac:dyDescent="0.2">
      <c r="A604" s="3" t="s">
        <v>289</v>
      </c>
      <c r="B604"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04" s="24" t="s">
        <v>174</v>
      </c>
    </row>
    <row r="605" spans="1:3" ht="18" customHeight="1" x14ac:dyDescent="0.2">
      <c r="A605" s="3" t="s">
        <v>289</v>
      </c>
      <c r="B605"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05" s="24" t="s">
        <v>174</v>
      </c>
    </row>
    <row r="606" spans="1:3" ht="18" customHeight="1" x14ac:dyDescent="0.2">
      <c r="A606" s="3" t="s">
        <v>289</v>
      </c>
      <c r="B606"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06" s="24" t="s">
        <v>174</v>
      </c>
    </row>
    <row r="607" spans="1:3" ht="18" customHeight="1" x14ac:dyDescent="0.2">
      <c r="A607" s="3" t="s">
        <v>289</v>
      </c>
      <c r="B607"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07" s="24" t="s">
        <v>174</v>
      </c>
    </row>
    <row r="608" spans="1:3" ht="18" customHeight="1" x14ac:dyDescent="0.2">
      <c r="A608" s="3" t="s">
        <v>289</v>
      </c>
      <c r="B608"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08" s="24" t="s">
        <v>174</v>
      </c>
    </row>
    <row r="609" spans="1:3" ht="18" customHeight="1" x14ac:dyDescent="0.2">
      <c r="A609" s="3" t="s">
        <v>289</v>
      </c>
      <c r="B609"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09" s="24" t="s">
        <v>174</v>
      </c>
    </row>
    <row r="610" spans="1:3" ht="18" customHeight="1" x14ac:dyDescent="0.2">
      <c r="A610" s="3" t="s">
        <v>289</v>
      </c>
      <c r="B610"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10" s="24" t="s">
        <v>174</v>
      </c>
    </row>
    <row r="611" spans="1:3" ht="18" customHeight="1" x14ac:dyDescent="0.2">
      <c r="A611" s="3" t="s">
        <v>289</v>
      </c>
      <c r="B611"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11" s="24" t="s">
        <v>174</v>
      </c>
    </row>
    <row r="612" spans="1:3" ht="18" customHeight="1" x14ac:dyDescent="0.2">
      <c r="A612" s="3" t="s">
        <v>289</v>
      </c>
      <c r="B612"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12" s="24" t="s">
        <v>174</v>
      </c>
    </row>
    <row r="613" spans="1:3" ht="18" customHeight="1" x14ac:dyDescent="0.2">
      <c r="A613" s="3" t="s">
        <v>289</v>
      </c>
      <c r="B613"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13" s="24" t="s">
        <v>174</v>
      </c>
    </row>
    <row r="614" spans="1:3" ht="18" customHeight="1" x14ac:dyDescent="0.2">
      <c r="A614" s="3" t="s">
        <v>289</v>
      </c>
      <c r="B614"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14" s="24" t="s">
        <v>174</v>
      </c>
    </row>
    <row r="615" spans="1:3" ht="18" customHeight="1" x14ac:dyDescent="0.2">
      <c r="A615" s="3" t="s">
        <v>289</v>
      </c>
      <c r="B615"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15" s="24" t="s">
        <v>174</v>
      </c>
    </row>
    <row r="616" spans="1:3" ht="18" customHeight="1" x14ac:dyDescent="0.2">
      <c r="A616" s="3" t="s">
        <v>289</v>
      </c>
      <c r="B616"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16" s="24" t="s">
        <v>174</v>
      </c>
    </row>
    <row r="617" spans="1:3" ht="18" customHeight="1" x14ac:dyDescent="0.2">
      <c r="A617" s="3" t="s">
        <v>289</v>
      </c>
      <c r="B617"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17" s="24" t="s">
        <v>174</v>
      </c>
    </row>
    <row r="618" spans="1:3" ht="18" customHeight="1" x14ac:dyDescent="0.2">
      <c r="A618" s="3" t="s">
        <v>289</v>
      </c>
      <c r="B618"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18" s="24" t="s">
        <v>174</v>
      </c>
    </row>
    <row r="619" spans="1:3" ht="18" customHeight="1" x14ac:dyDescent="0.2">
      <c r="A619" s="3" t="s">
        <v>289</v>
      </c>
      <c r="B619"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19" s="24" t="s">
        <v>174</v>
      </c>
    </row>
    <row r="620" spans="1:3" ht="18" customHeight="1" x14ac:dyDescent="0.2">
      <c r="A620" s="3" t="s">
        <v>289</v>
      </c>
      <c r="B620"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20" s="24" t="s">
        <v>174</v>
      </c>
    </row>
    <row r="621" spans="1:3" ht="18" customHeight="1" x14ac:dyDescent="0.2">
      <c r="A621" s="3" t="s">
        <v>289</v>
      </c>
      <c r="B621"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21" s="24" t="s">
        <v>174</v>
      </c>
    </row>
    <row r="622" spans="1:3" ht="18" customHeight="1" x14ac:dyDescent="0.2">
      <c r="A622" s="3" t="s">
        <v>289</v>
      </c>
      <c r="B622"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22" s="24" t="s">
        <v>174</v>
      </c>
    </row>
    <row r="623" spans="1:3" ht="18" customHeight="1" x14ac:dyDescent="0.2">
      <c r="A623" s="3" t="s">
        <v>289</v>
      </c>
      <c r="B623"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23" s="24" t="s">
        <v>174</v>
      </c>
    </row>
    <row r="624" spans="1:3" ht="18" customHeight="1" x14ac:dyDescent="0.2">
      <c r="A624" s="3" t="s">
        <v>289</v>
      </c>
      <c r="B624"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24" s="24" t="s">
        <v>174</v>
      </c>
    </row>
    <row r="625" spans="1:3" ht="18" customHeight="1" x14ac:dyDescent="0.2">
      <c r="A625" s="3" t="s">
        <v>289</v>
      </c>
      <c r="B625"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25" s="24" t="s">
        <v>174</v>
      </c>
    </row>
    <row r="626" spans="1:3" ht="18" customHeight="1" x14ac:dyDescent="0.2">
      <c r="A626" s="3" t="s">
        <v>289</v>
      </c>
      <c r="B626"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26" s="24" t="s">
        <v>174</v>
      </c>
    </row>
    <row r="627" spans="1:3" ht="18" customHeight="1" x14ac:dyDescent="0.2">
      <c r="A627" s="3" t="s">
        <v>289</v>
      </c>
      <c r="B627"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27" s="24" t="s">
        <v>174</v>
      </c>
    </row>
    <row r="628" spans="1:3" ht="18" customHeight="1" x14ac:dyDescent="0.2">
      <c r="A628" s="3" t="s">
        <v>289</v>
      </c>
      <c r="B628"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28" s="24" t="s">
        <v>174</v>
      </c>
    </row>
    <row r="629" spans="1:3" ht="18" customHeight="1" x14ac:dyDescent="0.2">
      <c r="A629" s="3" t="s">
        <v>289</v>
      </c>
      <c r="B629"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29" s="24" t="s">
        <v>174</v>
      </c>
    </row>
    <row r="630" spans="1:3" ht="18" customHeight="1" x14ac:dyDescent="0.2">
      <c r="A630" s="3" t="s">
        <v>289</v>
      </c>
      <c r="B630"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30" s="24" t="s">
        <v>174</v>
      </c>
    </row>
    <row r="631" spans="1:3" ht="18" customHeight="1" x14ac:dyDescent="0.2">
      <c r="A631" s="3" t="s">
        <v>289</v>
      </c>
      <c r="B631"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31" s="24" t="s">
        <v>174</v>
      </c>
    </row>
    <row r="632" spans="1:3" ht="18" customHeight="1" x14ac:dyDescent="0.2">
      <c r="A632" s="3" t="s">
        <v>289</v>
      </c>
      <c r="B632"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32" s="24" t="s">
        <v>174</v>
      </c>
    </row>
    <row r="633" spans="1:3" ht="18" customHeight="1" x14ac:dyDescent="0.2">
      <c r="A633" s="3" t="s">
        <v>289</v>
      </c>
      <c r="B633"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33" s="24" t="s">
        <v>174</v>
      </c>
    </row>
    <row r="634" spans="1:3" ht="18" customHeight="1" x14ac:dyDescent="0.2">
      <c r="A634" s="3" t="s">
        <v>289</v>
      </c>
      <c r="B634"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34" s="24" t="s">
        <v>174</v>
      </c>
    </row>
    <row r="635" spans="1:3" ht="18" customHeight="1" x14ac:dyDescent="0.2">
      <c r="A635" s="3" t="s">
        <v>289</v>
      </c>
      <c r="B635"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35" s="24" t="s">
        <v>174</v>
      </c>
    </row>
    <row r="636" spans="1:3" ht="18" customHeight="1" x14ac:dyDescent="0.2">
      <c r="A636" s="3" t="s">
        <v>289</v>
      </c>
      <c r="B636"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36" s="24" t="s">
        <v>174</v>
      </c>
    </row>
    <row r="637" spans="1:3" ht="18" customHeight="1" x14ac:dyDescent="0.2">
      <c r="A637" s="3" t="s">
        <v>289</v>
      </c>
      <c r="B637"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37" s="24" t="s">
        <v>174</v>
      </c>
    </row>
    <row r="638" spans="1:3" ht="18" customHeight="1" x14ac:dyDescent="0.2">
      <c r="A638" s="3" t="s">
        <v>289</v>
      </c>
      <c r="B638"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38" s="24" t="s">
        <v>174</v>
      </c>
    </row>
    <row r="639" spans="1:3" ht="18" customHeight="1" x14ac:dyDescent="0.2">
      <c r="A639" s="3" t="s">
        <v>289</v>
      </c>
      <c r="B639"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39" s="24" t="s">
        <v>174</v>
      </c>
    </row>
    <row r="640" spans="1:3" ht="18" customHeight="1" x14ac:dyDescent="0.2">
      <c r="A640" s="3" t="s">
        <v>289</v>
      </c>
      <c r="B640"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40" s="24" t="s">
        <v>174</v>
      </c>
    </row>
    <row r="641" spans="1:3" ht="18" customHeight="1" x14ac:dyDescent="0.2">
      <c r="A641" s="3" t="s">
        <v>289</v>
      </c>
      <c r="B641"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41" s="24" t="s">
        <v>174</v>
      </c>
    </row>
    <row r="642" spans="1:3" ht="18" customHeight="1" x14ac:dyDescent="0.2">
      <c r="A642" s="3" t="s">
        <v>289</v>
      </c>
      <c r="B642" s="6" t="str">
        <f t="shared" si="9"/>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42" s="24" t="s">
        <v>174</v>
      </c>
    </row>
    <row r="643" spans="1:3" ht="18" customHeight="1" x14ac:dyDescent="0.2">
      <c r="A643" s="3" t="s">
        <v>289</v>
      </c>
      <c r="B643" s="6" t="str">
        <f t="shared" ref="B643:B706" si="10">IF(ISBLANK(A643)=TRUE,B642,B642&amp;","&amp;A643)</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43" s="24" t="s">
        <v>174</v>
      </c>
    </row>
    <row r="644" spans="1:3" ht="18" customHeight="1" x14ac:dyDescent="0.2">
      <c r="A644" s="3" t="s">
        <v>289</v>
      </c>
      <c r="B644"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44" s="24" t="s">
        <v>174</v>
      </c>
    </row>
    <row r="645" spans="1:3" ht="18" customHeight="1" x14ac:dyDescent="0.2">
      <c r="A645" s="3" t="s">
        <v>289</v>
      </c>
      <c r="B645"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45" s="24" t="s">
        <v>174</v>
      </c>
    </row>
    <row r="646" spans="1:3" ht="18" customHeight="1" x14ac:dyDescent="0.2">
      <c r="A646" s="3" t="s">
        <v>289</v>
      </c>
      <c r="B646"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46" s="24" t="s">
        <v>174</v>
      </c>
    </row>
    <row r="647" spans="1:3" ht="18" customHeight="1" x14ac:dyDescent="0.2">
      <c r="A647" s="3" t="s">
        <v>289</v>
      </c>
      <c r="B647"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47" s="24" t="s">
        <v>174</v>
      </c>
    </row>
    <row r="648" spans="1:3" ht="18" customHeight="1" x14ac:dyDescent="0.2">
      <c r="A648" s="3" t="s">
        <v>289</v>
      </c>
      <c r="B648"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48" s="24" t="s">
        <v>174</v>
      </c>
    </row>
    <row r="649" spans="1:3" ht="18" customHeight="1" x14ac:dyDescent="0.2">
      <c r="A649" s="3" t="s">
        <v>289</v>
      </c>
      <c r="B649"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49" s="24" t="s">
        <v>174</v>
      </c>
    </row>
    <row r="650" spans="1:3" ht="18" customHeight="1" x14ac:dyDescent="0.2">
      <c r="A650" s="3" t="s">
        <v>289</v>
      </c>
      <c r="B650"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50" s="24" t="s">
        <v>174</v>
      </c>
    </row>
    <row r="651" spans="1:3" ht="18" customHeight="1" x14ac:dyDescent="0.2">
      <c r="A651" s="3" t="s">
        <v>289</v>
      </c>
      <c r="B651"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51" s="24" t="s">
        <v>174</v>
      </c>
    </row>
    <row r="652" spans="1:3" ht="18" customHeight="1" x14ac:dyDescent="0.2">
      <c r="A652" s="3" t="s">
        <v>289</v>
      </c>
      <c r="B652"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52" s="24" t="s">
        <v>174</v>
      </c>
    </row>
    <row r="653" spans="1:3" ht="18" customHeight="1" x14ac:dyDescent="0.2">
      <c r="A653" s="3" t="s">
        <v>289</v>
      </c>
      <c r="B653"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53" s="24" t="s">
        <v>174</v>
      </c>
    </row>
    <row r="654" spans="1:3" ht="18" customHeight="1" x14ac:dyDescent="0.2">
      <c r="A654" s="3" t="s">
        <v>289</v>
      </c>
      <c r="B654"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54" s="24" t="s">
        <v>174</v>
      </c>
    </row>
    <row r="655" spans="1:3" ht="18" customHeight="1" x14ac:dyDescent="0.2">
      <c r="A655" s="3" t="s">
        <v>289</v>
      </c>
      <c r="B655"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55" s="24" t="s">
        <v>174</v>
      </c>
    </row>
    <row r="656" spans="1:3" ht="18" customHeight="1" x14ac:dyDescent="0.2">
      <c r="A656" s="3" t="s">
        <v>289</v>
      </c>
      <c r="B656"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56" s="24" t="s">
        <v>174</v>
      </c>
    </row>
    <row r="657" spans="1:3" ht="18" customHeight="1" x14ac:dyDescent="0.2">
      <c r="A657" s="3" t="s">
        <v>289</v>
      </c>
      <c r="B657"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57" s="24" t="s">
        <v>174</v>
      </c>
    </row>
    <row r="658" spans="1:3" ht="18" customHeight="1" x14ac:dyDescent="0.2">
      <c r="A658" s="3" t="s">
        <v>289</v>
      </c>
      <c r="B658"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58" s="24" t="s">
        <v>174</v>
      </c>
    </row>
    <row r="659" spans="1:3" ht="18" customHeight="1" x14ac:dyDescent="0.2">
      <c r="A659" s="3" t="s">
        <v>289</v>
      </c>
      <c r="B659"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59" s="24" t="s">
        <v>174</v>
      </c>
    </row>
    <row r="660" spans="1:3" ht="18" customHeight="1" x14ac:dyDescent="0.2">
      <c r="A660" s="3" t="s">
        <v>289</v>
      </c>
      <c r="B660"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60" s="24" t="s">
        <v>174</v>
      </c>
    </row>
    <row r="661" spans="1:3" ht="18" customHeight="1" x14ac:dyDescent="0.2">
      <c r="A661" s="3" t="s">
        <v>289</v>
      </c>
      <c r="B661"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61" s="24" t="s">
        <v>174</v>
      </c>
    </row>
    <row r="662" spans="1:3" ht="18" customHeight="1" x14ac:dyDescent="0.2">
      <c r="A662" s="3" t="s">
        <v>289</v>
      </c>
      <c r="B662"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62" s="24" t="s">
        <v>174</v>
      </c>
    </row>
    <row r="663" spans="1:3" ht="18" customHeight="1" x14ac:dyDescent="0.2">
      <c r="A663" s="3" t="s">
        <v>289</v>
      </c>
      <c r="B663"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63" s="24" t="s">
        <v>174</v>
      </c>
    </row>
    <row r="664" spans="1:3" ht="18" customHeight="1" x14ac:dyDescent="0.2">
      <c r="A664" s="3" t="s">
        <v>289</v>
      </c>
      <c r="B664"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64" s="24" t="s">
        <v>174</v>
      </c>
    </row>
    <row r="665" spans="1:3" ht="18" customHeight="1" x14ac:dyDescent="0.2">
      <c r="A665" s="3" t="s">
        <v>289</v>
      </c>
      <c r="B665"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65" s="24" t="s">
        <v>174</v>
      </c>
    </row>
    <row r="666" spans="1:3" ht="18" customHeight="1" x14ac:dyDescent="0.2">
      <c r="A666" s="3" t="s">
        <v>289</v>
      </c>
      <c r="B666"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66" s="24" t="s">
        <v>174</v>
      </c>
    </row>
    <row r="667" spans="1:3" ht="18" customHeight="1" x14ac:dyDescent="0.2">
      <c r="A667" s="3" t="s">
        <v>289</v>
      </c>
      <c r="B667"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67" s="24" t="s">
        <v>174</v>
      </c>
    </row>
    <row r="668" spans="1:3" ht="18" customHeight="1" x14ac:dyDescent="0.2">
      <c r="A668" s="3" t="s">
        <v>289</v>
      </c>
      <c r="B668"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68" s="24" t="s">
        <v>174</v>
      </c>
    </row>
    <row r="669" spans="1:3" ht="18" customHeight="1" x14ac:dyDescent="0.2">
      <c r="A669" s="3" t="s">
        <v>289</v>
      </c>
      <c r="B669"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69" s="24" t="s">
        <v>174</v>
      </c>
    </row>
    <row r="670" spans="1:3" ht="18" customHeight="1" x14ac:dyDescent="0.2">
      <c r="A670" s="3" t="s">
        <v>289</v>
      </c>
      <c r="B670"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70" s="24" t="s">
        <v>174</v>
      </c>
    </row>
    <row r="671" spans="1:3" ht="18" customHeight="1" x14ac:dyDescent="0.2">
      <c r="A671" s="3" t="s">
        <v>289</v>
      </c>
      <c r="B671"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71" s="24" t="s">
        <v>174</v>
      </c>
    </row>
    <row r="672" spans="1:3" ht="18" customHeight="1" x14ac:dyDescent="0.2">
      <c r="A672" s="3" t="s">
        <v>289</v>
      </c>
      <c r="B672"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72" s="24" t="s">
        <v>174</v>
      </c>
    </row>
    <row r="673" spans="1:3" ht="18" customHeight="1" x14ac:dyDescent="0.2">
      <c r="A673" s="3" t="s">
        <v>289</v>
      </c>
      <c r="B673"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73" s="24" t="s">
        <v>174</v>
      </c>
    </row>
    <row r="674" spans="1:3" ht="18" customHeight="1" x14ac:dyDescent="0.2">
      <c r="A674" s="3" t="s">
        <v>289</v>
      </c>
      <c r="B674"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74" s="24" t="s">
        <v>174</v>
      </c>
    </row>
    <row r="675" spans="1:3" ht="18" customHeight="1" x14ac:dyDescent="0.2">
      <c r="A675" s="3" t="s">
        <v>289</v>
      </c>
      <c r="B675"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75" s="24" t="s">
        <v>174</v>
      </c>
    </row>
    <row r="676" spans="1:3" ht="18" customHeight="1" x14ac:dyDescent="0.2">
      <c r="A676" s="3" t="s">
        <v>289</v>
      </c>
      <c r="B676"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76" s="24" t="s">
        <v>174</v>
      </c>
    </row>
    <row r="677" spans="1:3" ht="18" customHeight="1" x14ac:dyDescent="0.2">
      <c r="A677" s="3" t="s">
        <v>289</v>
      </c>
      <c r="B677"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77" s="24" t="s">
        <v>174</v>
      </c>
    </row>
    <row r="678" spans="1:3" ht="18" customHeight="1" x14ac:dyDescent="0.2">
      <c r="A678" s="3" t="s">
        <v>289</v>
      </c>
      <c r="B678"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78" s="24" t="s">
        <v>174</v>
      </c>
    </row>
    <row r="679" spans="1:3" ht="18" customHeight="1" x14ac:dyDescent="0.2">
      <c r="A679" s="3" t="s">
        <v>289</v>
      </c>
      <c r="B679"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79" s="24" t="s">
        <v>174</v>
      </c>
    </row>
    <row r="680" spans="1:3" ht="18" customHeight="1" x14ac:dyDescent="0.2">
      <c r="A680" s="3" t="s">
        <v>289</v>
      </c>
      <c r="B680"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80" s="24" t="s">
        <v>174</v>
      </c>
    </row>
    <row r="681" spans="1:3" ht="18" customHeight="1" x14ac:dyDescent="0.2">
      <c r="A681" s="3" t="s">
        <v>289</v>
      </c>
      <c r="B681"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81" s="24" t="s">
        <v>174</v>
      </c>
    </row>
    <row r="682" spans="1:3" ht="18" customHeight="1" x14ac:dyDescent="0.2">
      <c r="A682" s="3" t="s">
        <v>289</v>
      </c>
      <c r="B682"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82" s="24" t="s">
        <v>174</v>
      </c>
    </row>
    <row r="683" spans="1:3" ht="18" customHeight="1" x14ac:dyDescent="0.2">
      <c r="A683" s="3" t="s">
        <v>289</v>
      </c>
      <c r="B683"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83" s="24" t="s">
        <v>174</v>
      </c>
    </row>
    <row r="684" spans="1:3" ht="18" customHeight="1" x14ac:dyDescent="0.2">
      <c r="A684" s="3" t="s">
        <v>289</v>
      </c>
      <c r="B684"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84" s="24" t="s">
        <v>174</v>
      </c>
    </row>
    <row r="685" spans="1:3" ht="18" customHeight="1" x14ac:dyDescent="0.2">
      <c r="A685" s="3" t="s">
        <v>289</v>
      </c>
      <c r="B685"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85" s="24" t="s">
        <v>174</v>
      </c>
    </row>
    <row r="686" spans="1:3" ht="18" customHeight="1" x14ac:dyDescent="0.2">
      <c r="A686" s="3" t="s">
        <v>289</v>
      </c>
      <c r="B686"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86" s="24" t="s">
        <v>174</v>
      </c>
    </row>
    <row r="687" spans="1:3" ht="18" customHeight="1" x14ac:dyDescent="0.2">
      <c r="A687" s="3" t="s">
        <v>289</v>
      </c>
      <c r="B687"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87" s="24" t="s">
        <v>174</v>
      </c>
    </row>
    <row r="688" spans="1:3" ht="18" customHeight="1" x14ac:dyDescent="0.2">
      <c r="A688" s="3" t="s">
        <v>289</v>
      </c>
      <c r="B688"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88" s="24" t="s">
        <v>174</v>
      </c>
    </row>
    <row r="689" spans="1:3" ht="18" customHeight="1" x14ac:dyDescent="0.2">
      <c r="A689" s="3" t="s">
        <v>289</v>
      </c>
      <c r="B689"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89" s="24" t="s">
        <v>174</v>
      </c>
    </row>
    <row r="690" spans="1:3" ht="18" customHeight="1" x14ac:dyDescent="0.2">
      <c r="A690" s="3" t="s">
        <v>289</v>
      </c>
      <c r="B690"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90" s="24" t="s">
        <v>174</v>
      </c>
    </row>
    <row r="691" spans="1:3" ht="18" customHeight="1" x14ac:dyDescent="0.2">
      <c r="A691" s="3" t="s">
        <v>289</v>
      </c>
      <c r="B691"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91" s="24" t="s">
        <v>174</v>
      </c>
    </row>
    <row r="692" spans="1:3" ht="18" customHeight="1" x14ac:dyDescent="0.2">
      <c r="A692" s="3" t="s">
        <v>289</v>
      </c>
      <c r="B692"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92" s="24" t="s">
        <v>174</v>
      </c>
    </row>
    <row r="693" spans="1:3" ht="18" customHeight="1" x14ac:dyDescent="0.2">
      <c r="A693" s="3" t="s">
        <v>289</v>
      </c>
      <c r="B693"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93" s="24" t="s">
        <v>174</v>
      </c>
    </row>
    <row r="694" spans="1:3" ht="18" customHeight="1" x14ac:dyDescent="0.2">
      <c r="A694" s="3" t="s">
        <v>289</v>
      </c>
      <c r="B694"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94" s="24" t="s">
        <v>174</v>
      </c>
    </row>
    <row r="695" spans="1:3" ht="18" customHeight="1" x14ac:dyDescent="0.2">
      <c r="A695" s="3" t="s">
        <v>289</v>
      </c>
      <c r="B695"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95" s="24" t="s">
        <v>174</v>
      </c>
    </row>
    <row r="696" spans="1:3" ht="18" customHeight="1" x14ac:dyDescent="0.2">
      <c r="A696" s="3" t="s">
        <v>289</v>
      </c>
      <c r="B696"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96" s="24" t="s">
        <v>174</v>
      </c>
    </row>
    <row r="697" spans="1:3" ht="18" customHeight="1" x14ac:dyDescent="0.2">
      <c r="A697" s="3" t="s">
        <v>289</v>
      </c>
      <c r="B697"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97" s="24" t="s">
        <v>174</v>
      </c>
    </row>
    <row r="698" spans="1:3" ht="18" customHeight="1" x14ac:dyDescent="0.2">
      <c r="A698" s="3" t="s">
        <v>289</v>
      </c>
      <c r="B698"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98" s="24" t="s">
        <v>174</v>
      </c>
    </row>
    <row r="699" spans="1:3" ht="18" customHeight="1" x14ac:dyDescent="0.2">
      <c r="A699" s="3" t="s">
        <v>289</v>
      </c>
      <c r="B699"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699" s="24" t="s">
        <v>174</v>
      </c>
    </row>
    <row r="700" spans="1:3" ht="18" customHeight="1" x14ac:dyDescent="0.2">
      <c r="A700" s="3" t="s">
        <v>289</v>
      </c>
      <c r="B700"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00" s="24" t="s">
        <v>174</v>
      </c>
    </row>
    <row r="701" spans="1:3" ht="18" customHeight="1" x14ac:dyDescent="0.2">
      <c r="A701" s="3" t="s">
        <v>289</v>
      </c>
      <c r="B701"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01" s="24" t="s">
        <v>174</v>
      </c>
    </row>
    <row r="702" spans="1:3" ht="18" customHeight="1" x14ac:dyDescent="0.2">
      <c r="A702" s="3" t="s">
        <v>289</v>
      </c>
      <c r="B702"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02" s="24" t="s">
        <v>174</v>
      </c>
    </row>
    <row r="703" spans="1:3" ht="18" customHeight="1" x14ac:dyDescent="0.2">
      <c r="A703" s="3" t="s">
        <v>289</v>
      </c>
      <c r="B703"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03" s="24" t="s">
        <v>174</v>
      </c>
    </row>
    <row r="704" spans="1:3" ht="18" customHeight="1" x14ac:dyDescent="0.2">
      <c r="A704" s="3" t="s">
        <v>289</v>
      </c>
      <c r="B704"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04" s="24" t="s">
        <v>174</v>
      </c>
    </row>
    <row r="705" spans="1:3" ht="18" customHeight="1" x14ac:dyDescent="0.2">
      <c r="A705" s="3" t="s">
        <v>289</v>
      </c>
      <c r="B705"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05" s="24" t="s">
        <v>174</v>
      </c>
    </row>
    <row r="706" spans="1:3" ht="18" customHeight="1" x14ac:dyDescent="0.2">
      <c r="A706" s="3" t="s">
        <v>289</v>
      </c>
      <c r="B706" s="6" t="str">
        <f t="shared" si="10"/>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06" s="24" t="s">
        <v>174</v>
      </c>
    </row>
    <row r="707" spans="1:3" ht="18" customHeight="1" x14ac:dyDescent="0.2">
      <c r="A707" s="3" t="s">
        <v>289</v>
      </c>
      <c r="B707" s="6" t="str">
        <f t="shared" ref="B707:B770" si="11">IF(ISBLANK(A707)=TRUE,B706,B706&amp;","&amp;A707)</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07" s="24" t="s">
        <v>174</v>
      </c>
    </row>
    <row r="708" spans="1:3" ht="18" customHeight="1" x14ac:dyDescent="0.2">
      <c r="A708" s="3" t="s">
        <v>289</v>
      </c>
      <c r="B708"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08" s="24" t="s">
        <v>174</v>
      </c>
    </row>
    <row r="709" spans="1:3" ht="18" customHeight="1" x14ac:dyDescent="0.2">
      <c r="A709" s="3" t="s">
        <v>289</v>
      </c>
      <c r="B709"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09" s="24" t="s">
        <v>174</v>
      </c>
    </row>
    <row r="710" spans="1:3" ht="18" customHeight="1" x14ac:dyDescent="0.2">
      <c r="A710" s="3" t="s">
        <v>289</v>
      </c>
      <c r="B710"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10" s="24" t="s">
        <v>174</v>
      </c>
    </row>
    <row r="711" spans="1:3" ht="18" customHeight="1" x14ac:dyDescent="0.2">
      <c r="A711" s="3" t="s">
        <v>289</v>
      </c>
      <c r="B711"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11" s="24" t="s">
        <v>174</v>
      </c>
    </row>
    <row r="712" spans="1:3" ht="18" customHeight="1" x14ac:dyDescent="0.2">
      <c r="A712" s="3" t="s">
        <v>289</v>
      </c>
      <c r="B712"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12" s="24" t="s">
        <v>174</v>
      </c>
    </row>
    <row r="713" spans="1:3" ht="18" customHeight="1" x14ac:dyDescent="0.2">
      <c r="A713" s="3" t="s">
        <v>289</v>
      </c>
      <c r="B713"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13" s="24" t="s">
        <v>174</v>
      </c>
    </row>
    <row r="714" spans="1:3" ht="18" customHeight="1" x14ac:dyDescent="0.2">
      <c r="A714" s="3" t="s">
        <v>289</v>
      </c>
      <c r="B714"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14" s="24" t="s">
        <v>174</v>
      </c>
    </row>
    <row r="715" spans="1:3" ht="18" customHeight="1" x14ac:dyDescent="0.2">
      <c r="A715" s="3" t="s">
        <v>289</v>
      </c>
      <c r="B715"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15" s="24" t="s">
        <v>174</v>
      </c>
    </row>
    <row r="716" spans="1:3" ht="18" customHeight="1" x14ac:dyDescent="0.2">
      <c r="A716" s="3" t="s">
        <v>289</v>
      </c>
      <c r="B716"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16" s="24" t="s">
        <v>174</v>
      </c>
    </row>
    <row r="717" spans="1:3" ht="18" customHeight="1" x14ac:dyDescent="0.2">
      <c r="A717" s="3" t="s">
        <v>289</v>
      </c>
      <c r="B717"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17" s="24" t="s">
        <v>174</v>
      </c>
    </row>
    <row r="718" spans="1:3" ht="18" customHeight="1" x14ac:dyDescent="0.2">
      <c r="A718" s="3" t="s">
        <v>289</v>
      </c>
      <c r="B718"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18" s="24" t="s">
        <v>174</v>
      </c>
    </row>
    <row r="719" spans="1:3" ht="18" customHeight="1" x14ac:dyDescent="0.2">
      <c r="A719" s="3" t="s">
        <v>289</v>
      </c>
      <c r="B719"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19" s="24" t="s">
        <v>174</v>
      </c>
    </row>
    <row r="720" spans="1:3" ht="18" customHeight="1" x14ac:dyDescent="0.2">
      <c r="A720" s="3" t="s">
        <v>289</v>
      </c>
      <c r="B720"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20" s="24" t="s">
        <v>174</v>
      </c>
    </row>
    <row r="721" spans="1:3" ht="18" customHeight="1" x14ac:dyDescent="0.2">
      <c r="A721" s="3" t="s">
        <v>289</v>
      </c>
      <c r="B721"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21" s="24" t="s">
        <v>174</v>
      </c>
    </row>
    <row r="722" spans="1:3" ht="18" customHeight="1" x14ac:dyDescent="0.2">
      <c r="A722" s="3" t="s">
        <v>289</v>
      </c>
      <c r="B722"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22" s="24" t="s">
        <v>174</v>
      </c>
    </row>
    <row r="723" spans="1:3" ht="18" customHeight="1" x14ac:dyDescent="0.2">
      <c r="A723" s="3" t="s">
        <v>289</v>
      </c>
      <c r="B723"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23" s="24" t="s">
        <v>174</v>
      </c>
    </row>
    <row r="724" spans="1:3" ht="18" customHeight="1" x14ac:dyDescent="0.2">
      <c r="A724" s="3" t="s">
        <v>289</v>
      </c>
      <c r="B724"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24" s="24" t="s">
        <v>174</v>
      </c>
    </row>
    <row r="725" spans="1:3" ht="18" customHeight="1" x14ac:dyDescent="0.2">
      <c r="A725" s="3" t="s">
        <v>289</v>
      </c>
      <c r="B725"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25" s="24" t="s">
        <v>174</v>
      </c>
    </row>
    <row r="726" spans="1:3" ht="18" customHeight="1" x14ac:dyDescent="0.2">
      <c r="A726" s="3" t="s">
        <v>289</v>
      </c>
      <c r="B726"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26" s="24" t="s">
        <v>174</v>
      </c>
    </row>
    <row r="727" spans="1:3" ht="18" customHeight="1" x14ac:dyDescent="0.2">
      <c r="A727" s="3" t="s">
        <v>289</v>
      </c>
      <c r="B727"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27" s="24" t="s">
        <v>174</v>
      </c>
    </row>
    <row r="728" spans="1:3" ht="18" customHeight="1" x14ac:dyDescent="0.2">
      <c r="A728" s="3" t="s">
        <v>289</v>
      </c>
      <c r="B728"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28" s="24" t="s">
        <v>174</v>
      </c>
    </row>
    <row r="729" spans="1:3" ht="18" customHeight="1" x14ac:dyDescent="0.2">
      <c r="A729" s="3" t="s">
        <v>289</v>
      </c>
      <c r="B729"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29" s="24" t="s">
        <v>174</v>
      </c>
    </row>
    <row r="730" spans="1:3" ht="18" customHeight="1" x14ac:dyDescent="0.2">
      <c r="A730" s="3" t="s">
        <v>289</v>
      </c>
      <c r="B730"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30" s="24" t="s">
        <v>174</v>
      </c>
    </row>
    <row r="731" spans="1:3" ht="18" customHeight="1" x14ac:dyDescent="0.2">
      <c r="A731" s="3" t="s">
        <v>289</v>
      </c>
      <c r="B731"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31" s="24" t="s">
        <v>174</v>
      </c>
    </row>
    <row r="732" spans="1:3" ht="18" customHeight="1" x14ac:dyDescent="0.2">
      <c r="A732" s="3" t="s">
        <v>289</v>
      </c>
      <c r="B732"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32" s="24" t="s">
        <v>174</v>
      </c>
    </row>
    <row r="733" spans="1:3" ht="18" customHeight="1" x14ac:dyDescent="0.2">
      <c r="A733" s="3" t="s">
        <v>289</v>
      </c>
      <c r="B733"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33" s="24" t="s">
        <v>174</v>
      </c>
    </row>
    <row r="734" spans="1:3" ht="18" customHeight="1" x14ac:dyDescent="0.2">
      <c r="A734" s="3" t="s">
        <v>289</v>
      </c>
      <c r="B734"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34" s="24" t="s">
        <v>174</v>
      </c>
    </row>
    <row r="735" spans="1:3" ht="18" customHeight="1" x14ac:dyDescent="0.2">
      <c r="A735" s="3" t="s">
        <v>289</v>
      </c>
      <c r="B735"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35" s="24" t="s">
        <v>174</v>
      </c>
    </row>
    <row r="736" spans="1:3" ht="18" customHeight="1" x14ac:dyDescent="0.2">
      <c r="A736" s="3" t="s">
        <v>289</v>
      </c>
      <c r="B736"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36" s="24" t="s">
        <v>174</v>
      </c>
    </row>
    <row r="737" spans="1:3" ht="18" customHeight="1" x14ac:dyDescent="0.2">
      <c r="A737" s="3" t="s">
        <v>289</v>
      </c>
      <c r="B737"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37" s="24" t="s">
        <v>174</v>
      </c>
    </row>
    <row r="738" spans="1:3" ht="18" customHeight="1" x14ac:dyDescent="0.2">
      <c r="A738" s="3" t="s">
        <v>289</v>
      </c>
      <c r="B738"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38" s="24" t="s">
        <v>174</v>
      </c>
    </row>
    <row r="739" spans="1:3" ht="18" customHeight="1" x14ac:dyDescent="0.2">
      <c r="A739" s="3" t="s">
        <v>289</v>
      </c>
      <c r="B739"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39" s="24" t="s">
        <v>174</v>
      </c>
    </row>
    <row r="740" spans="1:3" ht="18" customHeight="1" x14ac:dyDescent="0.2">
      <c r="A740" s="3" t="s">
        <v>289</v>
      </c>
      <c r="B740"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40" s="24" t="s">
        <v>174</v>
      </c>
    </row>
    <row r="741" spans="1:3" ht="18" customHeight="1" x14ac:dyDescent="0.2">
      <c r="A741" s="3" t="s">
        <v>289</v>
      </c>
      <c r="B741"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41" s="24" t="s">
        <v>174</v>
      </c>
    </row>
    <row r="742" spans="1:3" ht="18" customHeight="1" x14ac:dyDescent="0.2">
      <c r="A742" s="3" t="s">
        <v>289</v>
      </c>
      <c r="B742"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42" s="24" t="s">
        <v>174</v>
      </c>
    </row>
    <row r="743" spans="1:3" ht="18" customHeight="1" x14ac:dyDescent="0.2">
      <c r="A743" s="3" t="s">
        <v>289</v>
      </c>
      <c r="B743"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43" s="24" t="s">
        <v>174</v>
      </c>
    </row>
    <row r="744" spans="1:3" ht="18" customHeight="1" x14ac:dyDescent="0.2">
      <c r="A744" s="3" t="s">
        <v>289</v>
      </c>
      <c r="B744"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44" s="24" t="s">
        <v>174</v>
      </c>
    </row>
    <row r="745" spans="1:3" ht="18" customHeight="1" x14ac:dyDescent="0.2">
      <c r="A745" s="3" t="s">
        <v>289</v>
      </c>
      <c r="B745"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45" s="24" t="s">
        <v>174</v>
      </c>
    </row>
    <row r="746" spans="1:3" ht="18" customHeight="1" x14ac:dyDescent="0.2">
      <c r="A746" s="3" t="s">
        <v>289</v>
      </c>
      <c r="B746"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46" s="24" t="s">
        <v>174</v>
      </c>
    </row>
    <row r="747" spans="1:3" ht="18" customHeight="1" x14ac:dyDescent="0.2">
      <c r="A747" s="3" t="s">
        <v>289</v>
      </c>
      <c r="B747"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47" s="24" t="s">
        <v>174</v>
      </c>
    </row>
    <row r="748" spans="1:3" ht="18" customHeight="1" x14ac:dyDescent="0.2">
      <c r="A748" s="3" t="s">
        <v>289</v>
      </c>
      <c r="B748"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48" s="24" t="s">
        <v>174</v>
      </c>
    </row>
    <row r="749" spans="1:3" ht="18" customHeight="1" x14ac:dyDescent="0.2">
      <c r="A749" s="3" t="s">
        <v>289</v>
      </c>
      <c r="B749"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49" s="24" t="s">
        <v>174</v>
      </c>
    </row>
    <row r="750" spans="1:3" ht="18" customHeight="1" x14ac:dyDescent="0.2">
      <c r="A750" s="3" t="s">
        <v>289</v>
      </c>
      <c r="B750"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50" s="24" t="s">
        <v>174</v>
      </c>
    </row>
    <row r="751" spans="1:3" ht="18" customHeight="1" x14ac:dyDescent="0.2">
      <c r="A751" s="3" t="s">
        <v>289</v>
      </c>
      <c r="B751"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51" s="24" t="s">
        <v>174</v>
      </c>
    </row>
    <row r="752" spans="1:3" ht="18" customHeight="1" x14ac:dyDescent="0.2">
      <c r="A752" s="3" t="s">
        <v>289</v>
      </c>
      <c r="B752"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52" s="24" t="s">
        <v>174</v>
      </c>
    </row>
    <row r="753" spans="1:3" ht="18" customHeight="1" x14ac:dyDescent="0.2">
      <c r="A753" s="3" t="s">
        <v>289</v>
      </c>
      <c r="B753"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53" s="24" t="s">
        <v>174</v>
      </c>
    </row>
    <row r="754" spans="1:3" ht="18" customHeight="1" x14ac:dyDescent="0.2">
      <c r="A754" s="3" t="s">
        <v>289</v>
      </c>
      <c r="B754"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54" s="24" t="s">
        <v>174</v>
      </c>
    </row>
    <row r="755" spans="1:3" ht="18" customHeight="1" x14ac:dyDescent="0.2">
      <c r="A755" s="3" t="s">
        <v>289</v>
      </c>
      <c r="B755"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55" s="24" t="s">
        <v>174</v>
      </c>
    </row>
    <row r="756" spans="1:3" ht="18" customHeight="1" x14ac:dyDescent="0.2">
      <c r="A756" s="3" t="s">
        <v>289</v>
      </c>
      <c r="B756"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56" s="24" t="s">
        <v>174</v>
      </c>
    </row>
    <row r="757" spans="1:3" ht="18" customHeight="1" x14ac:dyDescent="0.2">
      <c r="A757" s="3" t="s">
        <v>289</v>
      </c>
      <c r="B757"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57" s="24" t="s">
        <v>174</v>
      </c>
    </row>
    <row r="758" spans="1:3" ht="18" customHeight="1" x14ac:dyDescent="0.2">
      <c r="A758" s="3" t="s">
        <v>289</v>
      </c>
      <c r="B758"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58" s="24" t="s">
        <v>174</v>
      </c>
    </row>
    <row r="759" spans="1:3" ht="18" customHeight="1" x14ac:dyDescent="0.2">
      <c r="A759" s="3" t="s">
        <v>289</v>
      </c>
      <c r="B759"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59" s="24" t="s">
        <v>174</v>
      </c>
    </row>
    <row r="760" spans="1:3" ht="18" customHeight="1" x14ac:dyDescent="0.2">
      <c r="A760" s="3" t="s">
        <v>289</v>
      </c>
      <c r="B760"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60" s="24" t="s">
        <v>174</v>
      </c>
    </row>
    <row r="761" spans="1:3" ht="18" customHeight="1" x14ac:dyDescent="0.2">
      <c r="A761" s="3" t="s">
        <v>289</v>
      </c>
      <c r="B761"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61" s="24" t="s">
        <v>174</v>
      </c>
    </row>
    <row r="762" spans="1:3" ht="18" customHeight="1" x14ac:dyDescent="0.2">
      <c r="A762" s="3" t="s">
        <v>289</v>
      </c>
      <c r="B762"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62" s="24" t="s">
        <v>174</v>
      </c>
    </row>
    <row r="763" spans="1:3" ht="18" customHeight="1" x14ac:dyDescent="0.2">
      <c r="A763" s="3" t="s">
        <v>289</v>
      </c>
      <c r="B763"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63" s="24" t="s">
        <v>174</v>
      </c>
    </row>
    <row r="764" spans="1:3" ht="18" customHeight="1" x14ac:dyDescent="0.2">
      <c r="A764" s="3" t="s">
        <v>289</v>
      </c>
      <c r="B764"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64" s="24" t="s">
        <v>174</v>
      </c>
    </row>
    <row r="765" spans="1:3" ht="18" customHeight="1" x14ac:dyDescent="0.2">
      <c r="A765" s="3" t="s">
        <v>289</v>
      </c>
      <c r="B765"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65" s="24" t="s">
        <v>174</v>
      </c>
    </row>
    <row r="766" spans="1:3" ht="18" customHeight="1" x14ac:dyDescent="0.2">
      <c r="A766" s="3" t="s">
        <v>289</v>
      </c>
      <c r="B766"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66" s="24" t="s">
        <v>174</v>
      </c>
    </row>
    <row r="767" spans="1:3" ht="18" customHeight="1" x14ac:dyDescent="0.2">
      <c r="A767" s="3" t="s">
        <v>289</v>
      </c>
      <c r="B767"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67" s="24" t="s">
        <v>174</v>
      </c>
    </row>
    <row r="768" spans="1:3" ht="18" customHeight="1" x14ac:dyDescent="0.2">
      <c r="A768" s="3" t="s">
        <v>289</v>
      </c>
      <c r="B768"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68" s="24" t="s">
        <v>174</v>
      </c>
    </row>
    <row r="769" spans="1:3" ht="18" customHeight="1" x14ac:dyDescent="0.2">
      <c r="A769" s="3" t="s">
        <v>289</v>
      </c>
      <c r="B769"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69" s="24" t="s">
        <v>174</v>
      </c>
    </row>
    <row r="770" spans="1:3" ht="18" customHeight="1" x14ac:dyDescent="0.2">
      <c r="A770" s="3" t="s">
        <v>289</v>
      </c>
      <c r="B770" s="6" t="str">
        <f t="shared" si="11"/>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70" s="24" t="s">
        <v>174</v>
      </c>
    </row>
    <row r="771" spans="1:3" ht="18" customHeight="1" x14ac:dyDescent="0.2">
      <c r="A771" s="3" t="s">
        <v>289</v>
      </c>
      <c r="B771" s="6" t="str">
        <f t="shared" ref="B771:B834" si="12">IF(ISBLANK(A771)=TRUE,B770,B770&amp;","&amp;A771)</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71" s="24" t="s">
        <v>174</v>
      </c>
    </row>
    <row r="772" spans="1:3" ht="18" customHeight="1" x14ac:dyDescent="0.2">
      <c r="A772" s="3" t="s">
        <v>289</v>
      </c>
      <c r="B772"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72" s="24" t="s">
        <v>174</v>
      </c>
    </row>
    <row r="773" spans="1:3" ht="18" customHeight="1" x14ac:dyDescent="0.2">
      <c r="A773" s="3" t="s">
        <v>289</v>
      </c>
      <c r="B773"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73" s="24" t="s">
        <v>174</v>
      </c>
    </row>
    <row r="774" spans="1:3" ht="18" customHeight="1" x14ac:dyDescent="0.2">
      <c r="A774" s="3" t="s">
        <v>289</v>
      </c>
      <c r="B774"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74" s="24" t="s">
        <v>174</v>
      </c>
    </row>
    <row r="775" spans="1:3" ht="18" customHeight="1" x14ac:dyDescent="0.2">
      <c r="A775" s="3" t="s">
        <v>289</v>
      </c>
      <c r="B775"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75" s="24" t="s">
        <v>174</v>
      </c>
    </row>
    <row r="776" spans="1:3" ht="18" customHeight="1" x14ac:dyDescent="0.2">
      <c r="A776" s="3" t="s">
        <v>289</v>
      </c>
      <c r="B776"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76" s="24" t="s">
        <v>174</v>
      </c>
    </row>
    <row r="777" spans="1:3" ht="18" customHeight="1" x14ac:dyDescent="0.2">
      <c r="A777" s="3" t="s">
        <v>289</v>
      </c>
      <c r="B777"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77" s="24" t="s">
        <v>174</v>
      </c>
    </row>
    <row r="778" spans="1:3" ht="18" customHeight="1" x14ac:dyDescent="0.2">
      <c r="A778" s="3" t="s">
        <v>289</v>
      </c>
      <c r="B778"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78" s="24" t="s">
        <v>174</v>
      </c>
    </row>
    <row r="779" spans="1:3" ht="18" customHeight="1" x14ac:dyDescent="0.2">
      <c r="A779" s="3" t="s">
        <v>289</v>
      </c>
      <c r="B779"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79" s="24" t="s">
        <v>174</v>
      </c>
    </row>
    <row r="780" spans="1:3" ht="18" customHeight="1" x14ac:dyDescent="0.2">
      <c r="A780" s="3" t="s">
        <v>289</v>
      </c>
      <c r="B780"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80" s="24" t="s">
        <v>174</v>
      </c>
    </row>
    <row r="781" spans="1:3" ht="18" customHeight="1" x14ac:dyDescent="0.2">
      <c r="A781" s="3" t="s">
        <v>289</v>
      </c>
      <c r="B781"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81" s="24" t="s">
        <v>174</v>
      </c>
    </row>
    <row r="782" spans="1:3" ht="18" customHeight="1" x14ac:dyDescent="0.2">
      <c r="A782" s="3" t="s">
        <v>289</v>
      </c>
      <c r="B782"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82" s="24" t="s">
        <v>174</v>
      </c>
    </row>
    <row r="783" spans="1:3" ht="18" customHeight="1" x14ac:dyDescent="0.2">
      <c r="A783" s="3" t="s">
        <v>289</v>
      </c>
      <c r="B783"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83" s="24" t="s">
        <v>174</v>
      </c>
    </row>
    <row r="784" spans="1:3" ht="18" customHeight="1" x14ac:dyDescent="0.2">
      <c r="A784" s="3" t="s">
        <v>289</v>
      </c>
      <c r="B784"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84" s="24" t="s">
        <v>174</v>
      </c>
    </row>
    <row r="785" spans="1:3" ht="18" customHeight="1" x14ac:dyDescent="0.2">
      <c r="A785" s="3" t="s">
        <v>289</v>
      </c>
      <c r="B785"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85" s="24" t="s">
        <v>174</v>
      </c>
    </row>
    <row r="786" spans="1:3" ht="18" customHeight="1" x14ac:dyDescent="0.2">
      <c r="A786" s="3" t="s">
        <v>289</v>
      </c>
      <c r="B786"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86" s="24" t="s">
        <v>174</v>
      </c>
    </row>
    <row r="787" spans="1:3" ht="18" customHeight="1" x14ac:dyDescent="0.2">
      <c r="A787" s="3" t="s">
        <v>289</v>
      </c>
      <c r="B787"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87" s="24" t="s">
        <v>174</v>
      </c>
    </row>
    <row r="788" spans="1:3" ht="18" customHeight="1" x14ac:dyDescent="0.2">
      <c r="A788" s="3" t="s">
        <v>289</v>
      </c>
      <c r="B788"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88" s="24" t="s">
        <v>174</v>
      </c>
    </row>
    <row r="789" spans="1:3" ht="18" customHeight="1" x14ac:dyDescent="0.2">
      <c r="A789" s="3" t="s">
        <v>289</v>
      </c>
      <c r="B789"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89" s="24" t="s">
        <v>174</v>
      </c>
    </row>
    <row r="790" spans="1:3" ht="18" customHeight="1" x14ac:dyDescent="0.2">
      <c r="A790" s="3" t="s">
        <v>289</v>
      </c>
      <c r="B790"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90" s="24" t="s">
        <v>174</v>
      </c>
    </row>
    <row r="791" spans="1:3" ht="18" customHeight="1" x14ac:dyDescent="0.2">
      <c r="A791" s="3" t="s">
        <v>289</v>
      </c>
      <c r="B791"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91" s="24" t="s">
        <v>174</v>
      </c>
    </row>
    <row r="792" spans="1:3" ht="18" customHeight="1" x14ac:dyDescent="0.2">
      <c r="A792" s="3" t="s">
        <v>289</v>
      </c>
      <c r="B792"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92" s="24" t="s">
        <v>174</v>
      </c>
    </row>
    <row r="793" spans="1:3" ht="18" customHeight="1" x14ac:dyDescent="0.2">
      <c r="A793" s="3" t="s">
        <v>289</v>
      </c>
      <c r="B793"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93" s="24" t="s">
        <v>174</v>
      </c>
    </row>
    <row r="794" spans="1:3" ht="18" customHeight="1" x14ac:dyDescent="0.2">
      <c r="A794" s="3" t="s">
        <v>289</v>
      </c>
      <c r="B794"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94" s="24" t="s">
        <v>174</v>
      </c>
    </row>
    <row r="795" spans="1:3" ht="18" customHeight="1" x14ac:dyDescent="0.2">
      <c r="A795" s="3" t="s">
        <v>289</v>
      </c>
      <c r="B795"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95" s="24" t="s">
        <v>174</v>
      </c>
    </row>
    <row r="796" spans="1:3" ht="18" customHeight="1" x14ac:dyDescent="0.2">
      <c r="A796" s="3" t="s">
        <v>289</v>
      </c>
      <c r="B796"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96" s="24" t="s">
        <v>174</v>
      </c>
    </row>
    <row r="797" spans="1:3" ht="18" customHeight="1" x14ac:dyDescent="0.2">
      <c r="A797" s="3" t="s">
        <v>289</v>
      </c>
      <c r="B797"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97" s="24" t="s">
        <v>174</v>
      </c>
    </row>
    <row r="798" spans="1:3" ht="18" customHeight="1" x14ac:dyDescent="0.2">
      <c r="A798" s="3" t="s">
        <v>289</v>
      </c>
      <c r="B798"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98" s="24" t="s">
        <v>174</v>
      </c>
    </row>
    <row r="799" spans="1:3" ht="18" customHeight="1" x14ac:dyDescent="0.2">
      <c r="A799" s="3" t="s">
        <v>289</v>
      </c>
      <c r="B799"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799" s="24" t="s">
        <v>174</v>
      </c>
    </row>
    <row r="800" spans="1:3" ht="18" customHeight="1" x14ac:dyDescent="0.2">
      <c r="A800" s="3" t="s">
        <v>289</v>
      </c>
      <c r="B800"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00" s="24" t="s">
        <v>174</v>
      </c>
    </row>
    <row r="801" spans="1:3" ht="18" customHeight="1" x14ac:dyDescent="0.2">
      <c r="A801" s="3" t="s">
        <v>289</v>
      </c>
      <c r="B801"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01" s="24" t="s">
        <v>174</v>
      </c>
    </row>
    <row r="802" spans="1:3" ht="18" customHeight="1" x14ac:dyDescent="0.2">
      <c r="A802" s="3" t="s">
        <v>289</v>
      </c>
      <c r="B802"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02" s="24" t="s">
        <v>174</v>
      </c>
    </row>
    <row r="803" spans="1:3" ht="18" customHeight="1" x14ac:dyDescent="0.2">
      <c r="A803" s="3" t="s">
        <v>289</v>
      </c>
      <c r="B803"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03" s="24" t="s">
        <v>174</v>
      </c>
    </row>
    <row r="804" spans="1:3" ht="18" customHeight="1" x14ac:dyDescent="0.2">
      <c r="A804" s="3" t="s">
        <v>289</v>
      </c>
      <c r="B804"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04" s="24" t="s">
        <v>174</v>
      </c>
    </row>
    <row r="805" spans="1:3" ht="18" customHeight="1" x14ac:dyDescent="0.2">
      <c r="A805" s="3" t="s">
        <v>289</v>
      </c>
      <c r="B805"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05" s="24" t="s">
        <v>174</v>
      </c>
    </row>
    <row r="806" spans="1:3" ht="18" customHeight="1" x14ac:dyDescent="0.2">
      <c r="A806" s="3" t="s">
        <v>289</v>
      </c>
      <c r="B806"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06" s="24" t="s">
        <v>174</v>
      </c>
    </row>
    <row r="807" spans="1:3" ht="18" customHeight="1" x14ac:dyDescent="0.2">
      <c r="A807" s="3" t="s">
        <v>289</v>
      </c>
      <c r="B807"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07" s="24" t="s">
        <v>174</v>
      </c>
    </row>
    <row r="808" spans="1:3" ht="18" customHeight="1" x14ac:dyDescent="0.2">
      <c r="A808" s="3" t="s">
        <v>289</v>
      </c>
      <c r="B808"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08" s="24" t="s">
        <v>174</v>
      </c>
    </row>
    <row r="809" spans="1:3" ht="18" customHeight="1" x14ac:dyDescent="0.2">
      <c r="A809" s="3" t="s">
        <v>289</v>
      </c>
      <c r="B809"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09" s="24" t="s">
        <v>174</v>
      </c>
    </row>
    <row r="810" spans="1:3" ht="18" customHeight="1" x14ac:dyDescent="0.2">
      <c r="A810" s="3" t="s">
        <v>289</v>
      </c>
      <c r="B810"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10" s="24" t="s">
        <v>174</v>
      </c>
    </row>
    <row r="811" spans="1:3" ht="18" customHeight="1" x14ac:dyDescent="0.2">
      <c r="A811" s="3" t="s">
        <v>289</v>
      </c>
      <c r="B811"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11" s="24" t="s">
        <v>174</v>
      </c>
    </row>
    <row r="812" spans="1:3" ht="18" customHeight="1" x14ac:dyDescent="0.2">
      <c r="A812" s="3" t="s">
        <v>289</v>
      </c>
      <c r="B812"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12" s="24" t="s">
        <v>174</v>
      </c>
    </row>
    <row r="813" spans="1:3" ht="18" customHeight="1" x14ac:dyDescent="0.2">
      <c r="A813" s="3" t="s">
        <v>289</v>
      </c>
      <c r="B813"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13" s="24" t="s">
        <v>174</v>
      </c>
    </row>
    <row r="814" spans="1:3" ht="18" customHeight="1" x14ac:dyDescent="0.2">
      <c r="A814" s="3" t="s">
        <v>289</v>
      </c>
      <c r="B814"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14" s="24" t="s">
        <v>174</v>
      </c>
    </row>
    <row r="815" spans="1:3" ht="18" customHeight="1" x14ac:dyDescent="0.2">
      <c r="A815" s="3" t="s">
        <v>289</v>
      </c>
      <c r="B815"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15" s="24" t="s">
        <v>174</v>
      </c>
    </row>
    <row r="816" spans="1:3" ht="18" customHeight="1" x14ac:dyDescent="0.2">
      <c r="A816" s="3" t="s">
        <v>289</v>
      </c>
      <c r="B816"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16" s="24" t="s">
        <v>174</v>
      </c>
    </row>
    <row r="817" spans="1:3" ht="18" customHeight="1" x14ac:dyDescent="0.2">
      <c r="A817" s="3" t="s">
        <v>289</v>
      </c>
      <c r="B817"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17" s="24" t="s">
        <v>174</v>
      </c>
    </row>
    <row r="818" spans="1:3" ht="18" customHeight="1" x14ac:dyDescent="0.2">
      <c r="A818" s="3" t="s">
        <v>289</v>
      </c>
      <c r="B818"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18" s="24" t="s">
        <v>174</v>
      </c>
    </row>
    <row r="819" spans="1:3" ht="18" customHeight="1" x14ac:dyDescent="0.2">
      <c r="A819" s="3" t="s">
        <v>289</v>
      </c>
      <c r="B819"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19" s="24" t="s">
        <v>174</v>
      </c>
    </row>
    <row r="820" spans="1:3" ht="18" customHeight="1" x14ac:dyDescent="0.2">
      <c r="A820" s="3" t="s">
        <v>289</v>
      </c>
      <c r="B820"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20" s="24" t="s">
        <v>174</v>
      </c>
    </row>
    <row r="821" spans="1:3" ht="18" customHeight="1" x14ac:dyDescent="0.2">
      <c r="A821" s="3" t="s">
        <v>289</v>
      </c>
      <c r="B821"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21" s="24" t="s">
        <v>174</v>
      </c>
    </row>
    <row r="822" spans="1:3" ht="18" customHeight="1" x14ac:dyDescent="0.2">
      <c r="A822" s="3" t="s">
        <v>289</v>
      </c>
      <c r="B822"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22" s="24" t="s">
        <v>174</v>
      </c>
    </row>
    <row r="823" spans="1:3" ht="18" customHeight="1" x14ac:dyDescent="0.2">
      <c r="A823" s="3" t="s">
        <v>289</v>
      </c>
      <c r="B823"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23" s="24" t="s">
        <v>174</v>
      </c>
    </row>
    <row r="824" spans="1:3" ht="18" customHeight="1" x14ac:dyDescent="0.2">
      <c r="A824" s="3" t="s">
        <v>289</v>
      </c>
      <c r="B824"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24" s="24" t="s">
        <v>174</v>
      </c>
    </row>
    <row r="825" spans="1:3" ht="18" customHeight="1" x14ac:dyDescent="0.2">
      <c r="A825" s="3" t="s">
        <v>289</v>
      </c>
      <c r="B825"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25" s="24" t="s">
        <v>174</v>
      </c>
    </row>
    <row r="826" spans="1:3" ht="18" customHeight="1" x14ac:dyDescent="0.2">
      <c r="A826" s="3" t="s">
        <v>289</v>
      </c>
      <c r="B826"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26" s="24" t="s">
        <v>174</v>
      </c>
    </row>
    <row r="827" spans="1:3" ht="18" customHeight="1" x14ac:dyDescent="0.2">
      <c r="A827" s="3" t="s">
        <v>289</v>
      </c>
      <c r="B827"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27" s="24" t="s">
        <v>174</v>
      </c>
    </row>
    <row r="828" spans="1:3" ht="18" customHeight="1" x14ac:dyDescent="0.2">
      <c r="A828" s="3" t="s">
        <v>289</v>
      </c>
      <c r="B828"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28" s="24" t="s">
        <v>174</v>
      </c>
    </row>
    <row r="829" spans="1:3" ht="18" customHeight="1" x14ac:dyDescent="0.2">
      <c r="A829" s="3" t="s">
        <v>289</v>
      </c>
      <c r="B829"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29" s="24" t="s">
        <v>174</v>
      </c>
    </row>
    <row r="830" spans="1:3" ht="18" customHeight="1" x14ac:dyDescent="0.2">
      <c r="A830" s="3" t="s">
        <v>289</v>
      </c>
      <c r="B830"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30" s="24" t="s">
        <v>174</v>
      </c>
    </row>
    <row r="831" spans="1:3" ht="18" customHeight="1" x14ac:dyDescent="0.2">
      <c r="A831" s="3" t="s">
        <v>289</v>
      </c>
      <c r="B831"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31" s="24" t="s">
        <v>174</v>
      </c>
    </row>
    <row r="832" spans="1:3" ht="18" customHeight="1" x14ac:dyDescent="0.2">
      <c r="A832" s="3" t="s">
        <v>289</v>
      </c>
      <c r="B832"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32" s="24" t="s">
        <v>174</v>
      </c>
    </row>
    <row r="833" spans="1:3" ht="18" customHeight="1" x14ac:dyDescent="0.2">
      <c r="A833" s="3" t="s">
        <v>289</v>
      </c>
      <c r="B833"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33" s="24" t="s">
        <v>174</v>
      </c>
    </row>
    <row r="834" spans="1:3" ht="18" customHeight="1" x14ac:dyDescent="0.2">
      <c r="A834" s="3" t="s">
        <v>289</v>
      </c>
      <c r="B834" s="6" t="str">
        <f t="shared" si="12"/>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34" s="24" t="s">
        <v>174</v>
      </c>
    </row>
    <row r="835" spans="1:3" ht="18" customHeight="1" x14ac:dyDescent="0.2">
      <c r="A835" s="3" t="s">
        <v>289</v>
      </c>
      <c r="B835" s="6" t="str">
        <f t="shared" ref="B835:B898" si="13">IF(ISBLANK(A835)=TRUE,B834,B834&amp;","&amp;A835)</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35" s="24" t="s">
        <v>174</v>
      </c>
    </row>
    <row r="836" spans="1:3" ht="18" customHeight="1" x14ac:dyDescent="0.2">
      <c r="A836" s="3" t="s">
        <v>289</v>
      </c>
      <c r="B836"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36" s="24" t="s">
        <v>174</v>
      </c>
    </row>
    <row r="837" spans="1:3" ht="18" customHeight="1" x14ac:dyDescent="0.2">
      <c r="A837" s="3" t="s">
        <v>289</v>
      </c>
      <c r="B837"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37" s="24" t="s">
        <v>174</v>
      </c>
    </row>
    <row r="838" spans="1:3" ht="18" customHeight="1" x14ac:dyDescent="0.2">
      <c r="A838" s="3" t="s">
        <v>289</v>
      </c>
      <c r="B838"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38" s="24" t="s">
        <v>174</v>
      </c>
    </row>
    <row r="839" spans="1:3" ht="18" customHeight="1" x14ac:dyDescent="0.2">
      <c r="A839" s="3" t="s">
        <v>289</v>
      </c>
      <c r="B839"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39" s="24" t="s">
        <v>174</v>
      </c>
    </row>
    <row r="840" spans="1:3" ht="18" customHeight="1" x14ac:dyDescent="0.2">
      <c r="A840" s="3" t="s">
        <v>289</v>
      </c>
      <c r="B840"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40" s="24" t="s">
        <v>174</v>
      </c>
    </row>
    <row r="841" spans="1:3" ht="18" customHeight="1" x14ac:dyDescent="0.2">
      <c r="A841" s="3" t="s">
        <v>289</v>
      </c>
      <c r="B841"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41" s="24" t="s">
        <v>174</v>
      </c>
    </row>
    <row r="842" spans="1:3" ht="18" customHeight="1" x14ac:dyDescent="0.2">
      <c r="A842" s="3" t="s">
        <v>289</v>
      </c>
      <c r="B842"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42" s="24" t="s">
        <v>174</v>
      </c>
    </row>
    <row r="843" spans="1:3" ht="18" customHeight="1" x14ac:dyDescent="0.2">
      <c r="A843" s="3" t="s">
        <v>289</v>
      </c>
      <c r="B843"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43" s="24" t="s">
        <v>174</v>
      </c>
    </row>
    <row r="844" spans="1:3" ht="18" customHeight="1" x14ac:dyDescent="0.2">
      <c r="A844" s="3" t="s">
        <v>289</v>
      </c>
      <c r="B844"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44" s="24" t="s">
        <v>174</v>
      </c>
    </row>
    <row r="845" spans="1:3" ht="18" customHeight="1" x14ac:dyDescent="0.2">
      <c r="A845" s="3" t="s">
        <v>289</v>
      </c>
      <c r="B845"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45" s="24" t="s">
        <v>174</v>
      </c>
    </row>
    <row r="846" spans="1:3" ht="18" customHeight="1" x14ac:dyDescent="0.2">
      <c r="A846" s="3" t="s">
        <v>289</v>
      </c>
      <c r="B846"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46" s="24" t="s">
        <v>174</v>
      </c>
    </row>
    <row r="847" spans="1:3" ht="18" customHeight="1" x14ac:dyDescent="0.2">
      <c r="A847" s="3" t="s">
        <v>289</v>
      </c>
      <c r="B847"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47" s="24" t="s">
        <v>174</v>
      </c>
    </row>
    <row r="848" spans="1:3" ht="18" customHeight="1" x14ac:dyDescent="0.2">
      <c r="A848" s="3" t="s">
        <v>289</v>
      </c>
      <c r="B848"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48" s="24" t="s">
        <v>174</v>
      </c>
    </row>
    <row r="849" spans="1:3" ht="18" customHeight="1" x14ac:dyDescent="0.2">
      <c r="A849" s="3" t="s">
        <v>289</v>
      </c>
      <c r="B849"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49" s="24" t="s">
        <v>174</v>
      </c>
    </row>
    <row r="850" spans="1:3" ht="18" customHeight="1" x14ac:dyDescent="0.2">
      <c r="A850" s="3" t="s">
        <v>289</v>
      </c>
      <c r="B850"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50" s="24" t="s">
        <v>174</v>
      </c>
    </row>
    <row r="851" spans="1:3" ht="18" customHeight="1" x14ac:dyDescent="0.2">
      <c r="A851" s="3" t="s">
        <v>289</v>
      </c>
      <c r="B851"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51" s="24" t="s">
        <v>174</v>
      </c>
    </row>
    <row r="852" spans="1:3" ht="18" customHeight="1" x14ac:dyDescent="0.2">
      <c r="A852" s="3" t="s">
        <v>289</v>
      </c>
      <c r="B852"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52" s="24" t="s">
        <v>174</v>
      </c>
    </row>
    <row r="853" spans="1:3" ht="18" customHeight="1" x14ac:dyDescent="0.2">
      <c r="A853" s="3" t="s">
        <v>289</v>
      </c>
      <c r="B853"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53" s="24" t="s">
        <v>174</v>
      </c>
    </row>
    <row r="854" spans="1:3" ht="18" customHeight="1" x14ac:dyDescent="0.2">
      <c r="A854" s="3" t="s">
        <v>289</v>
      </c>
      <c r="B854"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54" s="24" t="s">
        <v>174</v>
      </c>
    </row>
    <row r="855" spans="1:3" ht="18" customHeight="1" x14ac:dyDescent="0.2">
      <c r="A855" s="3" t="s">
        <v>289</v>
      </c>
      <c r="B855"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55" s="24" t="s">
        <v>174</v>
      </c>
    </row>
    <row r="856" spans="1:3" ht="18" customHeight="1" x14ac:dyDescent="0.2">
      <c r="A856" s="3" t="s">
        <v>289</v>
      </c>
      <c r="B856"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56" s="24" t="s">
        <v>174</v>
      </c>
    </row>
    <row r="857" spans="1:3" ht="18" customHeight="1" x14ac:dyDescent="0.2">
      <c r="A857" s="3" t="s">
        <v>289</v>
      </c>
      <c r="B857"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57" s="24" t="s">
        <v>174</v>
      </c>
    </row>
    <row r="858" spans="1:3" ht="18" customHeight="1" x14ac:dyDescent="0.2">
      <c r="A858" s="3" t="s">
        <v>289</v>
      </c>
      <c r="B858"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58" s="24" t="s">
        <v>174</v>
      </c>
    </row>
    <row r="859" spans="1:3" ht="18" customHeight="1" x14ac:dyDescent="0.2">
      <c r="A859" s="3" t="s">
        <v>289</v>
      </c>
      <c r="B859"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59" s="24" t="s">
        <v>174</v>
      </c>
    </row>
    <row r="860" spans="1:3" ht="18" customHeight="1" x14ac:dyDescent="0.2">
      <c r="A860" s="3" t="s">
        <v>289</v>
      </c>
      <c r="B860"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60" s="24" t="s">
        <v>174</v>
      </c>
    </row>
    <row r="861" spans="1:3" ht="18" customHeight="1" x14ac:dyDescent="0.2">
      <c r="A861" s="3" t="s">
        <v>289</v>
      </c>
      <c r="B861"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61" s="24" t="s">
        <v>174</v>
      </c>
    </row>
    <row r="862" spans="1:3" ht="18" customHeight="1" x14ac:dyDescent="0.2">
      <c r="A862" s="3" t="s">
        <v>289</v>
      </c>
      <c r="B862"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62" s="24" t="s">
        <v>174</v>
      </c>
    </row>
    <row r="863" spans="1:3" ht="18" customHeight="1" x14ac:dyDescent="0.2">
      <c r="A863" s="3" t="s">
        <v>289</v>
      </c>
      <c r="B863"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63" s="24" t="s">
        <v>174</v>
      </c>
    </row>
    <row r="864" spans="1:3" ht="18" customHeight="1" x14ac:dyDescent="0.2">
      <c r="A864" s="3" t="s">
        <v>289</v>
      </c>
      <c r="B864"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64" s="24" t="s">
        <v>174</v>
      </c>
    </row>
    <row r="865" spans="1:3" ht="18" customHeight="1" x14ac:dyDescent="0.2">
      <c r="A865" s="3" t="s">
        <v>289</v>
      </c>
      <c r="B865"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65" s="24" t="s">
        <v>174</v>
      </c>
    </row>
    <row r="866" spans="1:3" ht="18" customHeight="1" x14ac:dyDescent="0.2">
      <c r="A866" s="3" t="s">
        <v>289</v>
      </c>
      <c r="B866"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66" s="24" t="s">
        <v>174</v>
      </c>
    </row>
    <row r="867" spans="1:3" ht="18" customHeight="1" x14ac:dyDescent="0.2">
      <c r="A867" s="3" t="s">
        <v>289</v>
      </c>
      <c r="B867"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67" s="24" t="s">
        <v>174</v>
      </c>
    </row>
    <row r="868" spans="1:3" ht="18" customHeight="1" x14ac:dyDescent="0.2">
      <c r="A868" s="3" t="s">
        <v>289</v>
      </c>
      <c r="B868"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68" s="24" t="s">
        <v>174</v>
      </c>
    </row>
    <row r="869" spans="1:3" ht="18" customHeight="1" x14ac:dyDescent="0.2">
      <c r="A869" s="3" t="s">
        <v>289</v>
      </c>
      <c r="B869"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69" s="24" t="s">
        <v>174</v>
      </c>
    </row>
    <row r="870" spans="1:3" ht="18" customHeight="1" x14ac:dyDescent="0.2">
      <c r="A870" s="3" t="s">
        <v>289</v>
      </c>
      <c r="B870"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70" s="24" t="s">
        <v>174</v>
      </c>
    </row>
    <row r="871" spans="1:3" ht="18" customHeight="1" x14ac:dyDescent="0.2">
      <c r="A871" s="3" t="s">
        <v>289</v>
      </c>
      <c r="B871"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71" s="24" t="s">
        <v>174</v>
      </c>
    </row>
    <row r="872" spans="1:3" ht="18" customHeight="1" x14ac:dyDescent="0.2">
      <c r="A872" s="3" t="s">
        <v>289</v>
      </c>
      <c r="B872"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72" s="24" t="s">
        <v>174</v>
      </c>
    </row>
    <row r="873" spans="1:3" ht="18" customHeight="1" x14ac:dyDescent="0.2">
      <c r="A873" s="3" t="s">
        <v>289</v>
      </c>
      <c r="B873"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73" s="24" t="s">
        <v>174</v>
      </c>
    </row>
    <row r="874" spans="1:3" ht="18" customHeight="1" x14ac:dyDescent="0.2">
      <c r="A874" s="3" t="s">
        <v>289</v>
      </c>
      <c r="B874"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74" s="24" t="s">
        <v>174</v>
      </c>
    </row>
    <row r="875" spans="1:3" ht="18" customHeight="1" x14ac:dyDescent="0.2">
      <c r="A875" s="3" t="s">
        <v>289</v>
      </c>
      <c r="B875"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75" s="24" t="s">
        <v>174</v>
      </c>
    </row>
    <row r="876" spans="1:3" ht="18" customHeight="1" x14ac:dyDescent="0.2">
      <c r="A876" s="3" t="s">
        <v>289</v>
      </c>
      <c r="B876"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76" s="24" t="s">
        <v>174</v>
      </c>
    </row>
    <row r="877" spans="1:3" ht="18" customHeight="1" x14ac:dyDescent="0.2">
      <c r="A877" s="3" t="s">
        <v>289</v>
      </c>
      <c r="B877"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77" s="24" t="s">
        <v>174</v>
      </c>
    </row>
    <row r="878" spans="1:3" ht="18" customHeight="1" x14ac:dyDescent="0.2">
      <c r="A878" s="3" t="s">
        <v>289</v>
      </c>
      <c r="B878"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78" s="24" t="s">
        <v>174</v>
      </c>
    </row>
    <row r="879" spans="1:3" ht="18" customHeight="1" x14ac:dyDescent="0.2">
      <c r="A879" s="3" t="s">
        <v>289</v>
      </c>
      <c r="B879"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79" s="24" t="s">
        <v>174</v>
      </c>
    </row>
    <row r="880" spans="1:3" ht="18" customHeight="1" x14ac:dyDescent="0.2">
      <c r="A880" s="3" t="s">
        <v>289</v>
      </c>
      <c r="B880"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80" s="24" t="s">
        <v>174</v>
      </c>
    </row>
    <row r="881" spans="1:3" ht="18" customHeight="1" x14ac:dyDescent="0.2">
      <c r="A881" s="3" t="s">
        <v>289</v>
      </c>
      <c r="B881"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81" s="24" t="s">
        <v>174</v>
      </c>
    </row>
    <row r="882" spans="1:3" ht="18" customHeight="1" x14ac:dyDescent="0.2">
      <c r="A882" s="3" t="s">
        <v>289</v>
      </c>
      <c r="B882"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82" s="24" t="s">
        <v>174</v>
      </c>
    </row>
    <row r="883" spans="1:3" ht="18" customHeight="1" x14ac:dyDescent="0.2">
      <c r="A883" s="3" t="s">
        <v>289</v>
      </c>
      <c r="B883"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83" s="24" t="s">
        <v>174</v>
      </c>
    </row>
    <row r="884" spans="1:3" ht="18" customHeight="1" x14ac:dyDescent="0.2">
      <c r="A884" s="3" t="s">
        <v>289</v>
      </c>
      <c r="B884"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84" s="24" t="s">
        <v>174</v>
      </c>
    </row>
    <row r="885" spans="1:3" ht="18" customHeight="1" x14ac:dyDescent="0.2">
      <c r="A885" s="3" t="s">
        <v>289</v>
      </c>
      <c r="B885"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85" s="24" t="s">
        <v>174</v>
      </c>
    </row>
    <row r="886" spans="1:3" ht="18" customHeight="1" x14ac:dyDescent="0.2">
      <c r="A886" s="3" t="s">
        <v>289</v>
      </c>
      <c r="B886"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86" s="24" t="s">
        <v>174</v>
      </c>
    </row>
    <row r="887" spans="1:3" ht="18" customHeight="1" x14ac:dyDescent="0.2">
      <c r="A887" s="3" t="s">
        <v>289</v>
      </c>
      <c r="B887"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87" s="24" t="s">
        <v>174</v>
      </c>
    </row>
    <row r="888" spans="1:3" ht="18" customHeight="1" x14ac:dyDescent="0.2">
      <c r="A888" s="3" t="s">
        <v>289</v>
      </c>
      <c r="B888"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88" s="24" t="s">
        <v>174</v>
      </c>
    </row>
    <row r="889" spans="1:3" ht="18" customHeight="1" x14ac:dyDescent="0.2">
      <c r="A889" s="3" t="s">
        <v>289</v>
      </c>
      <c r="B889"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89" s="24" t="s">
        <v>174</v>
      </c>
    </row>
    <row r="890" spans="1:3" ht="18" customHeight="1" x14ac:dyDescent="0.2">
      <c r="A890" s="3" t="s">
        <v>289</v>
      </c>
      <c r="B890"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90" s="24" t="s">
        <v>174</v>
      </c>
    </row>
    <row r="891" spans="1:3" ht="18" customHeight="1" x14ac:dyDescent="0.2">
      <c r="A891" s="3" t="s">
        <v>289</v>
      </c>
      <c r="B891"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91" s="24" t="s">
        <v>174</v>
      </c>
    </row>
    <row r="892" spans="1:3" ht="18" customHeight="1" x14ac:dyDescent="0.2">
      <c r="A892" s="3" t="s">
        <v>289</v>
      </c>
      <c r="B892"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92" s="24" t="s">
        <v>174</v>
      </c>
    </row>
    <row r="893" spans="1:3" ht="18" customHeight="1" x14ac:dyDescent="0.2">
      <c r="A893" s="3" t="s">
        <v>289</v>
      </c>
      <c r="B893"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93" s="24" t="s">
        <v>174</v>
      </c>
    </row>
    <row r="894" spans="1:3" ht="18" customHeight="1" x14ac:dyDescent="0.2">
      <c r="A894" s="3" t="s">
        <v>289</v>
      </c>
      <c r="B894"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94" s="24" t="s">
        <v>174</v>
      </c>
    </row>
    <row r="895" spans="1:3" ht="18" customHeight="1" x14ac:dyDescent="0.2">
      <c r="A895" s="3" t="s">
        <v>289</v>
      </c>
      <c r="B895"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95" s="24" t="s">
        <v>174</v>
      </c>
    </row>
    <row r="896" spans="1:3" ht="18" customHeight="1" x14ac:dyDescent="0.2">
      <c r="A896" s="3" t="s">
        <v>289</v>
      </c>
      <c r="B896"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96" s="24" t="s">
        <v>174</v>
      </c>
    </row>
    <row r="897" spans="1:3" ht="18" customHeight="1" x14ac:dyDescent="0.2">
      <c r="A897" s="3" t="s">
        <v>289</v>
      </c>
      <c r="B897"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97" s="24" t="s">
        <v>174</v>
      </c>
    </row>
    <row r="898" spans="1:3" ht="18" customHeight="1" x14ac:dyDescent="0.2">
      <c r="A898" s="3" t="s">
        <v>289</v>
      </c>
      <c r="B898" s="6" t="str">
        <f t="shared" si="13"/>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98" s="24" t="s">
        <v>174</v>
      </c>
    </row>
    <row r="899" spans="1:3" ht="18" customHeight="1" x14ac:dyDescent="0.2">
      <c r="A899" s="3" t="s">
        <v>289</v>
      </c>
      <c r="B899" s="6" t="str">
        <f t="shared" ref="B899:B962" si="14">IF(ISBLANK(A899)=TRUE,B898,B898&amp;","&amp;A899)</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899" s="24" t="s">
        <v>174</v>
      </c>
    </row>
    <row r="900" spans="1:3" ht="18" customHeight="1" x14ac:dyDescent="0.2">
      <c r="A900" s="3" t="s">
        <v>289</v>
      </c>
      <c r="B900"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00" s="24" t="s">
        <v>174</v>
      </c>
    </row>
    <row r="901" spans="1:3" ht="18" customHeight="1" x14ac:dyDescent="0.2">
      <c r="A901" s="3" t="s">
        <v>289</v>
      </c>
      <c r="B901"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01" s="24" t="s">
        <v>174</v>
      </c>
    </row>
    <row r="902" spans="1:3" ht="18" customHeight="1" x14ac:dyDescent="0.2">
      <c r="A902" s="3" t="s">
        <v>289</v>
      </c>
      <c r="B902"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02" s="24" t="s">
        <v>174</v>
      </c>
    </row>
    <row r="903" spans="1:3" ht="18" customHeight="1" x14ac:dyDescent="0.2">
      <c r="A903" s="3" t="s">
        <v>289</v>
      </c>
      <c r="B903"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03" s="24" t="s">
        <v>174</v>
      </c>
    </row>
    <row r="904" spans="1:3" ht="18" customHeight="1" x14ac:dyDescent="0.2">
      <c r="A904" s="3" t="s">
        <v>289</v>
      </c>
      <c r="B904"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04" s="24" t="s">
        <v>174</v>
      </c>
    </row>
    <row r="905" spans="1:3" ht="18" customHeight="1" x14ac:dyDescent="0.2">
      <c r="A905" s="3" t="s">
        <v>289</v>
      </c>
      <c r="B905"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05" s="24" t="s">
        <v>174</v>
      </c>
    </row>
    <row r="906" spans="1:3" ht="18" customHeight="1" x14ac:dyDescent="0.2">
      <c r="A906" s="3" t="s">
        <v>289</v>
      </c>
      <c r="B906"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06" s="24" t="s">
        <v>174</v>
      </c>
    </row>
    <row r="907" spans="1:3" ht="18" customHeight="1" x14ac:dyDescent="0.2">
      <c r="A907" s="3" t="s">
        <v>289</v>
      </c>
      <c r="B907"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07" s="24" t="s">
        <v>174</v>
      </c>
    </row>
    <row r="908" spans="1:3" ht="18" customHeight="1" x14ac:dyDescent="0.2">
      <c r="A908" s="3" t="s">
        <v>289</v>
      </c>
      <c r="B908"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08" s="24" t="s">
        <v>174</v>
      </c>
    </row>
    <row r="909" spans="1:3" ht="18" customHeight="1" x14ac:dyDescent="0.2">
      <c r="A909" s="3" t="s">
        <v>289</v>
      </c>
      <c r="B909"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09" s="24" t="s">
        <v>174</v>
      </c>
    </row>
    <row r="910" spans="1:3" ht="18" customHeight="1" x14ac:dyDescent="0.2">
      <c r="A910" s="3" t="s">
        <v>289</v>
      </c>
      <c r="B910"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10" s="24" t="s">
        <v>174</v>
      </c>
    </row>
    <row r="911" spans="1:3" ht="18" customHeight="1" x14ac:dyDescent="0.2">
      <c r="A911" s="3" t="s">
        <v>289</v>
      </c>
      <c r="B911"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11" s="24" t="s">
        <v>174</v>
      </c>
    </row>
    <row r="912" spans="1:3" ht="18" customHeight="1" x14ac:dyDescent="0.2">
      <c r="A912" s="3" t="s">
        <v>289</v>
      </c>
      <c r="B912"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12" s="24" t="s">
        <v>174</v>
      </c>
    </row>
    <row r="913" spans="1:3" ht="18" customHeight="1" x14ac:dyDescent="0.2">
      <c r="A913" s="3" t="s">
        <v>289</v>
      </c>
      <c r="B913"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13" s="24" t="s">
        <v>174</v>
      </c>
    </row>
    <row r="914" spans="1:3" ht="18" customHeight="1" x14ac:dyDescent="0.2">
      <c r="A914" s="3" t="s">
        <v>289</v>
      </c>
      <c r="B914"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14" s="24" t="s">
        <v>174</v>
      </c>
    </row>
    <row r="915" spans="1:3" ht="18" customHeight="1" x14ac:dyDescent="0.2">
      <c r="A915" s="3" t="s">
        <v>289</v>
      </c>
      <c r="B915"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15" s="24" t="s">
        <v>174</v>
      </c>
    </row>
    <row r="916" spans="1:3" ht="18" customHeight="1" x14ac:dyDescent="0.2">
      <c r="A916" s="3" t="s">
        <v>289</v>
      </c>
      <c r="B916"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16" s="24" t="s">
        <v>174</v>
      </c>
    </row>
    <row r="917" spans="1:3" ht="18" customHeight="1" x14ac:dyDescent="0.2">
      <c r="A917" s="3" t="s">
        <v>289</v>
      </c>
      <c r="B917"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17" s="24" t="s">
        <v>174</v>
      </c>
    </row>
    <row r="918" spans="1:3" ht="18" customHeight="1" x14ac:dyDescent="0.2">
      <c r="A918" s="3" t="s">
        <v>289</v>
      </c>
      <c r="B918"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18" s="24" t="s">
        <v>174</v>
      </c>
    </row>
    <row r="919" spans="1:3" ht="18" customHeight="1" x14ac:dyDescent="0.2">
      <c r="A919" s="3" t="s">
        <v>289</v>
      </c>
      <c r="B919"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19" s="24" t="s">
        <v>174</v>
      </c>
    </row>
    <row r="920" spans="1:3" ht="18" customHeight="1" x14ac:dyDescent="0.2">
      <c r="A920" s="3" t="s">
        <v>289</v>
      </c>
      <c r="B920"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20" s="24" t="s">
        <v>174</v>
      </c>
    </row>
    <row r="921" spans="1:3" ht="18" customHeight="1" x14ac:dyDescent="0.2">
      <c r="A921" s="3" t="s">
        <v>289</v>
      </c>
      <c r="B921"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21" s="24" t="s">
        <v>174</v>
      </c>
    </row>
    <row r="922" spans="1:3" ht="18" customHeight="1" x14ac:dyDescent="0.2">
      <c r="A922" s="3" t="s">
        <v>289</v>
      </c>
      <c r="B922"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22" s="24" t="s">
        <v>174</v>
      </c>
    </row>
    <row r="923" spans="1:3" ht="18" customHeight="1" x14ac:dyDescent="0.2">
      <c r="A923" s="3" t="s">
        <v>289</v>
      </c>
      <c r="B923"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23" s="24" t="s">
        <v>174</v>
      </c>
    </row>
    <row r="924" spans="1:3" ht="18" customHeight="1" x14ac:dyDescent="0.2">
      <c r="A924" s="3" t="s">
        <v>289</v>
      </c>
      <c r="B924"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24" s="24" t="s">
        <v>174</v>
      </c>
    </row>
    <row r="925" spans="1:3" ht="18" customHeight="1" x14ac:dyDescent="0.2">
      <c r="A925" s="3" t="s">
        <v>289</v>
      </c>
      <c r="B925"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25" s="24" t="s">
        <v>174</v>
      </c>
    </row>
    <row r="926" spans="1:3" ht="18" customHeight="1" x14ac:dyDescent="0.2">
      <c r="A926" s="3" t="s">
        <v>289</v>
      </c>
      <c r="B926"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26" s="24" t="s">
        <v>174</v>
      </c>
    </row>
    <row r="927" spans="1:3" ht="18" customHeight="1" x14ac:dyDescent="0.2">
      <c r="A927" s="3" t="s">
        <v>289</v>
      </c>
      <c r="B927"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27" s="24" t="s">
        <v>174</v>
      </c>
    </row>
    <row r="928" spans="1:3" ht="18" customHeight="1" x14ac:dyDescent="0.2">
      <c r="A928" s="3" t="s">
        <v>289</v>
      </c>
      <c r="B928"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28" s="24" t="s">
        <v>174</v>
      </c>
    </row>
    <row r="929" spans="1:3" ht="18" customHeight="1" x14ac:dyDescent="0.2">
      <c r="A929" s="3" t="s">
        <v>289</v>
      </c>
      <c r="B929"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29" s="24" t="s">
        <v>174</v>
      </c>
    </row>
    <row r="930" spans="1:3" ht="18" customHeight="1" x14ac:dyDescent="0.2">
      <c r="A930" s="3" t="s">
        <v>289</v>
      </c>
      <c r="B930"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30" s="24" t="s">
        <v>174</v>
      </c>
    </row>
    <row r="931" spans="1:3" ht="18" customHeight="1" x14ac:dyDescent="0.2">
      <c r="A931" s="3" t="s">
        <v>289</v>
      </c>
      <c r="B931"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31" s="24" t="s">
        <v>174</v>
      </c>
    </row>
    <row r="932" spans="1:3" ht="18" customHeight="1" x14ac:dyDescent="0.2">
      <c r="A932" s="3" t="s">
        <v>289</v>
      </c>
      <c r="B932"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32" s="24" t="s">
        <v>174</v>
      </c>
    </row>
    <row r="933" spans="1:3" ht="18" customHeight="1" x14ac:dyDescent="0.2">
      <c r="A933" s="3" t="s">
        <v>289</v>
      </c>
      <c r="B933"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33" s="24" t="s">
        <v>174</v>
      </c>
    </row>
    <row r="934" spans="1:3" ht="18" customHeight="1" x14ac:dyDescent="0.2">
      <c r="A934" s="3" t="s">
        <v>289</v>
      </c>
      <c r="B934"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34" s="24" t="s">
        <v>174</v>
      </c>
    </row>
    <row r="935" spans="1:3" ht="18" customHeight="1" x14ac:dyDescent="0.2">
      <c r="A935" s="3" t="s">
        <v>289</v>
      </c>
      <c r="B935"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35" s="24" t="s">
        <v>174</v>
      </c>
    </row>
    <row r="936" spans="1:3" ht="18" customHeight="1" x14ac:dyDescent="0.2">
      <c r="A936" s="3" t="s">
        <v>289</v>
      </c>
      <c r="B936"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36" s="24" t="s">
        <v>174</v>
      </c>
    </row>
    <row r="937" spans="1:3" ht="18" customHeight="1" x14ac:dyDescent="0.2">
      <c r="A937" s="3" t="s">
        <v>289</v>
      </c>
      <c r="B937"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37" s="24" t="s">
        <v>174</v>
      </c>
    </row>
    <row r="938" spans="1:3" ht="18" customHeight="1" x14ac:dyDescent="0.2">
      <c r="A938" s="3" t="s">
        <v>289</v>
      </c>
      <c r="B938"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38" s="24" t="s">
        <v>174</v>
      </c>
    </row>
    <row r="939" spans="1:3" ht="18" customHeight="1" x14ac:dyDescent="0.2">
      <c r="A939" s="3" t="s">
        <v>289</v>
      </c>
      <c r="B939"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39" s="24" t="s">
        <v>174</v>
      </c>
    </row>
    <row r="940" spans="1:3" ht="18" customHeight="1" x14ac:dyDescent="0.2">
      <c r="A940" s="3" t="s">
        <v>289</v>
      </c>
      <c r="B940"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40" s="24" t="s">
        <v>174</v>
      </c>
    </row>
    <row r="941" spans="1:3" ht="18" customHeight="1" x14ac:dyDescent="0.2">
      <c r="A941" s="3" t="s">
        <v>289</v>
      </c>
      <c r="B941"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41" s="24" t="s">
        <v>174</v>
      </c>
    </row>
    <row r="942" spans="1:3" ht="18" customHeight="1" x14ac:dyDescent="0.2">
      <c r="A942" s="3" t="s">
        <v>289</v>
      </c>
      <c r="B942"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42" s="24" t="s">
        <v>174</v>
      </c>
    </row>
    <row r="943" spans="1:3" ht="18" customHeight="1" x14ac:dyDescent="0.2">
      <c r="A943" s="3" t="s">
        <v>289</v>
      </c>
      <c r="B943"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43" s="24" t="s">
        <v>174</v>
      </c>
    </row>
    <row r="944" spans="1:3" ht="18" customHeight="1" x14ac:dyDescent="0.2">
      <c r="A944" s="3" t="s">
        <v>289</v>
      </c>
      <c r="B944"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44" s="24" t="s">
        <v>174</v>
      </c>
    </row>
    <row r="945" spans="1:3" ht="18" customHeight="1" x14ac:dyDescent="0.2">
      <c r="A945" s="3" t="s">
        <v>289</v>
      </c>
      <c r="B945"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45" s="24" t="s">
        <v>174</v>
      </c>
    </row>
    <row r="946" spans="1:3" ht="18" customHeight="1" x14ac:dyDescent="0.2">
      <c r="A946" s="3" t="s">
        <v>289</v>
      </c>
      <c r="B946"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46" s="24" t="s">
        <v>174</v>
      </c>
    </row>
    <row r="947" spans="1:3" ht="18" customHeight="1" x14ac:dyDescent="0.2">
      <c r="A947" s="3" t="s">
        <v>289</v>
      </c>
      <c r="B947"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47" s="24" t="s">
        <v>174</v>
      </c>
    </row>
    <row r="948" spans="1:3" ht="18" customHeight="1" x14ac:dyDescent="0.2">
      <c r="A948" s="3" t="s">
        <v>289</v>
      </c>
      <c r="B948"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48" s="24" t="s">
        <v>174</v>
      </c>
    </row>
    <row r="949" spans="1:3" ht="18" customHeight="1" x14ac:dyDescent="0.2">
      <c r="A949" s="3" t="s">
        <v>289</v>
      </c>
      <c r="B949"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49" s="24" t="s">
        <v>174</v>
      </c>
    </row>
    <row r="950" spans="1:3" ht="18" customHeight="1" x14ac:dyDescent="0.2">
      <c r="A950" s="3" t="s">
        <v>289</v>
      </c>
      <c r="B950"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50" s="24" t="s">
        <v>174</v>
      </c>
    </row>
    <row r="951" spans="1:3" ht="18" customHeight="1" x14ac:dyDescent="0.2">
      <c r="A951" s="3" t="s">
        <v>289</v>
      </c>
      <c r="B951"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51" s="24" t="s">
        <v>174</v>
      </c>
    </row>
    <row r="952" spans="1:3" ht="18" customHeight="1" x14ac:dyDescent="0.2">
      <c r="A952" s="3" t="s">
        <v>289</v>
      </c>
      <c r="B952"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52" s="24" t="s">
        <v>174</v>
      </c>
    </row>
    <row r="953" spans="1:3" ht="18" customHeight="1" x14ac:dyDescent="0.2">
      <c r="A953" s="3" t="s">
        <v>289</v>
      </c>
      <c r="B953"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53" s="24" t="s">
        <v>174</v>
      </c>
    </row>
    <row r="954" spans="1:3" ht="18" customHeight="1" x14ac:dyDescent="0.2">
      <c r="A954" s="3" t="s">
        <v>289</v>
      </c>
      <c r="B954"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54" s="24" t="s">
        <v>174</v>
      </c>
    </row>
    <row r="955" spans="1:3" ht="18" customHeight="1" x14ac:dyDescent="0.2">
      <c r="A955" s="3" t="s">
        <v>289</v>
      </c>
      <c r="B955"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55" s="24" t="s">
        <v>174</v>
      </c>
    </row>
    <row r="956" spans="1:3" ht="18" customHeight="1" x14ac:dyDescent="0.2">
      <c r="A956" s="3" t="s">
        <v>289</v>
      </c>
      <c r="B956"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56" s="24" t="s">
        <v>174</v>
      </c>
    </row>
    <row r="957" spans="1:3" ht="18" customHeight="1" x14ac:dyDescent="0.2">
      <c r="A957" s="3" t="s">
        <v>289</v>
      </c>
      <c r="B957"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57" s="24" t="s">
        <v>174</v>
      </c>
    </row>
    <row r="958" spans="1:3" ht="18" customHeight="1" x14ac:dyDescent="0.2">
      <c r="A958" s="3" t="s">
        <v>289</v>
      </c>
      <c r="B958"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58" s="24" t="s">
        <v>174</v>
      </c>
    </row>
    <row r="959" spans="1:3" ht="18" customHeight="1" x14ac:dyDescent="0.2">
      <c r="A959" s="3" t="s">
        <v>289</v>
      </c>
      <c r="B959"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59" s="24" t="s">
        <v>174</v>
      </c>
    </row>
    <row r="960" spans="1:3" ht="18" customHeight="1" x14ac:dyDescent="0.2">
      <c r="A960" s="3" t="s">
        <v>289</v>
      </c>
      <c r="B960"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60" s="24" t="s">
        <v>174</v>
      </c>
    </row>
    <row r="961" spans="1:3" ht="18" customHeight="1" x14ac:dyDescent="0.2">
      <c r="A961" s="3" t="s">
        <v>289</v>
      </c>
      <c r="B961"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61" s="24" t="s">
        <v>174</v>
      </c>
    </row>
    <row r="962" spans="1:3" ht="18" customHeight="1" x14ac:dyDescent="0.2">
      <c r="A962" s="3" t="s">
        <v>289</v>
      </c>
      <c r="B962" s="6" t="str">
        <f t="shared" si="14"/>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62" s="24" t="s">
        <v>174</v>
      </c>
    </row>
    <row r="963" spans="1:3" ht="18" customHeight="1" x14ac:dyDescent="0.2">
      <c r="A963" s="3" t="s">
        <v>289</v>
      </c>
      <c r="B963" s="6" t="str">
        <f t="shared" ref="B963:B1000" si="15">IF(ISBLANK(A963)=TRUE,B962,B962&amp;","&amp;A963)</f>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63" s="24" t="s">
        <v>174</v>
      </c>
    </row>
    <row r="964" spans="1:3" ht="18" customHeight="1" x14ac:dyDescent="0.2">
      <c r="A964" s="3" t="s">
        <v>289</v>
      </c>
      <c r="B964"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64" s="24" t="s">
        <v>174</v>
      </c>
    </row>
    <row r="965" spans="1:3" ht="18" customHeight="1" x14ac:dyDescent="0.2">
      <c r="A965" s="3" t="s">
        <v>289</v>
      </c>
      <c r="B965"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65" s="24" t="s">
        <v>174</v>
      </c>
    </row>
    <row r="966" spans="1:3" ht="18" customHeight="1" x14ac:dyDescent="0.2">
      <c r="A966" s="3" t="s">
        <v>289</v>
      </c>
      <c r="B966"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66" s="24" t="s">
        <v>174</v>
      </c>
    </row>
    <row r="967" spans="1:3" ht="18" customHeight="1" x14ac:dyDescent="0.2">
      <c r="A967" s="3" t="s">
        <v>289</v>
      </c>
      <c r="B967"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67" s="24" t="s">
        <v>174</v>
      </c>
    </row>
    <row r="968" spans="1:3" ht="18" customHeight="1" x14ac:dyDescent="0.2">
      <c r="A968" s="3" t="s">
        <v>289</v>
      </c>
      <c r="B968"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68" s="24" t="s">
        <v>174</v>
      </c>
    </row>
    <row r="969" spans="1:3" ht="18" customHeight="1" x14ac:dyDescent="0.2">
      <c r="A969" s="3" t="s">
        <v>289</v>
      </c>
      <c r="B969"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69" s="24" t="s">
        <v>174</v>
      </c>
    </row>
    <row r="970" spans="1:3" ht="18" customHeight="1" x14ac:dyDescent="0.2">
      <c r="A970" s="3" t="s">
        <v>289</v>
      </c>
      <c r="B970"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70" s="24" t="s">
        <v>174</v>
      </c>
    </row>
    <row r="971" spans="1:3" ht="18" customHeight="1" x14ac:dyDescent="0.2">
      <c r="A971" s="3" t="s">
        <v>289</v>
      </c>
      <c r="B971"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71" s="24" t="s">
        <v>174</v>
      </c>
    </row>
    <row r="972" spans="1:3" ht="18" customHeight="1" x14ac:dyDescent="0.2">
      <c r="A972" s="3" t="s">
        <v>289</v>
      </c>
      <c r="B972"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72" s="24" t="s">
        <v>174</v>
      </c>
    </row>
    <row r="973" spans="1:3" ht="18" customHeight="1" x14ac:dyDescent="0.2">
      <c r="A973" s="3" t="s">
        <v>289</v>
      </c>
      <c r="B973"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73" s="24" t="s">
        <v>174</v>
      </c>
    </row>
    <row r="974" spans="1:3" ht="18" customHeight="1" x14ac:dyDescent="0.2">
      <c r="A974" s="3" t="s">
        <v>289</v>
      </c>
      <c r="B974"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74" s="24" t="s">
        <v>174</v>
      </c>
    </row>
    <row r="975" spans="1:3" ht="18" customHeight="1" x14ac:dyDescent="0.2">
      <c r="A975" s="3" t="s">
        <v>289</v>
      </c>
      <c r="B975"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75" s="24" t="s">
        <v>174</v>
      </c>
    </row>
    <row r="976" spans="1:3" ht="18" customHeight="1" x14ac:dyDescent="0.2">
      <c r="A976" s="3" t="s">
        <v>289</v>
      </c>
      <c r="B976"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76" s="24" t="s">
        <v>174</v>
      </c>
    </row>
    <row r="977" spans="1:3" ht="18" customHeight="1" x14ac:dyDescent="0.2">
      <c r="A977" s="3" t="s">
        <v>289</v>
      </c>
      <c r="B977"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77" s="24" t="s">
        <v>174</v>
      </c>
    </row>
    <row r="978" spans="1:3" ht="18" customHeight="1" x14ac:dyDescent="0.2">
      <c r="A978" s="3" t="s">
        <v>289</v>
      </c>
      <c r="B978"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78" s="24" t="s">
        <v>174</v>
      </c>
    </row>
    <row r="979" spans="1:3" ht="18" customHeight="1" x14ac:dyDescent="0.2">
      <c r="A979" s="3" t="s">
        <v>289</v>
      </c>
      <c r="B979"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79" s="24" t="s">
        <v>174</v>
      </c>
    </row>
    <row r="980" spans="1:3" ht="18" customHeight="1" x14ac:dyDescent="0.2">
      <c r="A980" s="3" t="s">
        <v>289</v>
      </c>
      <c r="B980"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80" s="24" t="s">
        <v>174</v>
      </c>
    </row>
    <row r="981" spans="1:3" ht="18" customHeight="1" x14ac:dyDescent="0.2">
      <c r="A981" s="3" t="s">
        <v>289</v>
      </c>
      <c r="B981"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81" s="24" t="s">
        <v>174</v>
      </c>
    </row>
    <row r="982" spans="1:3" ht="18" customHeight="1" x14ac:dyDescent="0.2">
      <c r="A982" s="3" t="s">
        <v>289</v>
      </c>
      <c r="B982"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82" s="24" t="s">
        <v>174</v>
      </c>
    </row>
    <row r="983" spans="1:3" ht="18" customHeight="1" x14ac:dyDescent="0.2">
      <c r="A983" s="3" t="s">
        <v>289</v>
      </c>
      <c r="B983"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83" s="24" t="s">
        <v>174</v>
      </c>
    </row>
    <row r="984" spans="1:3" ht="18" customHeight="1" x14ac:dyDescent="0.2">
      <c r="A984" s="3" t="s">
        <v>289</v>
      </c>
      <c r="B984"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84" s="24" t="s">
        <v>174</v>
      </c>
    </row>
    <row r="985" spans="1:3" ht="18" customHeight="1" x14ac:dyDescent="0.2">
      <c r="A985" s="3" t="s">
        <v>289</v>
      </c>
      <c r="B985"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85" s="24" t="s">
        <v>174</v>
      </c>
    </row>
    <row r="986" spans="1:3" ht="18" customHeight="1" x14ac:dyDescent="0.2">
      <c r="A986" s="3" t="s">
        <v>289</v>
      </c>
      <c r="B986"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86" s="24" t="s">
        <v>174</v>
      </c>
    </row>
    <row r="987" spans="1:3" ht="18" customHeight="1" x14ac:dyDescent="0.2">
      <c r="A987" s="3" t="s">
        <v>289</v>
      </c>
      <c r="B987"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87" s="24" t="s">
        <v>174</v>
      </c>
    </row>
    <row r="988" spans="1:3" ht="18" customHeight="1" x14ac:dyDescent="0.2">
      <c r="A988" s="3" t="s">
        <v>289</v>
      </c>
      <c r="B988"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88" s="24" t="s">
        <v>174</v>
      </c>
    </row>
    <row r="989" spans="1:3" ht="18" customHeight="1" x14ac:dyDescent="0.2">
      <c r="A989" s="3" t="s">
        <v>289</v>
      </c>
      <c r="B989"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89" s="24" t="s">
        <v>174</v>
      </c>
    </row>
    <row r="990" spans="1:3" ht="18" customHeight="1" x14ac:dyDescent="0.2">
      <c r="A990" s="3" t="s">
        <v>289</v>
      </c>
      <c r="B990"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90" s="24" t="s">
        <v>174</v>
      </c>
    </row>
    <row r="991" spans="1:3" ht="18" customHeight="1" x14ac:dyDescent="0.2">
      <c r="A991" s="3" t="s">
        <v>289</v>
      </c>
      <c r="B991"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91" s="24" t="s">
        <v>174</v>
      </c>
    </row>
    <row r="992" spans="1:3" ht="18" customHeight="1" x14ac:dyDescent="0.2">
      <c r="A992" s="3" t="s">
        <v>289</v>
      </c>
      <c r="B992"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92" s="24" t="s">
        <v>174</v>
      </c>
    </row>
    <row r="993" spans="1:3" ht="18" customHeight="1" x14ac:dyDescent="0.2">
      <c r="A993" s="3" t="s">
        <v>289</v>
      </c>
      <c r="B993"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93" s="24" t="s">
        <v>174</v>
      </c>
    </row>
    <row r="994" spans="1:3" ht="18" customHeight="1" x14ac:dyDescent="0.2">
      <c r="A994" s="3" t="s">
        <v>289</v>
      </c>
      <c r="B994"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94" s="24" t="s">
        <v>174</v>
      </c>
    </row>
    <row r="995" spans="1:3" ht="18" customHeight="1" x14ac:dyDescent="0.2">
      <c r="A995" s="3" t="s">
        <v>289</v>
      </c>
      <c r="B995"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95" s="24" t="s">
        <v>174</v>
      </c>
    </row>
    <row r="996" spans="1:3" ht="18" customHeight="1" x14ac:dyDescent="0.2">
      <c r="A996" s="3" t="s">
        <v>289</v>
      </c>
      <c r="B996"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96" s="24" t="s">
        <v>174</v>
      </c>
    </row>
    <row r="997" spans="1:3" ht="18" customHeight="1" x14ac:dyDescent="0.2">
      <c r="A997" s="3" t="s">
        <v>289</v>
      </c>
      <c r="B997"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97" s="24" t="s">
        <v>174</v>
      </c>
    </row>
    <row r="998" spans="1:3" ht="18" customHeight="1" x14ac:dyDescent="0.2">
      <c r="A998" s="3" t="s">
        <v>289</v>
      </c>
      <c r="B998"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98" s="24" t="s">
        <v>174</v>
      </c>
    </row>
    <row r="999" spans="1:3" ht="18" customHeight="1" x14ac:dyDescent="0.2">
      <c r="A999" s="3" t="s">
        <v>289</v>
      </c>
      <c r="B999"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999" s="24" t="s">
        <v>174</v>
      </c>
    </row>
    <row r="1000" spans="1:3" ht="18" customHeight="1" x14ac:dyDescent="0.2">
      <c r="A1000" s="3" t="s">
        <v>289</v>
      </c>
      <c r="B1000" s="6" t="str">
        <f t="shared" si="15"/>
        <v xml:space="preserve">Tilstandsparametre                                                  ,                                                  ,Stof Enhed Mængde Overskridelse Max. Min. Detektions-grænse Filtrering Analysested Metode Laboratorie Bemærkning                                       ,pH pH  7,8    0 Ikke filtreret Feltmåling DS/EN ISO 10523 Eurofins Miljø Vand A/S                                        ,Turbiditet FTU  1,1    0,05 Ikke filtreret Laboratorium DS/EN ISO 7027:2001 Eurofins Miljø, Vejen                                        ,Farvetal-Pt Pt mg/l  7,4    1 Filtreret i laboratoriet Laboratorium DS/EN ISO 7887 Eurofins Miljø, Vejen                                        ,Konduktivitet mS/m  140    0,1 Ikke filtreret Feltmåling DS/EN 27888 Eurofins Miljø Vand A/S                                        ,                                                  ,                                                  ,                                                  ,Kemiske hovedbestanddele                                                  ,                                                  ,Stof Enhed Mængde Overskridelse Max. Min. Detektions-grænse Filtrering Analysested Metode Laboratorie Bemærkning                                       ,Jern mg/l  0,17    0,01 Ikke filtreret Laboratorium DS/ISO 17294-2 Eurofins Miljø, Vejen                                        ,                                                  ,                                                  ,                                                  ,Mikrobiologiske Parametre                                                  ,                                                  ,Stof Enhed Mængde Overskridelse Max. Min. Detektions-grænse Filtrering Analysested Metode Laboratorie Bemærkning                                       ,Coliforme bakt.37Gr. antal/100 ml &lt;1    1 Ikke filtreret Laboratorium Colilert Quanti Tray Eurofins Miljø, Vejen                                        ,E.coli antal/100 ml &lt;1    1 Ikke filtreret Laboratorium Colilert Quanti Tray Eurofins Miljø, Vejen                                        ,Kimtal 22 gr antal/ml  58    1 Ikke filtreret Laboratorium DS/EN ISO 6222 Eurofins Miljø, Vejen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
      </c>
      <c r="C1000" s="24" t="s">
        <v>174</v>
      </c>
    </row>
    <row r="1001" spans="1:3" ht="18" customHeight="1" x14ac:dyDescent="0.2">
      <c r="A1001" s="13"/>
      <c r="B1001" s="6"/>
      <c r="C1001" s="24" t="s">
        <v>174</v>
      </c>
    </row>
    <row r="1002" spans="1:3" ht="18" customHeight="1" x14ac:dyDescent="0.2">
      <c r="A1002" s="13"/>
      <c r="B1002" s="6"/>
      <c r="C1002" s="24" t="s">
        <v>174</v>
      </c>
    </row>
    <row r="1003" spans="1:3" ht="18" customHeight="1" x14ac:dyDescent="0.2">
      <c r="A1003" s="13"/>
      <c r="B1003" s="6"/>
      <c r="C1003" s="24" t="s">
        <v>174</v>
      </c>
    </row>
    <row r="1004" spans="1:3" ht="18" customHeight="1" x14ac:dyDescent="0.2">
      <c r="A1004" s="13"/>
      <c r="B1004" s="6"/>
      <c r="C1004" s="24" t="s">
        <v>174</v>
      </c>
    </row>
    <row r="1005" spans="1:3" ht="18" customHeight="1" x14ac:dyDescent="0.2">
      <c r="A1005" s="13"/>
      <c r="B1005" s="6"/>
    </row>
    <row r="1006" spans="1:3" ht="18" customHeight="1" x14ac:dyDescent="0.2">
      <c r="A1006" s="13"/>
      <c r="B1006" s="6"/>
    </row>
    <row r="1007" spans="1:3" ht="18" customHeight="1" x14ac:dyDescent="0.2">
      <c r="A1007" s="13"/>
      <c r="B1007" s="6"/>
    </row>
    <row r="1008" spans="1:3" ht="18" customHeight="1" x14ac:dyDescent="0.2">
      <c r="A1008" s="13"/>
      <c r="B1008" s="6"/>
    </row>
    <row r="1009" spans="1:2" ht="18" customHeight="1" x14ac:dyDescent="0.2">
      <c r="A1009" s="13"/>
      <c r="B1009"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AZ1000"/>
  <sheetViews>
    <sheetView workbookViewId="0">
      <selection activeCell="A2" sqref="A2:A1000"/>
    </sheetView>
  </sheetViews>
  <sheetFormatPr defaultRowHeight="18" customHeight="1" x14ac:dyDescent="0.2"/>
  <cols>
    <col min="1" max="1" width="27.625" customWidth="1"/>
    <col min="2" max="2" width="9" style="2"/>
  </cols>
  <sheetData>
    <row r="1" spans="1:52" s="2" customFormat="1" ht="18" customHeight="1" thickBot="1" x14ac:dyDescent="0.3">
      <c r="A1" s="1" t="s">
        <v>242</v>
      </c>
    </row>
    <row r="2" spans="1:52" ht="18" customHeight="1" x14ac:dyDescent="0.2">
      <c r="A2" s="3" t="str">
        <f>CONCATENATE(C2," ",D2," ",E2," ",F2," ",G2," ",H2," ",I2," ",J2," ",K2," ",L2," ",M2," ",N2," ",O2," ",P2," ",Q2," ",R2," ",S2," ",T2," ",U2," ",V2," ",W2," ",X2," ",Y2," ",Z2," ",AA2," ",AB2," ",AC2," ",AD2," ",AE2," ",AF2," ",AG2," ",AH2," ",AI2," ",AJ2," ",AK2," ",AL2," ",AM2," ",AN2," ",AO2," ",AP2," ",AQ2," ",AR2," ",AS2," ",AT2," ",AU2," ",AV2," ",AW2," ",AX2," ",AY2," ",AZ2," ",
)</f>
        <v xml:space="preserve">Tilstandsparametre                                                  </v>
      </c>
      <c r="B2" s="24" t="s">
        <v>174</v>
      </c>
      <c r="C2" s="73" t="s">
        <v>243</v>
      </c>
      <c r="D2" s="74"/>
      <c r="E2" s="74"/>
      <c r="F2" s="74"/>
      <c r="G2" s="74"/>
      <c r="H2" s="74"/>
      <c r="I2" s="74"/>
      <c r="J2" s="74"/>
      <c r="K2" s="74"/>
      <c r="L2" s="74"/>
      <c r="M2" s="74"/>
      <c r="N2" s="75"/>
      <c r="O2" s="70"/>
      <c r="P2" s="70"/>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row>
    <row r="3" spans="1:52" ht="18" customHeight="1" x14ac:dyDescent="0.2">
      <c r="A3" s="3" t="str">
        <f>CONCATENATE(C3," ",D3," ",E3," ",F3," ",G3," ",H3," ",I3," ",J3," ",K3," ",L3," ",M3," ",N3," ",O3," ",P3," ",Q3," ",R3," ",S3," ",T3," ",U3," ",V3," ",W3," ",X3," ",Y3," ",Z3," ",AA3," ",AB3," ",AC3," ",AD3," ",AE3," ",AF3," ",AG3," ",AH3," ",AI3," ",AJ3," ",AK3," ",AL3," ",AM3," ",AN3," ",AO3," ",AP3," ",AQ3," ",AR3," ",AS3," ",AT3," ",AU3," ",AV3," ",AW3," ",AX3," ",AY3," ",AZ3," ",
)</f>
        <v xml:space="preserve">                                                  </v>
      </c>
      <c r="B3" s="24" t="s">
        <v>174</v>
      </c>
      <c r="C3" s="67"/>
      <c r="D3" s="57"/>
      <c r="E3" s="57"/>
      <c r="F3" s="57"/>
      <c r="G3" s="57"/>
      <c r="H3" s="57"/>
      <c r="I3" s="57"/>
      <c r="J3" s="57"/>
      <c r="K3" s="57"/>
      <c r="L3" s="57"/>
      <c r="M3" s="57"/>
      <c r="N3" s="61"/>
      <c r="O3" s="70"/>
      <c r="P3" s="70"/>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row>
    <row r="4" spans="1:52" ht="18" customHeight="1" thickBot="1" x14ac:dyDescent="0.25">
      <c r="A4" s="3" t="str">
        <f t="shared" ref="A4:A67" si="0">CONCATENATE(C4," ",D4," ",E4," ",F4," ",G4," ",H4," ",I4," ",J4," ",K4," ",L4," ",M4," ",N4," ",O4," ",P4," ",Q4," ",R4," ",S4," ",T4," ",U4," ",V4," ",W4," ",X4," ",Y4," ",Z4," ",AA4," ",AB4," ",AC4," ",AD4," ",AE4," ",AF4," ",AG4," ",AH4," ",AI4," ",AJ4," ",AK4," ",AL4," ",AM4," ",AN4," ",AO4," ",AP4," ",AQ4," ",AR4," ",AS4," ",AT4," ",AU4," ",AV4," ",AW4," ",AX4," ",AY4," ",AZ4," ",
)</f>
        <v xml:space="preserve">Stof Enhed Mængde Overskridelse Max. Min. Detektions-grænse Filtrering Analysested Metode Laboratorie Bemærkning                                       </v>
      </c>
      <c r="B4" s="24" t="s">
        <v>174</v>
      </c>
      <c r="C4" s="76" t="s">
        <v>244</v>
      </c>
      <c r="D4" s="54" t="s">
        <v>245</v>
      </c>
      <c r="E4" s="54" t="s">
        <v>246</v>
      </c>
      <c r="F4" s="54" t="s">
        <v>247</v>
      </c>
      <c r="G4" s="54" t="s">
        <v>248</v>
      </c>
      <c r="H4" s="54" t="s">
        <v>249</v>
      </c>
      <c r="I4" s="54" t="s">
        <v>250</v>
      </c>
      <c r="J4" s="54" t="s">
        <v>251</v>
      </c>
      <c r="K4" s="54" t="s">
        <v>252</v>
      </c>
      <c r="L4" s="54" t="s">
        <v>253</v>
      </c>
      <c r="M4" s="54" t="s">
        <v>254</v>
      </c>
      <c r="N4" s="63" t="s">
        <v>255</v>
      </c>
      <c r="O4" s="72"/>
      <c r="P4" s="72"/>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1:52" ht="18" customHeight="1" x14ac:dyDescent="0.2">
      <c r="A5" s="3" t="str">
        <f t="shared" si="0"/>
        <v xml:space="preserve">pH pH  7,8    0 Ikke filtreret Feltmåling DS/EN ISO 10523 Eurofins Miljø Vand A/S                                        </v>
      </c>
      <c r="B5" s="24" t="s">
        <v>174</v>
      </c>
      <c r="C5" s="77" t="s">
        <v>51</v>
      </c>
      <c r="D5" s="53" t="s">
        <v>51</v>
      </c>
      <c r="E5" s="55" t="s">
        <v>256</v>
      </c>
      <c r="F5" s="53"/>
      <c r="G5" s="55"/>
      <c r="H5" s="55"/>
      <c r="I5" s="55">
        <v>0</v>
      </c>
      <c r="J5" s="53" t="s">
        <v>257</v>
      </c>
      <c r="K5" s="53" t="s">
        <v>258</v>
      </c>
      <c r="L5" s="53" t="s">
        <v>259</v>
      </c>
      <c r="M5" s="53" t="s">
        <v>260</v>
      </c>
      <c r="N5" s="56"/>
      <c r="O5" s="70"/>
      <c r="P5" s="70"/>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1:52" ht="18" customHeight="1" x14ac:dyDescent="0.2">
      <c r="A6" s="3" t="str">
        <f t="shared" si="0"/>
        <v xml:space="preserve">Turbiditet FTU  1,1    0,05 Ikke filtreret Laboratorium DS/EN ISO 7027:2001 Eurofins Miljø, Vejen                                        </v>
      </c>
      <c r="B6" s="24" t="s">
        <v>174</v>
      </c>
      <c r="C6" s="77" t="s">
        <v>1</v>
      </c>
      <c r="D6" s="53" t="s">
        <v>261</v>
      </c>
      <c r="E6" s="55" t="s">
        <v>262</v>
      </c>
      <c r="F6" s="53"/>
      <c r="G6" s="55"/>
      <c r="H6" s="55"/>
      <c r="I6" s="55">
        <v>0.05</v>
      </c>
      <c r="J6" s="53" t="s">
        <v>257</v>
      </c>
      <c r="K6" s="53" t="s">
        <v>263</v>
      </c>
      <c r="L6" s="53" t="s">
        <v>264</v>
      </c>
      <c r="M6" s="53" t="s">
        <v>265</v>
      </c>
      <c r="N6" s="56"/>
      <c r="O6" s="68"/>
      <c r="P6" s="68"/>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1:52" ht="18" customHeight="1" x14ac:dyDescent="0.2">
      <c r="A7" s="3" t="str">
        <f t="shared" si="0"/>
        <v xml:space="preserve">Farvetal-Pt Pt mg/l  7,4    1 Filtreret i laboratoriet Laboratorium DS/EN ISO 7887 Eurofins Miljø, Vejen                                        </v>
      </c>
      <c r="B7" s="24" t="s">
        <v>174</v>
      </c>
      <c r="C7" s="77" t="s">
        <v>266</v>
      </c>
      <c r="D7" s="53" t="s">
        <v>267</v>
      </c>
      <c r="E7" s="55" t="s">
        <v>268</v>
      </c>
      <c r="F7" s="53"/>
      <c r="G7" s="55"/>
      <c r="H7" s="55"/>
      <c r="I7" s="55">
        <v>1</v>
      </c>
      <c r="J7" s="53" t="s">
        <v>269</v>
      </c>
      <c r="K7" s="53" t="s">
        <v>263</v>
      </c>
      <c r="L7" s="53" t="s">
        <v>270</v>
      </c>
      <c r="M7" s="53" t="s">
        <v>265</v>
      </c>
      <c r="N7" s="56"/>
      <c r="O7" s="70"/>
      <c r="P7" s="70"/>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1:52" ht="18" customHeight="1" thickBot="1" x14ac:dyDescent="0.25">
      <c r="A8" s="3" t="str">
        <f t="shared" si="0"/>
        <v xml:space="preserve">Konduktivitet mS/m  140    0,1 Ikke filtreret Feltmåling DS/EN 27888 Eurofins Miljø Vand A/S                                        </v>
      </c>
      <c r="B8" s="24" t="s">
        <v>174</v>
      </c>
      <c r="C8" s="77" t="s">
        <v>271</v>
      </c>
      <c r="D8" s="53" t="s">
        <v>272</v>
      </c>
      <c r="E8" s="55" t="s">
        <v>273</v>
      </c>
      <c r="F8" s="53"/>
      <c r="G8" s="55"/>
      <c r="H8" s="55"/>
      <c r="I8" s="55">
        <v>0.1</v>
      </c>
      <c r="J8" s="53" t="s">
        <v>257</v>
      </c>
      <c r="K8" s="53" t="s">
        <v>258</v>
      </c>
      <c r="L8" s="53" t="s">
        <v>274</v>
      </c>
      <c r="M8" s="53" t="s">
        <v>260</v>
      </c>
      <c r="N8" s="56"/>
      <c r="O8" s="70"/>
      <c r="P8" s="70"/>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1:52" ht="18" customHeight="1" x14ac:dyDescent="0.2">
      <c r="A9" s="3" t="str">
        <f t="shared" si="0"/>
        <v xml:space="preserve">                                                  </v>
      </c>
      <c r="B9" s="24" t="s">
        <v>174</v>
      </c>
      <c r="C9" s="66"/>
      <c r="D9" s="59"/>
      <c r="E9" s="59"/>
      <c r="F9" s="59"/>
      <c r="G9" s="59"/>
      <c r="H9" s="59"/>
      <c r="I9" s="59"/>
      <c r="J9" s="59"/>
      <c r="K9" s="59"/>
      <c r="L9" s="59"/>
      <c r="M9" s="59"/>
      <c r="N9" s="60"/>
      <c r="O9" s="70"/>
      <c r="P9" s="70"/>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1:52" ht="18" customHeight="1" x14ac:dyDescent="0.2">
      <c r="A10" s="3" t="str">
        <f t="shared" si="0"/>
        <v xml:space="preserve">                                                  </v>
      </c>
      <c r="B10" s="24" t="s">
        <v>174</v>
      </c>
      <c r="C10" s="67"/>
      <c r="D10" s="57"/>
      <c r="E10" s="57"/>
      <c r="F10" s="57"/>
      <c r="G10" s="57"/>
      <c r="H10" s="57"/>
      <c r="I10" s="57"/>
      <c r="J10" s="57"/>
      <c r="K10" s="57"/>
      <c r="L10" s="57"/>
      <c r="M10" s="57"/>
      <c r="N10" s="61"/>
      <c r="O10" s="70"/>
      <c r="P10" s="70"/>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1:52" ht="18" customHeight="1" x14ac:dyDescent="0.2">
      <c r="A11" s="3" t="str">
        <f t="shared" si="0"/>
        <v xml:space="preserve">                                                  </v>
      </c>
      <c r="B11" s="24" t="s">
        <v>174</v>
      </c>
      <c r="C11" s="67"/>
      <c r="D11" s="57"/>
      <c r="E11" s="57"/>
      <c r="F11" s="57"/>
      <c r="G11" s="57"/>
      <c r="H11" s="57"/>
      <c r="I11" s="57"/>
      <c r="J11" s="57"/>
      <c r="K11" s="57"/>
      <c r="L11" s="57"/>
      <c r="M11" s="57"/>
      <c r="N11" s="61"/>
      <c r="O11" s="70"/>
      <c r="P11" s="70"/>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1:52" ht="18" customHeight="1" x14ac:dyDescent="0.2">
      <c r="A12" s="3" t="str">
        <f t="shared" si="0"/>
        <v xml:space="preserve">Kemiske hovedbestanddele                                                  </v>
      </c>
      <c r="B12" s="24" t="s">
        <v>174</v>
      </c>
      <c r="C12" s="78" t="s">
        <v>275</v>
      </c>
      <c r="D12" s="58"/>
      <c r="E12" s="58"/>
      <c r="F12" s="58"/>
      <c r="G12" s="58"/>
      <c r="H12" s="58"/>
      <c r="I12" s="58"/>
      <c r="J12" s="58"/>
      <c r="K12" s="58"/>
      <c r="L12" s="58"/>
      <c r="M12" s="58"/>
      <c r="N12" s="62"/>
      <c r="O12" s="70"/>
      <c r="P12" s="70"/>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1:52" ht="18" customHeight="1" x14ac:dyDescent="0.2">
      <c r="A13" s="3" t="str">
        <f t="shared" si="0"/>
        <v xml:space="preserve">                                                  </v>
      </c>
      <c r="B13" s="24" t="s">
        <v>174</v>
      </c>
      <c r="C13" s="67"/>
      <c r="D13" s="57"/>
      <c r="E13" s="57"/>
      <c r="F13" s="57"/>
      <c r="G13" s="57"/>
      <c r="H13" s="57"/>
      <c r="I13" s="57"/>
      <c r="J13" s="57"/>
      <c r="K13" s="57"/>
      <c r="L13" s="57"/>
      <c r="M13" s="57"/>
      <c r="N13" s="61"/>
      <c r="O13" s="70"/>
      <c r="P13" s="70"/>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1:52" ht="18" customHeight="1" thickBot="1" x14ac:dyDescent="0.25">
      <c r="A14" s="3" t="str">
        <f t="shared" si="0"/>
        <v xml:space="preserve">Stof Enhed Mængde Overskridelse Max. Min. Detektions-grænse Filtrering Analysested Metode Laboratorie Bemærkning                                       </v>
      </c>
      <c r="B14" s="24" t="s">
        <v>174</v>
      </c>
      <c r="C14" s="76" t="s">
        <v>244</v>
      </c>
      <c r="D14" s="54" t="s">
        <v>245</v>
      </c>
      <c r="E14" s="54" t="s">
        <v>246</v>
      </c>
      <c r="F14" s="54" t="s">
        <v>247</v>
      </c>
      <c r="G14" s="54" t="s">
        <v>248</v>
      </c>
      <c r="H14" s="54" t="s">
        <v>249</v>
      </c>
      <c r="I14" s="54" t="s">
        <v>250</v>
      </c>
      <c r="J14" s="54" t="s">
        <v>251</v>
      </c>
      <c r="K14" s="54" t="s">
        <v>252</v>
      </c>
      <c r="L14" s="54" t="s">
        <v>253</v>
      </c>
      <c r="M14" s="54" t="s">
        <v>254</v>
      </c>
      <c r="N14" s="63" t="s">
        <v>255</v>
      </c>
      <c r="O14" s="72"/>
      <c r="P14" s="72"/>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1:52" ht="18" customHeight="1" thickBot="1" x14ac:dyDescent="0.25">
      <c r="A15" s="3" t="str">
        <f t="shared" si="0"/>
        <v xml:space="preserve">Jern mg/l  0,17    0,01 Ikke filtreret Laboratorium DS/ISO 17294-2 Eurofins Miljø, Vejen                                        </v>
      </c>
      <c r="B15" s="24" t="s">
        <v>174</v>
      </c>
      <c r="C15" s="77" t="s">
        <v>60</v>
      </c>
      <c r="D15" s="53" t="s">
        <v>276</v>
      </c>
      <c r="E15" s="55" t="s">
        <v>277</v>
      </c>
      <c r="F15" s="53"/>
      <c r="G15" s="55"/>
      <c r="H15" s="55"/>
      <c r="I15" s="55">
        <v>0.01</v>
      </c>
      <c r="J15" s="53" t="s">
        <v>257</v>
      </c>
      <c r="K15" s="53" t="s">
        <v>263</v>
      </c>
      <c r="L15" s="53" t="s">
        <v>278</v>
      </c>
      <c r="M15" s="53" t="s">
        <v>265</v>
      </c>
      <c r="N15" s="56"/>
      <c r="O15" s="70"/>
      <c r="P15" s="70"/>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1:52" ht="18" customHeight="1" x14ac:dyDescent="0.2">
      <c r="A16" s="3" t="str">
        <f t="shared" si="0"/>
        <v xml:space="preserve">                                                  </v>
      </c>
      <c r="B16" s="24" t="s">
        <v>174</v>
      </c>
      <c r="C16" s="66"/>
      <c r="D16" s="59"/>
      <c r="E16" s="59"/>
      <c r="F16" s="59"/>
      <c r="G16" s="59"/>
      <c r="H16" s="59"/>
      <c r="I16" s="59"/>
      <c r="J16" s="59"/>
      <c r="K16" s="59"/>
      <c r="L16" s="59"/>
      <c r="M16" s="59"/>
      <c r="N16" s="60"/>
      <c r="O16" s="68"/>
      <c r="P16" s="68"/>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1:52" ht="18" customHeight="1" x14ac:dyDescent="0.2">
      <c r="A17" s="3" t="str">
        <f t="shared" si="0"/>
        <v xml:space="preserve">                                                  </v>
      </c>
      <c r="B17" s="24" t="s">
        <v>174</v>
      </c>
      <c r="C17" s="67"/>
      <c r="D17" s="57"/>
      <c r="E17" s="57"/>
      <c r="F17" s="57"/>
      <c r="G17" s="57"/>
      <c r="H17" s="57"/>
      <c r="I17" s="57"/>
      <c r="J17" s="57"/>
      <c r="K17" s="57"/>
      <c r="L17" s="57"/>
      <c r="M17" s="57"/>
      <c r="N17" s="61"/>
      <c r="O17" s="70"/>
      <c r="P17" s="70"/>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1:52" ht="18" customHeight="1" x14ac:dyDescent="0.2">
      <c r="A18" s="3" t="str">
        <f t="shared" si="0"/>
        <v xml:space="preserve">                                                  </v>
      </c>
      <c r="B18" s="24" t="s">
        <v>174</v>
      </c>
      <c r="C18" s="67"/>
      <c r="D18" s="57"/>
      <c r="E18" s="57"/>
      <c r="F18" s="57"/>
      <c r="G18" s="57"/>
      <c r="H18" s="57"/>
      <c r="I18" s="57"/>
      <c r="J18" s="57"/>
      <c r="K18" s="57"/>
      <c r="L18" s="57"/>
      <c r="M18" s="57"/>
      <c r="N18" s="61"/>
      <c r="O18" s="70"/>
      <c r="P18" s="70"/>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1:52" ht="18" customHeight="1" x14ac:dyDescent="0.2">
      <c r="A19" s="3" t="str">
        <f t="shared" si="0"/>
        <v xml:space="preserve">Mikrobiologiske Parametre                                                  </v>
      </c>
      <c r="B19" s="24" t="s">
        <v>174</v>
      </c>
      <c r="C19" s="78" t="s">
        <v>279</v>
      </c>
      <c r="D19" s="58"/>
      <c r="E19" s="58"/>
      <c r="F19" s="58"/>
      <c r="G19" s="58"/>
      <c r="H19" s="58"/>
      <c r="I19" s="58"/>
      <c r="J19" s="58"/>
      <c r="K19" s="58"/>
      <c r="L19" s="58"/>
      <c r="M19" s="58"/>
      <c r="N19" s="62"/>
      <c r="O19" s="70"/>
      <c r="P19" s="70"/>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1:52" ht="18" customHeight="1" x14ac:dyDescent="0.2">
      <c r="A20" s="3" t="str">
        <f t="shared" si="0"/>
        <v xml:space="preserve">                                                  </v>
      </c>
      <c r="B20" s="24" t="s">
        <v>174</v>
      </c>
      <c r="C20" s="67"/>
      <c r="D20" s="57"/>
      <c r="E20" s="57"/>
      <c r="F20" s="57"/>
      <c r="G20" s="57"/>
      <c r="H20" s="57"/>
      <c r="I20" s="57"/>
      <c r="J20" s="57"/>
      <c r="K20" s="57"/>
      <c r="L20" s="57"/>
      <c r="M20" s="57"/>
      <c r="N20" s="61"/>
      <c r="O20" s="70"/>
      <c r="P20" s="70"/>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1:52" ht="18" customHeight="1" thickBot="1" x14ac:dyDescent="0.25">
      <c r="A21" s="3" t="str">
        <f t="shared" si="0"/>
        <v xml:space="preserve">Stof Enhed Mængde Overskridelse Max. Min. Detektions-grænse Filtrering Analysested Metode Laboratorie Bemærkning                                       </v>
      </c>
      <c r="B21" s="24" t="s">
        <v>174</v>
      </c>
      <c r="C21" s="76" t="s">
        <v>244</v>
      </c>
      <c r="D21" s="54" t="s">
        <v>245</v>
      </c>
      <c r="E21" s="54" t="s">
        <v>246</v>
      </c>
      <c r="F21" s="54" t="s">
        <v>247</v>
      </c>
      <c r="G21" s="54" t="s">
        <v>248</v>
      </c>
      <c r="H21" s="54" t="s">
        <v>249</v>
      </c>
      <c r="I21" s="54" t="s">
        <v>250</v>
      </c>
      <c r="J21" s="54" t="s">
        <v>251</v>
      </c>
      <c r="K21" s="54" t="s">
        <v>252</v>
      </c>
      <c r="L21" s="54" t="s">
        <v>253</v>
      </c>
      <c r="M21" s="54" t="s">
        <v>254</v>
      </c>
      <c r="N21" s="63" t="s">
        <v>255</v>
      </c>
      <c r="O21" s="72"/>
      <c r="P21" s="72"/>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1:52" ht="18" customHeight="1" x14ac:dyDescent="0.2">
      <c r="A22" s="3" t="str">
        <f t="shared" si="0"/>
        <v xml:space="preserve">Coliforme bakt.37Gr. antal/100 ml &lt;1    1 Ikke filtreret Laboratorium Colilert Quanti Tray Eurofins Miljø, Vejen                                        </v>
      </c>
      <c r="B22" s="24" t="s">
        <v>174</v>
      </c>
      <c r="C22" s="77" t="s">
        <v>280</v>
      </c>
      <c r="D22" s="53" t="s">
        <v>281</v>
      </c>
      <c r="E22" s="55" t="s">
        <v>282</v>
      </c>
      <c r="F22" s="53"/>
      <c r="G22" s="55"/>
      <c r="H22" s="55"/>
      <c r="I22" s="55">
        <v>1</v>
      </c>
      <c r="J22" s="53" t="s">
        <v>257</v>
      </c>
      <c r="K22" s="53" t="s">
        <v>263</v>
      </c>
      <c r="L22" s="53" t="s">
        <v>283</v>
      </c>
      <c r="M22" s="53" t="s">
        <v>265</v>
      </c>
      <c r="N22" s="56"/>
      <c r="O22" s="70"/>
      <c r="P22" s="70"/>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1:52" ht="18" customHeight="1" x14ac:dyDescent="0.2">
      <c r="A23" s="3" t="str">
        <f t="shared" si="0"/>
        <v xml:space="preserve">E.coli antal/100 ml &lt;1    1 Ikke filtreret Laboratorium Colilert Quanti Tray Eurofins Miljø, Vejen                                        </v>
      </c>
      <c r="B23" s="24" t="s">
        <v>174</v>
      </c>
      <c r="C23" s="77" t="s">
        <v>284</v>
      </c>
      <c r="D23" s="53" t="s">
        <v>281</v>
      </c>
      <c r="E23" s="55" t="s">
        <v>282</v>
      </c>
      <c r="F23" s="53"/>
      <c r="G23" s="55"/>
      <c r="H23" s="55"/>
      <c r="I23" s="55">
        <v>1</v>
      </c>
      <c r="J23" s="53" t="s">
        <v>257</v>
      </c>
      <c r="K23" s="53" t="s">
        <v>263</v>
      </c>
      <c r="L23" s="53" t="s">
        <v>283</v>
      </c>
      <c r="M23" s="53" t="s">
        <v>265</v>
      </c>
      <c r="N23" s="56"/>
      <c r="O23" s="68"/>
      <c r="P23" s="68"/>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1:52" ht="18" customHeight="1" thickBot="1" x14ac:dyDescent="0.25">
      <c r="A24" s="3" t="str">
        <f t="shared" si="0"/>
        <v xml:space="preserve">Kimtal 22 gr antal/ml  58    1 Ikke filtreret Laboratorium DS/EN ISO 6222 Eurofins Miljø, Vejen                                        </v>
      </c>
      <c r="B24" s="24" t="s">
        <v>174</v>
      </c>
      <c r="C24" s="77" t="s">
        <v>285</v>
      </c>
      <c r="D24" s="53" t="s">
        <v>286</v>
      </c>
      <c r="E24" s="55" t="s">
        <v>287</v>
      </c>
      <c r="F24" s="53"/>
      <c r="G24" s="55"/>
      <c r="H24" s="55"/>
      <c r="I24" s="55">
        <v>1</v>
      </c>
      <c r="J24" s="53" t="s">
        <v>257</v>
      </c>
      <c r="K24" s="53" t="s">
        <v>263</v>
      </c>
      <c r="L24" s="53" t="s">
        <v>288</v>
      </c>
      <c r="M24" s="53" t="s">
        <v>265</v>
      </c>
      <c r="N24" s="56"/>
      <c r="O24" s="70"/>
      <c r="P24" s="70"/>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1:52" ht="18" customHeight="1" thickBot="1" x14ac:dyDescent="0.25">
      <c r="A25" s="3" t="str">
        <f t="shared" si="0"/>
        <v xml:space="preserve">                                                  </v>
      </c>
      <c r="B25" s="24" t="s">
        <v>174</v>
      </c>
      <c r="C25" s="79"/>
      <c r="D25" s="64"/>
      <c r="E25" s="64"/>
      <c r="F25" s="64"/>
      <c r="G25" s="64"/>
      <c r="H25" s="64"/>
      <c r="I25" s="64"/>
      <c r="J25" s="64"/>
      <c r="K25" s="64"/>
      <c r="L25" s="64"/>
      <c r="M25" s="64"/>
      <c r="N25" s="65"/>
      <c r="O25" s="70"/>
      <c r="P25" s="70"/>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1:52" ht="18" customHeight="1" x14ac:dyDescent="0.2">
      <c r="A26" s="3" t="str">
        <f t="shared" si="0"/>
        <v xml:space="preserve">                                                  </v>
      </c>
      <c r="B26" s="24" t="s">
        <v>174</v>
      </c>
      <c r="C26" s="68"/>
      <c r="D26" s="68"/>
      <c r="E26" s="68"/>
      <c r="F26" s="68"/>
      <c r="G26" s="68"/>
      <c r="H26" s="68"/>
      <c r="I26" s="68"/>
      <c r="J26" s="68"/>
      <c r="K26" s="68"/>
      <c r="L26" s="68"/>
      <c r="M26" s="68"/>
      <c r="N26" s="68"/>
      <c r="O26" s="70"/>
      <c r="P26" s="70"/>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1:52" ht="18" customHeight="1" x14ac:dyDescent="0.2">
      <c r="A27" s="3" t="str">
        <f t="shared" si="0"/>
        <v xml:space="preserve">                                                  </v>
      </c>
      <c r="B27" s="24" t="s">
        <v>174</v>
      </c>
      <c r="C27" s="69"/>
      <c r="D27" s="70"/>
      <c r="E27" s="71"/>
      <c r="F27" s="70"/>
      <c r="G27" s="71"/>
      <c r="H27" s="71"/>
      <c r="I27" s="71"/>
      <c r="J27" s="70"/>
      <c r="K27" s="70"/>
      <c r="L27" s="70"/>
      <c r="M27" s="70"/>
      <c r="N27" s="70"/>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1:52" ht="18" customHeight="1" x14ac:dyDescent="0.2">
      <c r="A28" s="3" t="str">
        <f t="shared" si="0"/>
        <v xml:space="preserve">                                                  </v>
      </c>
      <c r="B28" s="24" t="s">
        <v>174</v>
      </c>
      <c r="C28" s="69"/>
      <c r="D28" s="70"/>
      <c r="E28" s="71"/>
      <c r="F28" s="70"/>
      <c r="G28" s="71"/>
      <c r="H28" s="71"/>
      <c r="I28" s="71"/>
      <c r="J28" s="70"/>
      <c r="K28" s="70"/>
      <c r="L28" s="70"/>
      <c r="M28" s="70"/>
      <c r="N28" s="70"/>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1:52" ht="18" customHeight="1" x14ac:dyDescent="0.2">
      <c r="A29" s="3" t="str">
        <f t="shared" si="0"/>
        <v xml:space="preserve">                                                  </v>
      </c>
      <c r="B29" s="24" t="s">
        <v>174</v>
      </c>
      <c r="C29" s="69"/>
      <c r="D29" s="70"/>
      <c r="E29" s="71"/>
      <c r="F29" s="70"/>
      <c r="G29" s="71"/>
      <c r="H29" s="71"/>
      <c r="I29" s="71"/>
      <c r="J29" s="70"/>
      <c r="K29" s="70"/>
      <c r="L29" s="70"/>
      <c r="M29" s="70"/>
      <c r="N29" s="70"/>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1:52" ht="18" customHeight="1" x14ac:dyDescent="0.2">
      <c r="A30" s="3" t="str">
        <f t="shared" si="0"/>
        <v xml:space="preserve">                                                  </v>
      </c>
      <c r="B30" s="24" t="s">
        <v>174</v>
      </c>
      <c r="C30" s="70"/>
      <c r="D30" s="70"/>
      <c r="E30" s="70"/>
      <c r="F30" s="70"/>
      <c r="G30" s="70"/>
      <c r="H30" s="70"/>
      <c r="I30" s="70"/>
      <c r="J30" s="70"/>
      <c r="K30" s="70"/>
      <c r="L30" s="70"/>
      <c r="M30" s="70"/>
      <c r="N30" s="70"/>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1:52" ht="18" customHeight="1" x14ac:dyDescent="0.2">
      <c r="A31" s="3" t="str">
        <f t="shared" si="0"/>
        <v xml:space="preserve">                                                  </v>
      </c>
      <c r="B31" s="24" t="s">
        <v>174</v>
      </c>
      <c r="C31" s="70"/>
      <c r="D31" s="70"/>
      <c r="E31" s="70"/>
      <c r="F31" s="70"/>
      <c r="G31" s="70"/>
      <c r="H31" s="70"/>
      <c r="I31" s="70"/>
      <c r="J31" s="70"/>
      <c r="K31" s="70"/>
      <c r="L31" s="70"/>
      <c r="M31" s="70"/>
      <c r="N31" s="70"/>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1:52" ht="18" customHeight="1" x14ac:dyDescent="0.2">
      <c r="A32" s="3" t="str">
        <f t="shared" si="0"/>
        <v xml:space="preserve">                                                  </v>
      </c>
      <c r="B32" s="24" t="s">
        <v>174</v>
      </c>
      <c r="C32" s="70"/>
      <c r="D32" s="70"/>
      <c r="E32" s="70"/>
      <c r="F32" s="70"/>
      <c r="G32" s="70"/>
      <c r="H32" s="70"/>
      <c r="I32" s="70"/>
      <c r="J32" s="70"/>
      <c r="K32" s="70"/>
      <c r="L32" s="70"/>
      <c r="M32" s="70"/>
      <c r="N32" s="70"/>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1:52" ht="18" customHeight="1" x14ac:dyDescent="0.2">
      <c r="A33" s="3" t="str">
        <f t="shared" si="0"/>
        <v xml:space="preserve">                                                  </v>
      </c>
      <c r="B33" s="24" t="s">
        <v>174</v>
      </c>
      <c r="C33" s="72"/>
      <c r="D33" s="72"/>
      <c r="E33" s="72"/>
      <c r="F33" s="72"/>
      <c r="G33" s="72"/>
      <c r="H33" s="72"/>
      <c r="I33" s="72"/>
      <c r="J33" s="72"/>
      <c r="K33" s="72"/>
      <c r="L33" s="72"/>
      <c r="M33" s="72"/>
      <c r="N33" s="72"/>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1:52" ht="18" customHeight="1" x14ac:dyDescent="0.2">
      <c r="A34" s="3" t="str">
        <f t="shared" si="0"/>
        <v xml:space="preserve">                                                  </v>
      </c>
      <c r="B34" s="24" t="s">
        <v>174</v>
      </c>
      <c r="C34" s="70"/>
      <c r="D34" s="70"/>
      <c r="E34" s="70"/>
      <c r="F34" s="70"/>
      <c r="G34" s="70"/>
      <c r="H34" s="70"/>
      <c r="I34" s="70"/>
      <c r="J34" s="70"/>
      <c r="K34" s="70"/>
      <c r="L34" s="70"/>
      <c r="M34" s="70"/>
      <c r="N34" s="70"/>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1:52" ht="18" customHeight="1" x14ac:dyDescent="0.2">
      <c r="A35" s="3" t="str">
        <f t="shared" si="0"/>
        <v xml:space="preserve">                                                  </v>
      </c>
      <c r="B35" s="24" t="s">
        <v>174</v>
      </c>
      <c r="C35" s="68"/>
      <c r="D35" s="68"/>
      <c r="E35" s="68"/>
      <c r="F35" s="68"/>
      <c r="G35" s="68"/>
      <c r="H35" s="68"/>
      <c r="I35" s="68"/>
      <c r="J35" s="68"/>
      <c r="K35" s="68"/>
      <c r="L35" s="68"/>
      <c r="M35" s="68"/>
      <c r="N35" s="68"/>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1:52" ht="18" customHeight="1" x14ac:dyDescent="0.2">
      <c r="A36" s="3" t="str">
        <f t="shared" si="0"/>
        <v xml:space="preserve">                                                  </v>
      </c>
      <c r="B36" s="24" t="s">
        <v>174</v>
      </c>
      <c r="C36" s="69"/>
      <c r="D36" s="70"/>
      <c r="E36" s="71"/>
      <c r="F36" s="70"/>
      <c r="G36" s="71"/>
      <c r="H36" s="71"/>
      <c r="I36" s="71"/>
      <c r="J36" s="70"/>
      <c r="K36" s="70"/>
      <c r="L36" s="70"/>
      <c r="M36" s="70"/>
      <c r="N36" s="70"/>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1:52" ht="18" customHeight="1" x14ac:dyDescent="0.2">
      <c r="A37" s="3" t="str">
        <f t="shared" si="0"/>
        <v xml:space="preserve">                                                  </v>
      </c>
      <c r="B37" s="24" t="s">
        <v>174</v>
      </c>
      <c r="C37" s="70"/>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1:52" ht="18" customHeight="1" x14ac:dyDescent="0.2">
      <c r="A38" s="3" t="str">
        <f t="shared" si="0"/>
        <v xml:space="preserve">                                                  </v>
      </c>
      <c r="B38" s="24" t="s">
        <v>174</v>
      </c>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1:52" ht="18" customHeight="1" x14ac:dyDescent="0.2">
      <c r="A39" s="3" t="str">
        <f t="shared" si="0"/>
        <v xml:space="preserve">                                                  </v>
      </c>
      <c r="B39" s="24" t="s">
        <v>174</v>
      </c>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1:52" ht="18" customHeight="1" x14ac:dyDescent="0.2">
      <c r="A40" s="3" t="str">
        <f t="shared" si="0"/>
        <v xml:space="preserve">                                                  </v>
      </c>
      <c r="B40" s="24" t="s">
        <v>174</v>
      </c>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1:52" ht="18" customHeight="1" x14ac:dyDescent="0.2">
      <c r="A41" s="3" t="str">
        <f t="shared" si="0"/>
        <v xml:space="preserve">                                                  </v>
      </c>
      <c r="B41" s="24" t="s">
        <v>174</v>
      </c>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1:52" ht="18" customHeight="1" x14ac:dyDescent="0.2">
      <c r="A42" s="3" t="str">
        <f t="shared" si="0"/>
        <v xml:space="preserve">                                                  </v>
      </c>
      <c r="B42" s="24" t="s">
        <v>174</v>
      </c>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1:52" ht="18" customHeight="1" x14ac:dyDescent="0.2">
      <c r="A43" s="3" t="str">
        <f t="shared" si="0"/>
        <v xml:space="preserve">                                                  </v>
      </c>
      <c r="B43" s="24" t="s">
        <v>174</v>
      </c>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1:52" ht="18" customHeight="1" x14ac:dyDescent="0.2">
      <c r="A44" s="3" t="str">
        <f t="shared" si="0"/>
        <v xml:space="preserve">                                                  </v>
      </c>
      <c r="B44" s="24" t="s">
        <v>174</v>
      </c>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1:52" ht="18" customHeight="1" x14ac:dyDescent="0.2">
      <c r="A45" s="3" t="str">
        <f t="shared" si="0"/>
        <v xml:space="preserve">                                                  </v>
      </c>
      <c r="B45" s="24" t="s">
        <v>174</v>
      </c>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1:52" ht="18" customHeight="1" x14ac:dyDescent="0.2">
      <c r="A46" s="3" t="str">
        <f t="shared" si="0"/>
        <v xml:space="preserve">                                                  </v>
      </c>
      <c r="B46" s="24" t="s">
        <v>174</v>
      </c>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1:52" ht="18" customHeight="1" x14ac:dyDescent="0.2">
      <c r="A47" s="3" t="str">
        <f t="shared" si="0"/>
        <v xml:space="preserve">                                                  </v>
      </c>
      <c r="B47" s="24" t="s">
        <v>174</v>
      </c>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1:52" ht="18" customHeight="1" x14ac:dyDescent="0.2">
      <c r="A48" s="3" t="str">
        <f t="shared" si="0"/>
        <v xml:space="preserve">                                                  </v>
      </c>
      <c r="B48" s="24" t="s">
        <v>174</v>
      </c>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1:52" ht="18" customHeight="1" x14ac:dyDescent="0.2">
      <c r="A49" s="3" t="str">
        <f t="shared" si="0"/>
        <v xml:space="preserve">                                                  </v>
      </c>
      <c r="B49" s="24" t="s">
        <v>174</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ht="18" customHeight="1" x14ac:dyDescent="0.2">
      <c r="A50" s="3" t="str">
        <f t="shared" si="0"/>
        <v xml:space="preserve">                                                  </v>
      </c>
      <c r="B50" s="24" t="s">
        <v>174</v>
      </c>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ht="18" customHeight="1" x14ac:dyDescent="0.2">
      <c r="A51" s="3" t="str">
        <f t="shared" si="0"/>
        <v xml:space="preserve">                                                  </v>
      </c>
      <c r="B51" s="24" t="s">
        <v>174</v>
      </c>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ht="18" customHeight="1" x14ac:dyDescent="0.2">
      <c r="A52" s="3" t="str">
        <f t="shared" si="0"/>
        <v xml:space="preserve">                                                  </v>
      </c>
      <c r="B52" s="24" t="s">
        <v>174</v>
      </c>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1:52" ht="18" customHeight="1" x14ac:dyDescent="0.2">
      <c r="A53" s="3" t="str">
        <f t="shared" si="0"/>
        <v xml:space="preserve">                                                  </v>
      </c>
      <c r="B53" s="24" t="s">
        <v>174</v>
      </c>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1:52" ht="18" customHeight="1" x14ac:dyDescent="0.2">
      <c r="A54" s="3" t="str">
        <f t="shared" si="0"/>
        <v xml:space="preserve">                                                  </v>
      </c>
      <c r="B54" s="24" t="s">
        <v>174</v>
      </c>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1:52" ht="18" customHeight="1" x14ac:dyDescent="0.2">
      <c r="A55" s="3" t="str">
        <f t="shared" si="0"/>
        <v xml:space="preserve">                                                  </v>
      </c>
      <c r="B55" s="24" t="s">
        <v>174</v>
      </c>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1:52" ht="18" customHeight="1" x14ac:dyDescent="0.2">
      <c r="A56" s="3" t="str">
        <f t="shared" si="0"/>
        <v xml:space="preserve">                                                  </v>
      </c>
      <c r="B56" s="24" t="s">
        <v>174</v>
      </c>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1:52" ht="18" customHeight="1" x14ac:dyDescent="0.2">
      <c r="A57" s="3" t="str">
        <f t="shared" si="0"/>
        <v xml:space="preserve">                                                  </v>
      </c>
      <c r="B57" s="24" t="s">
        <v>174</v>
      </c>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1:52" ht="18" customHeight="1" x14ac:dyDescent="0.2">
      <c r="A58" s="3" t="str">
        <f t="shared" si="0"/>
        <v xml:space="preserve">                                                  </v>
      </c>
      <c r="B58" s="24" t="s">
        <v>174</v>
      </c>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1:52" ht="18" customHeight="1" x14ac:dyDescent="0.2">
      <c r="A59" s="3" t="str">
        <f t="shared" si="0"/>
        <v xml:space="preserve">                                                  </v>
      </c>
      <c r="B59" s="24" t="s">
        <v>174</v>
      </c>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1:52" ht="18" customHeight="1" x14ac:dyDescent="0.2">
      <c r="A60" s="3" t="str">
        <f t="shared" si="0"/>
        <v xml:space="preserve">                                                  </v>
      </c>
      <c r="B60" s="24" t="s">
        <v>174</v>
      </c>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1:52" ht="18" customHeight="1" x14ac:dyDescent="0.2">
      <c r="A61" s="3" t="str">
        <f t="shared" si="0"/>
        <v xml:space="preserve">                                                  </v>
      </c>
      <c r="B61" s="24" t="s">
        <v>174</v>
      </c>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1:52" ht="18" customHeight="1" x14ac:dyDescent="0.2">
      <c r="A62" s="3" t="str">
        <f t="shared" si="0"/>
        <v xml:space="preserve">                                                  </v>
      </c>
      <c r="B62" s="24" t="s">
        <v>174</v>
      </c>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1:52" ht="18" customHeight="1" x14ac:dyDescent="0.2">
      <c r="A63" s="3" t="str">
        <f t="shared" si="0"/>
        <v xml:space="preserve">                                                  </v>
      </c>
      <c r="B63" s="24" t="s">
        <v>174</v>
      </c>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1:52" ht="18" customHeight="1" x14ac:dyDescent="0.2">
      <c r="A64" s="3" t="str">
        <f t="shared" si="0"/>
        <v xml:space="preserve">                                                  </v>
      </c>
      <c r="B64" s="24" t="s">
        <v>174</v>
      </c>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1:52" ht="18" customHeight="1" x14ac:dyDescent="0.2">
      <c r="A65" s="3" t="str">
        <f t="shared" si="0"/>
        <v xml:space="preserve">                                                  </v>
      </c>
      <c r="B65" s="24" t="s">
        <v>174</v>
      </c>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1:52" ht="18" customHeight="1" x14ac:dyDescent="0.2">
      <c r="A66" s="3" t="str">
        <f t="shared" si="0"/>
        <v xml:space="preserve">                                                  </v>
      </c>
      <c r="B66" s="24" t="s">
        <v>174</v>
      </c>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1:52" ht="18" customHeight="1" x14ac:dyDescent="0.2">
      <c r="A67" s="3" t="str">
        <f t="shared" si="0"/>
        <v xml:space="preserve">                                                  </v>
      </c>
      <c r="B67" s="24" t="s">
        <v>174</v>
      </c>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1:52" ht="18" customHeight="1" x14ac:dyDescent="0.2">
      <c r="A68" s="3" t="str">
        <f t="shared" ref="A68:A131" si="1">CONCATENATE(C68," ",D68," ",E68," ",F68," ",G68," ",H68," ",I68," ",J68," ",K68," ",L68," ",M68," ",N68," ",O68," ",P68," ",Q68," ",R68," ",S68," ",T68," ",U68," ",V68," ",W68," ",X68," ",Y68," ",Z68," ",AA68," ",AB68," ",AC68," ",AD68," ",AE68," ",AF68," ",AG68," ",AH68," ",AI68," ",AJ68," ",AK68," ",AL68," ",AM68," ",AN68," ",AO68," ",AP68," ",AQ68," ",AR68," ",AS68," ",AT68," ",AU68," ",AV68," ",AW68," ",AX68," ",AY68," ",AZ68," ",
)</f>
        <v xml:space="preserve">                                                  </v>
      </c>
      <c r="B68" s="24" t="s">
        <v>174</v>
      </c>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1:52" ht="18" customHeight="1" x14ac:dyDescent="0.2">
      <c r="A69" s="3" t="str">
        <f t="shared" si="1"/>
        <v xml:space="preserve">                                                  </v>
      </c>
      <c r="B69" s="24" t="s">
        <v>174</v>
      </c>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1:52" ht="18" customHeight="1" x14ac:dyDescent="0.2">
      <c r="A70" s="3" t="str">
        <f t="shared" si="1"/>
        <v xml:space="preserve">                                                  </v>
      </c>
      <c r="B70" s="24" t="s">
        <v>174</v>
      </c>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1:52" ht="18" customHeight="1" x14ac:dyDescent="0.2">
      <c r="A71" s="3" t="str">
        <f t="shared" si="1"/>
        <v xml:space="preserve">                                                  </v>
      </c>
      <c r="B71" s="24" t="s">
        <v>174</v>
      </c>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1:52" ht="18" customHeight="1" x14ac:dyDescent="0.2">
      <c r="A72" s="3" t="str">
        <f t="shared" si="1"/>
        <v xml:space="preserve">                                                  </v>
      </c>
      <c r="B72" s="24" t="s">
        <v>174</v>
      </c>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1:52" ht="18" customHeight="1" x14ac:dyDescent="0.2">
      <c r="A73" s="3" t="str">
        <f t="shared" si="1"/>
        <v xml:space="preserve">                                                  </v>
      </c>
      <c r="B73" s="24" t="s">
        <v>174</v>
      </c>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1:52" ht="18" customHeight="1" x14ac:dyDescent="0.2">
      <c r="A74" s="3" t="str">
        <f t="shared" si="1"/>
        <v xml:space="preserve">                                                  </v>
      </c>
      <c r="B74" s="24" t="s">
        <v>174</v>
      </c>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1:52" ht="18" customHeight="1" x14ac:dyDescent="0.2">
      <c r="A75" s="3" t="str">
        <f t="shared" si="1"/>
        <v xml:space="preserve">                                                  </v>
      </c>
      <c r="B75" s="24" t="s">
        <v>174</v>
      </c>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1:52" ht="18" customHeight="1" x14ac:dyDescent="0.2">
      <c r="A76" s="3" t="str">
        <f t="shared" si="1"/>
        <v xml:space="preserve">                                                  </v>
      </c>
      <c r="B76" s="24" t="s">
        <v>174</v>
      </c>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1:52" ht="18" customHeight="1" x14ac:dyDescent="0.2">
      <c r="A77" s="3" t="str">
        <f t="shared" si="1"/>
        <v xml:space="preserve">                                                  </v>
      </c>
      <c r="B77" s="24" t="s">
        <v>174</v>
      </c>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1:52" ht="18" customHeight="1" x14ac:dyDescent="0.2">
      <c r="A78" s="3" t="str">
        <f t="shared" si="1"/>
        <v xml:space="preserve">                                                  </v>
      </c>
      <c r="B78" s="24" t="s">
        <v>174</v>
      </c>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1:52" ht="18" customHeight="1" x14ac:dyDescent="0.2">
      <c r="A79" s="3" t="str">
        <f t="shared" si="1"/>
        <v xml:space="preserve">                                                  </v>
      </c>
      <c r="B79" s="24" t="s">
        <v>174</v>
      </c>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1:52" ht="18" customHeight="1" x14ac:dyDescent="0.2">
      <c r="A80" s="3" t="str">
        <f t="shared" si="1"/>
        <v xml:space="preserve">                                                  </v>
      </c>
      <c r="B80" s="24" t="s">
        <v>174</v>
      </c>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1:52" ht="18" customHeight="1" x14ac:dyDescent="0.2">
      <c r="A81" s="3" t="str">
        <f t="shared" si="1"/>
        <v xml:space="preserve">                                                  </v>
      </c>
      <c r="B81" s="24" t="s">
        <v>174</v>
      </c>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1:52" ht="18" customHeight="1" x14ac:dyDescent="0.2">
      <c r="A82" s="3" t="str">
        <f t="shared" si="1"/>
        <v xml:space="preserve">                                                  </v>
      </c>
      <c r="B82" s="24" t="s">
        <v>174</v>
      </c>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1:52" ht="18" customHeight="1" x14ac:dyDescent="0.2">
      <c r="A83" s="3" t="str">
        <f t="shared" si="1"/>
        <v xml:space="preserve">                                                  </v>
      </c>
      <c r="B83" s="24" t="s">
        <v>174</v>
      </c>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1:52" ht="18" customHeight="1" x14ac:dyDescent="0.2">
      <c r="A84" s="3" t="str">
        <f t="shared" si="1"/>
        <v xml:space="preserve">                                                  </v>
      </c>
      <c r="B84" s="24" t="s">
        <v>174</v>
      </c>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1:52" ht="18" customHeight="1" x14ac:dyDescent="0.2">
      <c r="A85" s="3" t="str">
        <f t="shared" si="1"/>
        <v xml:space="preserve">                                                  </v>
      </c>
      <c r="B85" s="24" t="s">
        <v>174</v>
      </c>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1:52" ht="18" customHeight="1" x14ac:dyDescent="0.2">
      <c r="A86" s="3" t="str">
        <f t="shared" si="1"/>
        <v xml:space="preserve">                                                  </v>
      </c>
      <c r="B86" s="24" t="s">
        <v>174</v>
      </c>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1:52" ht="18" customHeight="1" x14ac:dyDescent="0.2">
      <c r="A87" s="3" t="str">
        <f t="shared" si="1"/>
        <v xml:space="preserve">                                                  </v>
      </c>
      <c r="B87" s="24" t="s">
        <v>174</v>
      </c>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1:52" ht="18" customHeight="1" x14ac:dyDescent="0.2">
      <c r="A88" s="3" t="str">
        <f t="shared" si="1"/>
        <v xml:space="preserve">                                                  </v>
      </c>
      <c r="B88" s="24" t="s">
        <v>174</v>
      </c>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1:52" ht="18" customHeight="1" x14ac:dyDescent="0.2">
      <c r="A89" s="3" t="str">
        <f t="shared" si="1"/>
        <v xml:space="preserve">                                                  </v>
      </c>
      <c r="B89" s="24" t="s">
        <v>174</v>
      </c>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1:52" ht="18" customHeight="1" x14ac:dyDescent="0.2">
      <c r="A90" s="3" t="str">
        <f t="shared" si="1"/>
        <v xml:space="preserve">                                                  </v>
      </c>
      <c r="B90" s="24" t="s">
        <v>174</v>
      </c>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1:52" ht="18" customHeight="1" x14ac:dyDescent="0.2">
      <c r="A91" s="3" t="str">
        <f t="shared" si="1"/>
        <v xml:space="preserve">                                                  </v>
      </c>
      <c r="B91" s="24" t="s">
        <v>174</v>
      </c>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1:52" ht="18" customHeight="1" x14ac:dyDescent="0.2">
      <c r="A92" s="3" t="str">
        <f t="shared" si="1"/>
        <v xml:space="preserve">                                                  </v>
      </c>
      <c r="B92" s="24" t="s">
        <v>174</v>
      </c>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1:52" ht="18" customHeight="1" x14ac:dyDescent="0.2">
      <c r="A93" s="3" t="str">
        <f t="shared" si="1"/>
        <v xml:space="preserve">                                                  </v>
      </c>
      <c r="B93" s="24" t="s">
        <v>174</v>
      </c>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1:52" ht="18" customHeight="1" x14ac:dyDescent="0.2">
      <c r="A94" s="3" t="str">
        <f t="shared" si="1"/>
        <v xml:space="preserve">                                                  </v>
      </c>
      <c r="B94" s="24" t="s">
        <v>174</v>
      </c>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1:52" ht="18" customHeight="1" x14ac:dyDescent="0.2">
      <c r="A95" s="3" t="str">
        <f t="shared" si="1"/>
        <v xml:space="preserve">                                                  </v>
      </c>
      <c r="B95" s="24" t="s">
        <v>174</v>
      </c>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1:52" ht="18" customHeight="1" x14ac:dyDescent="0.2">
      <c r="A96" s="3" t="str">
        <f t="shared" si="1"/>
        <v xml:space="preserve">                                                  </v>
      </c>
      <c r="B96" s="24" t="s">
        <v>174</v>
      </c>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1:52" ht="18" customHeight="1" x14ac:dyDescent="0.2">
      <c r="A97" s="3" t="str">
        <f t="shared" si="1"/>
        <v xml:space="preserve">                                                  </v>
      </c>
      <c r="B97" s="24" t="s">
        <v>174</v>
      </c>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1:52" ht="18" customHeight="1" x14ac:dyDescent="0.2">
      <c r="A98" s="3" t="str">
        <f t="shared" si="1"/>
        <v xml:space="preserve">                                                  </v>
      </c>
      <c r="B98" s="24" t="s">
        <v>174</v>
      </c>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1:52" ht="18" customHeight="1" x14ac:dyDescent="0.2">
      <c r="A99" s="3" t="str">
        <f t="shared" si="1"/>
        <v xml:space="preserve">                                                  </v>
      </c>
      <c r="B99" s="24" t="s">
        <v>174</v>
      </c>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1:52" ht="18" customHeight="1" x14ac:dyDescent="0.2">
      <c r="A100" s="3" t="str">
        <f t="shared" si="1"/>
        <v xml:space="preserve">                                                  </v>
      </c>
      <c r="B100" s="24" t="s">
        <v>174</v>
      </c>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1:52" ht="18" customHeight="1" x14ac:dyDescent="0.2">
      <c r="A101" s="3" t="str">
        <f t="shared" si="1"/>
        <v xml:space="preserve">                                                  </v>
      </c>
      <c r="B101" s="24" t="s">
        <v>174</v>
      </c>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1:52" ht="18" customHeight="1" x14ac:dyDescent="0.2">
      <c r="A102" s="3" t="str">
        <f t="shared" si="1"/>
        <v xml:space="preserve">                                                  </v>
      </c>
      <c r="B102" s="24" t="s">
        <v>174</v>
      </c>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1:52" ht="18" customHeight="1" x14ac:dyDescent="0.2">
      <c r="A103" s="3" t="str">
        <f t="shared" si="1"/>
        <v xml:space="preserve">                                                  </v>
      </c>
      <c r="B103" s="24" t="s">
        <v>174</v>
      </c>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1:52" ht="18" customHeight="1" x14ac:dyDescent="0.2">
      <c r="A104" s="3" t="str">
        <f t="shared" si="1"/>
        <v xml:space="preserve">                                                  </v>
      </c>
      <c r="B104" s="24" t="s">
        <v>174</v>
      </c>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1:52" ht="18" customHeight="1" x14ac:dyDescent="0.2">
      <c r="A105" s="3" t="str">
        <f t="shared" si="1"/>
        <v xml:space="preserve">                                                  </v>
      </c>
      <c r="B105" s="24" t="s">
        <v>174</v>
      </c>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1:52" ht="18" customHeight="1" x14ac:dyDescent="0.2">
      <c r="A106" s="3" t="str">
        <f t="shared" si="1"/>
        <v xml:space="preserve">                                                  </v>
      </c>
      <c r="B106" s="24" t="s">
        <v>174</v>
      </c>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1:52" ht="18" customHeight="1" x14ac:dyDescent="0.2">
      <c r="A107" s="3" t="str">
        <f t="shared" si="1"/>
        <v xml:space="preserve">                                                  </v>
      </c>
      <c r="B107" s="24" t="s">
        <v>174</v>
      </c>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1:52" ht="18" customHeight="1" x14ac:dyDescent="0.2">
      <c r="A108" s="3" t="str">
        <f t="shared" si="1"/>
        <v xml:space="preserve">                                                  </v>
      </c>
      <c r="B108" s="24" t="s">
        <v>174</v>
      </c>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1:52" ht="18" customHeight="1" x14ac:dyDescent="0.2">
      <c r="A109" s="3" t="str">
        <f t="shared" si="1"/>
        <v xml:space="preserve">                                                  </v>
      </c>
      <c r="B109" s="24" t="s">
        <v>174</v>
      </c>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1:52" ht="18" customHeight="1" x14ac:dyDescent="0.2">
      <c r="A110" s="3" t="str">
        <f t="shared" si="1"/>
        <v xml:space="preserve">                                                  </v>
      </c>
      <c r="B110" s="24" t="s">
        <v>174</v>
      </c>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1:52" ht="18" customHeight="1" x14ac:dyDescent="0.2">
      <c r="A111" s="3" t="str">
        <f t="shared" si="1"/>
        <v xml:space="preserve">                                                  </v>
      </c>
      <c r="B111" s="24" t="s">
        <v>174</v>
      </c>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1:52" ht="18" customHeight="1" x14ac:dyDescent="0.2">
      <c r="A112" s="3" t="str">
        <f t="shared" si="1"/>
        <v xml:space="preserve">                                                  </v>
      </c>
      <c r="B112" s="24" t="s">
        <v>174</v>
      </c>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1:52" ht="18" customHeight="1" x14ac:dyDescent="0.2">
      <c r="A113" s="3" t="str">
        <f t="shared" si="1"/>
        <v xml:space="preserve">                                                  </v>
      </c>
      <c r="B113" s="24" t="s">
        <v>174</v>
      </c>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1:52" ht="18" customHeight="1" x14ac:dyDescent="0.2">
      <c r="A114" s="3" t="str">
        <f t="shared" si="1"/>
        <v xml:space="preserve">                                                  </v>
      </c>
      <c r="B114" s="24" t="s">
        <v>174</v>
      </c>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1:52" ht="18" customHeight="1" x14ac:dyDescent="0.2">
      <c r="A115" s="3" t="str">
        <f t="shared" si="1"/>
        <v xml:space="preserve">                                                  </v>
      </c>
      <c r="B115" s="24" t="s">
        <v>174</v>
      </c>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1:52" ht="18" customHeight="1" x14ac:dyDescent="0.2">
      <c r="A116" s="3" t="str">
        <f t="shared" si="1"/>
        <v xml:space="preserve">                                                  </v>
      </c>
      <c r="B116" s="24" t="s">
        <v>174</v>
      </c>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1:52" ht="18" customHeight="1" x14ac:dyDescent="0.2">
      <c r="A117" s="3" t="str">
        <f t="shared" si="1"/>
        <v xml:space="preserve">                                                  </v>
      </c>
      <c r="B117" s="24" t="s">
        <v>174</v>
      </c>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1:52" ht="18" customHeight="1" x14ac:dyDescent="0.2">
      <c r="A118" s="3" t="str">
        <f t="shared" si="1"/>
        <v xml:space="preserve">                                                  </v>
      </c>
      <c r="B118" s="24" t="s">
        <v>174</v>
      </c>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1:52" ht="18" customHeight="1" x14ac:dyDescent="0.2">
      <c r="A119" s="3" t="str">
        <f t="shared" si="1"/>
        <v xml:space="preserve">                                                  </v>
      </c>
      <c r="B119" s="24" t="s">
        <v>174</v>
      </c>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1:52" ht="18" customHeight="1" x14ac:dyDescent="0.2">
      <c r="A120" s="3" t="str">
        <f t="shared" si="1"/>
        <v xml:space="preserve">                                                  </v>
      </c>
      <c r="B120" s="24" t="s">
        <v>174</v>
      </c>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1:52" ht="18" customHeight="1" x14ac:dyDescent="0.2">
      <c r="A121" s="3" t="str">
        <f t="shared" si="1"/>
        <v xml:space="preserve">                                                  </v>
      </c>
      <c r="B121" s="24" t="s">
        <v>174</v>
      </c>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1:52" ht="18" customHeight="1" x14ac:dyDescent="0.2">
      <c r="A122" s="3" t="str">
        <f t="shared" si="1"/>
        <v xml:space="preserve">                                                  </v>
      </c>
      <c r="B122" s="24" t="s">
        <v>174</v>
      </c>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1:52" ht="18" customHeight="1" x14ac:dyDescent="0.2">
      <c r="A123" s="3" t="str">
        <f t="shared" si="1"/>
        <v xml:space="preserve">                                                  </v>
      </c>
      <c r="B123" s="24" t="s">
        <v>174</v>
      </c>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1:52" ht="18" customHeight="1" x14ac:dyDescent="0.2">
      <c r="A124" s="3" t="str">
        <f t="shared" si="1"/>
        <v xml:space="preserve">                                                  </v>
      </c>
      <c r="B124" s="24" t="s">
        <v>174</v>
      </c>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1:52" ht="18" customHeight="1" x14ac:dyDescent="0.2">
      <c r="A125" s="3" t="str">
        <f t="shared" si="1"/>
        <v xml:space="preserve">                                                  </v>
      </c>
      <c r="B125" s="24" t="s">
        <v>174</v>
      </c>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1:52" ht="18" customHeight="1" x14ac:dyDescent="0.2">
      <c r="A126" s="3" t="str">
        <f t="shared" si="1"/>
        <v xml:space="preserve">                                                  </v>
      </c>
      <c r="B126" s="24" t="s">
        <v>174</v>
      </c>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1:52" ht="18" customHeight="1" x14ac:dyDescent="0.2">
      <c r="A127" s="3" t="str">
        <f t="shared" si="1"/>
        <v xml:space="preserve">                                                  </v>
      </c>
      <c r="B127" s="24" t="s">
        <v>174</v>
      </c>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1:52" ht="18" customHeight="1" x14ac:dyDescent="0.2">
      <c r="A128" s="3" t="str">
        <f t="shared" si="1"/>
        <v xml:space="preserve">                                                  </v>
      </c>
      <c r="B128" s="24" t="s">
        <v>174</v>
      </c>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1:52" ht="18" customHeight="1" x14ac:dyDescent="0.2">
      <c r="A129" s="3" t="str">
        <f t="shared" si="1"/>
        <v xml:space="preserve">                                                  </v>
      </c>
      <c r="B129" s="24" t="s">
        <v>174</v>
      </c>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1:52" ht="18" customHeight="1" x14ac:dyDescent="0.2">
      <c r="A130" s="3" t="str">
        <f t="shared" si="1"/>
        <v xml:space="preserve">                                                  </v>
      </c>
      <c r="B130" s="24" t="s">
        <v>174</v>
      </c>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1:52" ht="18" customHeight="1" x14ac:dyDescent="0.2">
      <c r="A131" s="3" t="str">
        <f t="shared" si="1"/>
        <v xml:space="preserve">                                                  </v>
      </c>
      <c r="B131" s="24" t="s">
        <v>174</v>
      </c>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1:52" ht="18" customHeight="1" x14ac:dyDescent="0.2">
      <c r="A132" s="3" t="str">
        <f t="shared" ref="A132:A195" si="2">CONCATENATE(C132," ",D132," ",E132," ",F132," ",G132," ",H132," ",I132," ",J132," ",K132," ",L132," ",M132," ",N132," ",O132," ",P132," ",Q132," ",R132," ",S132," ",T132," ",U132," ",V132," ",W132," ",X132," ",Y132," ",Z132," ",AA132," ",AB132," ",AC132," ",AD132," ",AE132," ",AF132," ",AG132," ",AH132," ",AI132," ",AJ132," ",AK132," ",AL132," ",AM132," ",AN132," ",AO132," ",AP132," ",AQ132," ",AR132," ",AS132," ",AT132," ",AU132," ",AV132," ",AW132," ",AX132," ",AY132," ",AZ132," ",
)</f>
        <v xml:space="preserve">                                                  </v>
      </c>
      <c r="B132" s="24" t="s">
        <v>174</v>
      </c>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1:52" ht="18" customHeight="1" x14ac:dyDescent="0.2">
      <c r="A133" s="3" t="str">
        <f t="shared" si="2"/>
        <v xml:space="preserve">                                                  </v>
      </c>
      <c r="B133" s="24" t="s">
        <v>174</v>
      </c>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1:52" ht="18" customHeight="1" x14ac:dyDescent="0.2">
      <c r="A134" s="3" t="str">
        <f t="shared" si="2"/>
        <v xml:space="preserve">                                                  </v>
      </c>
      <c r="B134" s="24" t="s">
        <v>174</v>
      </c>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1:52" ht="18" customHeight="1" x14ac:dyDescent="0.2">
      <c r="A135" s="3" t="str">
        <f t="shared" si="2"/>
        <v xml:space="preserve">                                                  </v>
      </c>
      <c r="B135" s="24" t="s">
        <v>174</v>
      </c>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1:52" ht="18" customHeight="1" x14ac:dyDescent="0.2">
      <c r="A136" s="3" t="str">
        <f t="shared" si="2"/>
        <v xml:space="preserve">                                                  </v>
      </c>
      <c r="B136" s="24" t="s">
        <v>174</v>
      </c>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1:52" ht="18" customHeight="1" x14ac:dyDescent="0.2">
      <c r="A137" s="3" t="str">
        <f t="shared" si="2"/>
        <v xml:space="preserve">                                                  </v>
      </c>
      <c r="B137" s="24" t="s">
        <v>174</v>
      </c>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1:52" ht="18" customHeight="1" x14ac:dyDescent="0.2">
      <c r="A138" s="3" t="str">
        <f t="shared" si="2"/>
        <v xml:space="preserve">                                                  </v>
      </c>
      <c r="B138" s="24" t="s">
        <v>174</v>
      </c>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1:52" ht="18" customHeight="1" x14ac:dyDescent="0.2">
      <c r="A139" s="3" t="str">
        <f t="shared" si="2"/>
        <v xml:space="preserve">                                                  </v>
      </c>
      <c r="B139" s="24" t="s">
        <v>174</v>
      </c>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1:52" ht="18" customHeight="1" x14ac:dyDescent="0.2">
      <c r="A140" s="3" t="str">
        <f t="shared" si="2"/>
        <v xml:space="preserve">                                                  </v>
      </c>
      <c r="B140" s="24" t="s">
        <v>174</v>
      </c>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1:52" ht="18" customHeight="1" x14ac:dyDescent="0.2">
      <c r="A141" s="3" t="str">
        <f t="shared" si="2"/>
        <v xml:space="preserve">                                                  </v>
      </c>
      <c r="B141" s="24" t="s">
        <v>174</v>
      </c>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1:52" ht="18" customHeight="1" x14ac:dyDescent="0.2">
      <c r="A142" s="3" t="str">
        <f t="shared" si="2"/>
        <v xml:space="preserve">                                                  </v>
      </c>
      <c r="B142" s="24" t="s">
        <v>174</v>
      </c>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1:52" ht="18" customHeight="1" x14ac:dyDescent="0.2">
      <c r="A143" s="3" t="str">
        <f t="shared" si="2"/>
        <v xml:space="preserve">                                                  </v>
      </c>
      <c r="B143" s="24" t="s">
        <v>174</v>
      </c>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1:52" ht="18" customHeight="1" x14ac:dyDescent="0.2">
      <c r="A144" s="3" t="str">
        <f t="shared" si="2"/>
        <v xml:space="preserve">                                                  </v>
      </c>
      <c r="B144" s="24" t="s">
        <v>174</v>
      </c>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1:52" ht="18" customHeight="1" x14ac:dyDescent="0.2">
      <c r="A145" s="3" t="str">
        <f t="shared" si="2"/>
        <v xml:space="preserve">                                                  </v>
      </c>
      <c r="B145" s="24" t="s">
        <v>174</v>
      </c>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1:52" ht="18" customHeight="1" x14ac:dyDescent="0.2">
      <c r="A146" s="3" t="str">
        <f t="shared" si="2"/>
        <v xml:space="preserve">                                                  </v>
      </c>
      <c r="B146" s="24" t="s">
        <v>174</v>
      </c>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1:52" ht="18" customHeight="1" x14ac:dyDescent="0.2">
      <c r="A147" s="3" t="str">
        <f t="shared" si="2"/>
        <v xml:space="preserve">                                                  </v>
      </c>
      <c r="B147" s="24" t="s">
        <v>174</v>
      </c>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1:52" ht="18" customHeight="1" x14ac:dyDescent="0.2">
      <c r="A148" s="3" t="str">
        <f t="shared" si="2"/>
        <v xml:space="preserve">                                                  </v>
      </c>
      <c r="B148" s="24" t="s">
        <v>174</v>
      </c>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1:52" ht="18" customHeight="1" x14ac:dyDescent="0.2">
      <c r="A149" s="3" t="str">
        <f t="shared" si="2"/>
        <v xml:space="preserve">                                                  </v>
      </c>
      <c r="B149" s="24" t="s">
        <v>174</v>
      </c>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1:52" ht="18" customHeight="1" x14ac:dyDescent="0.2">
      <c r="A150" s="3" t="str">
        <f t="shared" si="2"/>
        <v xml:space="preserve">                                                  </v>
      </c>
      <c r="B150" s="24" t="s">
        <v>174</v>
      </c>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1:52" ht="18" customHeight="1" x14ac:dyDescent="0.2">
      <c r="A151" s="3" t="str">
        <f t="shared" si="2"/>
        <v xml:space="preserve">                                                  </v>
      </c>
      <c r="B151" s="24" t="s">
        <v>174</v>
      </c>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1:52" ht="18" customHeight="1" x14ac:dyDescent="0.2">
      <c r="A152" s="3" t="str">
        <f t="shared" si="2"/>
        <v xml:space="preserve">                                                  </v>
      </c>
      <c r="B152" s="24" t="s">
        <v>174</v>
      </c>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1:52" ht="18" customHeight="1" x14ac:dyDescent="0.2">
      <c r="A153" s="3" t="str">
        <f t="shared" si="2"/>
        <v xml:space="preserve">                                                  </v>
      </c>
      <c r="B153" s="24" t="s">
        <v>174</v>
      </c>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1:52" ht="18" customHeight="1" x14ac:dyDescent="0.2">
      <c r="A154" s="3" t="str">
        <f t="shared" si="2"/>
        <v xml:space="preserve">                                                  </v>
      </c>
      <c r="B154" s="24" t="s">
        <v>174</v>
      </c>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1:52" ht="18" customHeight="1" x14ac:dyDescent="0.2">
      <c r="A155" s="3" t="str">
        <f t="shared" si="2"/>
        <v xml:space="preserve">                                                  </v>
      </c>
      <c r="B155" s="24" t="s">
        <v>174</v>
      </c>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1:52" ht="18" customHeight="1" x14ac:dyDescent="0.2">
      <c r="A156" s="3" t="str">
        <f t="shared" si="2"/>
        <v xml:space="preserve">                                                  </v>
      </c>
      <c r="B156" s="24" t="s">
        <v>174</v>
      </c>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1:52" ht="18" customHeight="1" x14ac:dyDescent="0.2">
      <c r="A157" s="3" t="str">
        <f t="shared" si="2"/>
        <v xml:space="preserve">                                                  </v>
      </c>
      <c r="B157" s="24" t="s">
        <v>174</v>
      </c>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1:52" ht="18" customHeight="1" x14ac:dyDescent="0.2">
      <c r="A158" s="3" t="str">
        <f t="shared" si="2"/>
        <v xml:space="preserve">                                                  </v>
      </c>
      <c r="B158" s="24" t="s">
        <v>174</v>
      </c>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1:52" ht="18" customHeight="1" x14ac:dyDescent="0.2">
      <c r="A159" s="3" t="str">
        <f t="shared" si="2"/>
        <v xml:space="preserve">                                                  </v>
      </c>
      <c r="B159" s="24" t="s">
        <v>174</v>
      </c>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1:52" ht="18" customHeight="1" x14ac:dyDescent="0.2">
      <c r="A160" s="3" t="str">
        <f t="shared" si="2"/>
        <v xml:space="preserve">                                                  </v>
      </c>
      <c r="B160" s="24" t="s">
        <v>174</v>
      </c>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1:52" ht="18" customHeight="1" x14ac:dyDescent="0.2">
      <c r="A161" s="3" t="str">
        <f t="shared" si="2"/>
        <v xml:space="preserve">                                                  </v>
      </c>
      <c r="B161" s="24" t="s">
        <v>174</v>
      </c>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1:52" ht="18" customHeight="1" x14ac:dyDescent="0.2">
      <c r="A162" s="3" t="str">
        <f t="shared" si="2"/>
        <v xml:space="preserve">                                                  </v>
      </c>
      <c r="B162" s="24" t="s">
        <v>174</v>
      </c>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1:52" ht="18" customHeight="1" x14ac:dyDescent="0.2">
      <c r="A163" s="3" t="str">
        <f t="shared" si="2"/>
        <v xml:space="preserve">                                                  </v>
      </c>
      <c r="B163" s="24" t="s">
        <v>174</v>
      </c>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1:52" ht="18" customHeight="1" x14ac:dyDescent="0.2">
      <c r="A164" s="3" t="str">
        <f t="shared" si="2"/>
        <v xml:space="preserve">                                                  </v>
      </c>
      <c r="B164" s="24" t="s">
        <v>174</v>
      </c>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1:52" ht="18" customHeight="1" x14ac:dyDescent="0.2">
      <c r="A165" s="3" t="str">
        <f t="shared" si="2"/>
        <v xml:space="preserve">                                                  </v>
      </c>
      <c r="B165" s="24" t="s">
        <v>174</v>
      </c>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1:52" ht="18" customHeight="1" x14ac:dyDescent="0.2">
      <c r="A166" s="3" t="str">
        <f t="shared" si="2"/>
        <v xml:space="preserve">                                                  </v>
      </c>
      <c r="B166" s="24" t="s">
        <v>174</v>
      </c>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1:52" ht="18" customHeight="1" x14ac:dyDescent="0.2">
      <c r="A167" s="3" t="str">
        <f t="shared" si="2"/>
        <v xml:space="preserve">                                                  </v>
      </c>
      <c r="B167" s="24" t="s">
        <v>174</v>
      </c>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1:52" ht="18" customHeight="1" x14ac:dyDescent="0.2">
      <c r="A168" s="3" t="str">
        <f t="shared" si="2"/>
        <v xml:space="preserve">                                                  </v>
      </c>
      <c r="B168" s="24" t="s">
        <v>174</v>
      </c>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1:52" ht="18" customHeight="1" x14ac:dyDescent="0.2">
      <c r="A169" s="3" t="str">
        <f t="shared" si="2"/>
        <v xml:space="preserve">                                                  </v>
      </c>
      <c r="B169" s="24" t="s">
        <v>174</v>
      </c>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1:52" ht="18" customHeight="1" x14ac:dyDescent="0.2">
      <c r="A170" s="3" t="str">
        <f t="shared" si="2"/>
        <v xml:space="preserve">                                                  </v>
      </c>
      <c r="B170" s="24" t="s">
        <v>174</v>
      </c>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1:52" ht="18" customHeight="1" x14ac:dyDescent="0.2">
      <c r="A171" s="3" t="str">
        <f t="shared" si="2"/>
        <v xml:space="preserve">                                                  </v>
      </c>
      <c r="B171" s="24" t="s">
        <v>174</v>
      </c>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1:52" ht="18" customHeight="1" x14ac:dyDescent="0.2">
      <c r="A172" s="3" t="str">
        <f t="shared" si="2"/>
        <v xml:space="preserve">                                                  </v>
      </c>
      <c r="B172" s="24" t="s">
        <v>174</v>
      </c>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1:52" ht="18" customHeight="1" x14ac:dyDescent="0.2">
      <c r="A173" s="3" t="str">
        <f t="shared" si="2"/>
        <v xml:space="preserve">                                                  </v>
      </c>
      <c r="B173" s="24" t="s">
        <v>174</v>
      </c>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1:52" ht="18" customHeight="1" x14ac:dyDescent="0.2">
      <c r="A174" s="3" t="str">
        <f t="shared" si="2"/>
        <v xml:space="preserve">                                                  </v>
      </c>
      <c r="B174" s="24" t="s">
        <v>174</v>
      </c>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1:52" ht="18" customHeight="1" x14ac:dyDescent="0.2">
      <c r="A175" s="3" t="str">
        <f t="shared" si="2"/>
        <v xml:space="preserve">                                                  </v>
      </c>
      <c r="B175" s="24" t="s">
        <v>174</v>
      </c>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1:52" ht="18" customHeight="1" x14ac:dyDescent="0.2">
      <c r="A176" s="3" t="str">
        <f t="shared" si="2"/>
        <v xml:space="preserve">                                                  </v>
      </c>
      <c r="B176" s="24" t="s">
        <v>174</v>
      </c>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1:52" ht="18" customHeight="1" x14ac:dyDescent="0.2">
      <c r="A177" s="3" t="str">
        <f t="shared" si="2"/>
        <v xml:space="preserve">                                                  </v>
      </c>
      <c r="B177" s="24" t="s">
        <v>174</v>
      </c>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1:52" ht="18" customHeight="1" x14ac:dyDescent="0.2">
      <c r="A178" s="3" t="str">
        <f t="shared" si="2"/>
        <v xml:space="preserve">                                                  </v>
      </c>
      <c r="B178" s="24" t="s">
        <v>174</v>
      </c>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1:52" ht="18" customHeight="1" x14ac:dyDescent="0.2">
      <c r="A179" s="3" t="str">
        <f t="shared" si="2"/>
        <v xml:space="preserve">                                                  </v>
      </c>
      <c r="B179" s="24" t="s">
        <v>174</v>
      </c>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1:52" ht="18" customHeight="1" x14ac:dyDescent="0.2">
      <c r="A180" s="3" t="str">
        <f t="shared" si="2"/>
        <v xml:space="preserve">                                                  </v>
      </c>
      <c r="B180" s="24" t="s">
        <v>174</v>
      </c>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1:52" ht="18" customHeight="1" x14ac:dyDescent="0.2">
      <c r="A181" s="3" t="str">
        <f t="shared" si="2"/>
        <v xml:space="preserve">                                                  </v>
      </c>
      <c r="B181" s="24" t="s">
        <v>174</v>
      </c>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1:52" ht="18" customHeight="1" x14ac:dyDescent="0.2">
      <c r="A182" s="3" t="str">
        <f t="shared" si="2"/>
        <v xml:space="preserve">                                                  </v>
      </c>
      <c r="B182" s="24" t="s">
        <v>174</v>
      </c>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1:52" ht="18" customHeight="1" x14ac:dyDescent="0.2">
      <c r="A183" s="3" t="str">
        <f t="shared" si="2"/>
        <v xml:space="preserve">                                                  </v>
      </c>
      <c r="B183" s="24" t="s">
        <v>174</v>
      </c>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1:52" ht="18" customHeight="1" x14ac:dyDescent="0.2">
      <c r="A184" s="3" t="str">
        <f t="shared" si="2"/>
        <v xml:space="preserve">                                                  </v>
      </c>
      <c r="B184" s="24" t="s">
        <v>174</v>
      </c>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1:52" ht="18" customHeight="1" x14ac:dyDescent="0.2">
      <c r="A185" s="3" t="str">
        <f t="shared" si="2"/>
        <v xml:space="preserve">                                                  </v>
      </c>
      <c r="B185" s="24" t="s">
        <v>174</v>
      </c>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1:52" ht="18" customHeight="1" x14ac:dyDescent="0.2">
      <c r="A186" s="3" t="str">
        <f t="shared" si="2"/>
        <v xml:space="preserve">                                                  </v>
      </c>
      <c r="B186" s="24" t="s">
        <v>174</v>
      </c>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1:52" ht="18" customHeight="1" x14ac:dyDescent="0.2">
      <c r="A187" s="3" t="str">
        <f t="shared" si="2"/>
        <v xml:space="preserve">                                                  </v>
      </c>
      <c r="B187" s="24" t="s">
        <v>174</v>
      </c>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1:52" ht="18" customHeight="1" x14ac:dyDescent="0.2">
      <c r="A188" s="3" t="str">
        <f t="shared" si="2"/>
        <v xml:space="preserve">                                                  </v>
      </c>
      <c r="B188" s="24" t="s">
        <v>174</v>
      </c>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1:52" ht="18" customHeight="1" x14ac:dyDescent="0.2">
      <c r="A189" s="3" t="str">
        <f t="shared" si="2"/>
        <v xml:space="preserve">                                                  </v>
      </c>
      <c r="B189" s="24" t="s">
        <v>174</v>
      </c>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1:52" ht="18" customHeight="1" x14ac:dyDescent="0.2">
      <c r="A190" s="3" t="str">
        <f t="shared" si="2"/>
        <v xml:space="preserve">                                                  </v>
      </c>
      <c r="B190" s="24" t="s">
        <v>174</v>
      </c>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1:52" ht="18" customHeight="1" x14ac:dyDescent="0.2">
      <c r="A191" s="3" t="str">
        <f t="shared" si="2"/>
        <v xml:space="preserve">                                                  </v>
      </c>
      <c r="B191" s="24" t="s">
        <v>174</v>
      </c>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1:52" ht="18" customHeight="1" x14ac:dyDescent="0.2">
      <c r="A192" s="3" t="str">
        <f t="shared" si="2"/>
        <v xml:space="preserve">                                                  </v>
      </c>
      <c r="B192" s="24" t="s">
        <v>174</v>
      </c>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1:52" ht="18" customHeight="1" x14ac:dyDescent="0.2">
      <c r="A193" s="3" t="str">
        <f t="shared" si="2"/>
        <v xml:space="preserve">                                                  </v>
      </c>
      <c r="B193" s="24" t="s">
        <v>174</v>
      </c>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1:52" ht="18" customHeight="1" x14ac:dyDescent="0.2">
      <c r="A194" s="3" t="str">
        <f t="shared" si="2"/>
        <v xml:space="preserve">                                                  </v>
      </c>
      <c r="B194" s="24" t="s">
        <v>174</v>
      </c>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1:52" ht="18" customHeight="1" x14ac:dyDescent="0.2">
      <c r="A195" s="3" t="str">
        <f t="shared" si="2"/>
        <v xml:space="preserve">                                                  </v>
      </c>
      <c r="B195" s="24" t="s">
        <v>174</v>
      </c>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1:52" ht="18" customHeight="1" x14ac:dyDescent="0.2">
      <c r="A196" s="3" t="str">
        <f t="shared" ref="A196:A259" si="3">CONCATENATE(C196," ",D196," ",E196," ",F196," ",G196," ",H196," ",I196," ",J196," ",K196," ",L196," ",M196," ",N196," ",O196," ",P196," ",Q196," ",R196," ",S196," ",T196," ",U196," ",V196," ",W196," ",X196," ",Y196," ",Z196," ",AA196," ",AB196," ",AC196," ",AD196," ",AE196," ",AF196," ",AG196," ",AH196," ",AI196," ",AJ196," ",AK196," ",AL196," ",AM196," ",AN196," ",AO196," ",AP196," ",AQ196," ",AR196," ",AS196," ",AT196," ",AU196," ",AV196," ",AW196," ",AX196," ",AY196," ",AZ196," ",
)</f>
        <v xml:space="preserve">                                                  </v>
      </c>
      <c r="B196" s="24" t="s">
        <v>174</v>
      </c>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1:52" ht="18" customHeight="1" x14ac:dyDescent="0.2">
      <c r="A197" s="3" t="str">
        <f t="shared" si="3"/>
        <v xml:space="preserve">                                                  </v>
      </c>
      <c r="B197" s="24" t="s">
        <v>174</v>
      </c>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1:52" ht="18" customHeight="1" x14ac:dyDescent="0.2">
      <c r="A198" s="3" t="str">
        <f t="shared" si="3"/>
        <v xml:space="preserve">                                                  </v>
      </c>
      <c r="B198" s="24" t="s">
        <v>174</v>
      </c>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1:52" ht="18" customHeight="1" x14ac:dyDescent="0.2">
      <c r="A199" s="3" t="str">
        <f t="shared" si="3"/>
        <v xml:space="preserve">                                                  </v>
      </c>
      <c r="B199" s="24" t="s">
        <v>174</v>
      </c>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1:52" ht="18" customHeight="1" x14ac:dyDescent="0.2">
      <c r="A200" s="3" t="str">
        <f t="shared" si="3"/>
        <v xml:space="preserve">                                                  </v>
      </c>
      <c r="B200" s="24" t="s">
        <v>174</v>
      </c>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row>
    <row r="201" spans="1:52" ht="18" customHeight="1" x14ac:dyDescent="0.2">
      <c r="A201" s="3" t="str">
        <f t="shared" si="3"/>
        <v xml:space="preserve">                                                  </v>
      </c>
      <c r="B201" s="24" t="s">
        <v>174</v>
      </c>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row>
    <row r="202" spans="1:52" ht="18" customHeight="1" x14ac:dyDescent="0.2">
      <c r="A202" s="3" t="str">
        <f t="shared" si="3"/>
        <v xml:space="preserve">                                                  </v>
      </c>
      <c r="B202" s="24" t="s">
        <v>174</v>
      </c>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row>
    <row r="203" spans="1:52" ht="18" customHeight="1" x14ac:dyDescent="0.2">
      <c r="A203" s="3" t="str">
        <f t="shared" si="3"/>
        <v xml:space="preserve">                                                  </v>
      </c>
      <c r="B203" s="24" t="s">
        <v>174</v>
      </c>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row>
    <row r="204" spans="1:52" ht="18" customHeight="1" x14ac:dyDescent="0.2">
      <c r="A204" s="3" t="str">
        <f t="shared" si="3"/>
        <v xml:space="preserve">                                                  </v>
      </c>
      <c r="B204" s="24" t="s">
        <v>174</v>
      </c>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row>
    <row r="205" spans="1:52" ht="18" customHeight="1" x14ac:dyDescent="0.2">
      <c r="A205" s="3" t="str">
        <f t="shared" si="3"/>
        <v xml:space="preserve">                                                  </v>
      </c>
      <c r="B205" s="24" t="s">
        <v>174</v>
      </c>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row>
    <row r="206" spans="1:52" ht="18" customHeight="1" x14ac:dyDescent="0.2">
      <c r="A206" s="3" t="str">
        <f t="shared" si="3"/>
        <v xml:space="preserve">                                                  </v>
      </c>
      <c r="B206" s="24" t="s">
        <v>174</v>
      </c>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row>
    <row r="207" spans="1:52" ht="18" customHeight="1" x14ac:dyDescent="0.2">
      <c r="A207" s="3" t="str">
        <f t="shared" si="3"/>
        <v xml:space="preserve">                                                  </v>
      </c>
      <c r="B207" s="24" t="s">
        <v>174</v>
      </c>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row>
    <row r="208" spans="1:52" ht="18" customHeight="1" x14ac:dyDescent="0.2">
      <c r="A208" s="3" t="str">
        <f t="shared" si="3"/>
        <v xml:space="preserve">                                                  </v>
      </c>
      <c r="B208" s="24" t="s">
        <v>174</v>
      </c>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row>
    <row r="209" spans="1:52" ht="18" customHeight="1" x14ac:dyDescent="0.2">
      <c r="A209" s="3" t="str">
        <f t="shared" si="3"/>
        <v xml:space="preserve">                                                  </v>
      </c>
      <c r="B209" s="24" t="s">
        <v>174</v>
      </c>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row>
    <row r="210" spans="1:52" ht="18" customHeight="1" x14ac:dyDescent="0.2">
      <c r="A210" s="3" t="str">
        <f t="shared" si="3"/>
        <v xml:space="preserve">                                                  </v>
      </c>
      <c r="B210" s="24" t="s">
        <v>174</v>
      </c>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row>
    <row r="211" spans="1:52" ht="18" customHeight="1" x14ac:dyDescent="0.2">
      <c r="A211" s="3" t="str">
        <f t="shared" si="3"/>
        <v xml:space="preserve">                                                  </v>
      </c>
      <c r="B211" s="24" t="s">
        <v>174</v>
      </c>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row>
    <row r="212" spans="1:52" ht="18" customHeight="1" x14ac:dyDescent="0.2">
      <c r="A212" s="3" t="str">
        <f t="shared" si="3"/>
        <v xml:space="preserve">                                                  </v>
      </c>
      <c r="B212" s="24" t="s">
        <v>174</v>
      </c>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row>
    <row r="213" spans="1:52" ht="18" customHeight="1" x14ac:dyDescent="0.2">
      <c r="A213" s="3" t="str">
        <f t="shared" si="3"/>
        <v xml:space="preserve">                                                  </v>
      </c>
      <c r="B213" s="24" t="s">
        <v>174</v>
      </c>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row>
    <row r="214" spans="1:52" ht="18" customHeight="1" x14ac:dyDescent="0.2">
      <c r="A214" s="3" t="str">
        <f t="shared" si="3"/>
        <v xml:space="preserve">                                                  </v>
      </c>
      <c r="B214" s="24" t="s">
        <v>174</v>
      </c>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row>
    <row r="215" spans="1:52" ht="18" customHeight="1" x14ac:dyDescent="0.2">
      <c r="A215" s="3" t="str">
        <f t="shared" si="3"/>
        <v xml:space="preserve">                                                  </v>
      </c>
      <c r="B215" s="24" t="s">
        <v>174</v>
      </c>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row>
    <row r="216" spans="1:52" ht="18" customHeight="1" x14ac:dyDescent="0.2">
      <c r="A216" s="3" t="str">
        <f t="shared" si="3"/>
        <v xml:space="preserve">                                                  </v>
      </c>
      <c r="B216" s="24" t="s">
        <v>174</v>
      </c>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row>
    <row r="217" spans="1:52" ht="18" customHeight="1" x14ac:dyDescent="0.2">
      <c r="A217" s="3" t="str">
        <f t="shared" si="3"/>
        <v xml:space="preserve">                                                  </v>
      </c>
      <c r="B217" s="24" t="s">
        <v>174</v>
      </c>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row>
    <row r="218" spans="1:52" ht="18" customHeight="1" x14ac:dyDescent="0.2">
      <c r="A218" s="3" t="str">
        <f t="shared" si="3"/>
        <v xml:space="preserve">                                                  </v>
      </c>
      <c r="B218" s="24" t="s">
        <v>174</v>
      </c>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row>
    <row r="219" spans="1:52" ht="18" customHeight="1" x14ac:dyDescent="0.2">
      <c r="A219" s="3" t="str">
        <f t="shared" si="3"/>
        <v xml:space="preserve">                                                  </v>
      </c>
      <c r="B219" s="24" t="s">
        <v>174</v>
      </c>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row>
    <row r="220" spans="1:52" ht="18" customHeight="1" x14ac:dyDescent="0.2">
      <c r="A220" s="3" t="str">
        <f t="shared" si="3"/>
        <v xml:space="preserve">                                                  </v>
      </c>
      <c r="B220" s="24" t="s">
        <v>174</v>
      </c>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row>
    <row r="221" spans="1:52" ht="18" customHeight="1" x14ac:dyDescent="0.2">
      <c r="A221" s="3" t="str">
        <f t="shared" si="3"/>
        <v xml:space="preserve">                                                  </v>
      </c>
      <c r="B221" s="24" t="s">
        <v>174</v>
      </c>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row>
    <row r="222" spans="1:52" ht="18" customHeight="1" x14ac:dyDescent="0.2">
      <c r="A222" s="3" t="str">
        <f t="shared" si="3"/>
        <v xml:space="preserve">                                                  </v>
      </c>
      <c r="B222" s="24" t="s">
        <v>174</v>
      </c>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row>
    <row r="223" spans="1:52" ht="18" customHeight="1" x14ac:dyDescent="0.2">
      <c r="A223" s="3" t="str">
        <f t="shared" si="3"/>
        <v xml:space="preserve">                                                  </v>
      </c>
      <c r="B223" s="24" t="s">
        <v>174</v>
      </c>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row>
    <row r="224" spans="1:52" ht="18" customHeight="1" x14ac:dyDescent="0.2">
      <c r="A224" s="3" t="str">
        <f t="shared" si="3"/>
        <v xml:space="preserve">                                                  </v>
      </c>
      <c r="B224" s="24" t="s">
        <v>174</v>
      </c>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row>
    <row r="225" spans="1:52" ht="18" customHeight="1" x14ac:dyDescent="0.2">
      <c r="A225" s="3" t="str">
        <f t="shared" si="3"/>
        <v xml:space="preserve">                                                  </v>
      </c>
      <c r="B225" s="24" t="s">
        <v>174</v>
      </c>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row>
    <row r="226" spans="1:52" ht="18" customHeight="1" x14ac:dyDescent="0.2">
      <c r="A226" s="3" t="str">
        <f t="shared" si="3"/>
        <v xml:space="preserve">                                                  </v>
      </c>
      <c r="B226" s="24" t="s">
        <v>174</v>
      </c>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row>
    <row r="227" spans="1:52" ht="18" customHeight="1" x14ac:dyDescent="0.2">
      <c r="A227" s="3" t="str">
        <f t="shared" si="3"/>
        <v xml:space="preserve">                                                  </v>
      </c>
      <c r="B227" s="24" t="s">
        <v>174</v>
      </c>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row>
    <row r="228" spans="1:52" ht="18" customHeight="1" x14ac:dyDescent="0.2">
      <c r="A228" s="3" t="str">
        <f t="shared" si="3"/>
        <v xml:space="preserve">                                                  </v>
      </c>
      <c r="B228" s="24" t="s">
        <v>174</v>
      </c>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row>
    <row r="229" spans="1:52" ht="18" customHeight="1" x14ac:dyDescent="0.2">
      <c r="A229" s="3" t="str">
        <f t="shared" si="3"/>
        <v xml:space="preserve">                                                  </v>
      </c>
      <c r="B229" s="24" t="s">
        <v>174</v>
      </c>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row>
    <row r="230" spans="1:52" ht="18" customHeight="1" x14ac:dyDescent="0.2">
      <c r="A230" s="3" t="str">
        <f t="shared" si="3"/>
        <v xml:space="preserve">                                                  </v>
      </c>
      <c r="B230" s="24" t="s">
        <v>174</v>
      </c>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row>
    <row r="231" spans="1:52" ht="18" customHeight="1" x14ac:dyDescent="0.2">
      <c r="A231" s="3" t="str">
        <f t="shared" si="3"/>
        <v xml:space="preserve">                                                  </v>
      </c>
      <c r="B231" s="24" t="s">
        <v>174</v>
      </c>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row>
    <row r="232" spans="1:52" ht="18" customHeight="1" x14ac:dyDescent="0.2">
      <c r="A232" s="3" t="str">
        <f t="shared" si="3"/>
        <v xml:space="preserve">                                                  </v>
      </c>
      <c r="B232" s="24" t="s">
        <v>174</v>
      </c>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row>
    <row r="233" spans="1:52" ht="18" customHeight="1" x14ac:dyDescent="0.2">
      <c r="A233" s="3" t="str">
        <f t="shared" si="3"/>
        <v xml:space="preserve">                                                  </v>
      </c>
      <c r="B233" s="24" t="s">
        <v>174</v>
      </c>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row>
    <row r="234" spans="1:52" ht="18" customHeight="1" x14ac:dyDescent="0.2">
      <c r="A234" s="3" t="str">
        <f t="shared" si="3"/>
        <v xml:space="preserve">                                                  </v>
      </c>
      <c r="B234" s="24" t="s">
        <v>174</v>
      </c>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row>
    <row r="235" spans="1:52" ht="18" customHeight="1" x14ac:dyDescent="0.2">
      <c r="A235" s="3" t="str">
        <f t="shared" si="3"/>
        <v xml:space="preserve">                                                  </v>
      </c>
      <c r="B235" s="24" t="s">
        <v>174</v>
      </c>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row>
    <row r="236" spans="1:52" ht="18" customHeight="1" x14ac:dyDescent="0.2">
      <c r="A236" s="3" t="str">
        <f t="shared" si="3"/>
        <v xml:space="preserve">                                                  </v>
      </c>
      <c r="B236" s="24" t="s">
        <v>174</v>
      </c>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row>
    <row r="237" spans="1:52" ht="18" customHeight="1" x14ac:dyDescent="0.2">
      <c r="A237" s="3" t="str">
        <f t="shared" si="3"/>
        <v xml:space="preserve">                                                  </v>
      </c>
      <c r="B237" s="24" t="s">
        <v>174</v>
      </c>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row>
    <row r="238" spans="1:52" ht="18" customHeight="1" x14ac:dyDescent="0.2">
      <c r="A238" s="3" t="str">
        <f t="shared" si="3"/>
        <v xml:space="preserve">                                                  </v>
      </c>
      <c r="B238" s="24" t="s">
        <v>174</v>
      </c>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row>
    <row r="239" spans="1:52" ht="18" customHeight="1" x14ac:dyDescent="0.2">
      <c r="A239" s="3" t="str">
        <f t="shared" si="3"/>
        <v xml:space="preserve">                                                  </v>
      </c>
      <c r="B239" s="24" t="s">
        <v>174</v>
      </c>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row>
    <row r="240" spans="1:52" ht="18" customHeight="1" x14ac:dyDescent="0.2">
      <c r="A240" s="3" t="str">
        <f t="shared" si="3"/>
        <v xml:space="preserve">                                                  </v>
      </c>
      <c r="B240" s="24" t="s">
        <v>174</v>
      </c>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row>
    <row r="241" spans="1:52" ht="18" customHeight="1" x14ac:dyDescent="0.2">
      <c r="A241" s="3" t="str">
        <f t="shared" si="3"/>
        <v xml:space="preserve">                                                  </v>
      </c>
      <c r="B241" s="24" t="s">
        <v>174</v>
      </c>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row>
    <row r="242" spans="1:52" ht="18" customHeight="1" x14ac:dyDescent="0.2">
      <c r="A242" s="3" t="str">
        <f t="shared" si="3"/>
        <v xml:space="preserve">                                                  </v>
      </c>
      <c r="B242" s="24" t="s">
        <v>174</v>
      </c>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row>
    <row r="243" spans="1:52" ht="18" customHeight="1" x14ac:dyDescent="0.2">
      <c r="A243" s="3" t="str">
        <f t="shared" si="3"/>
        <v xml:space="preserve">                                                  </v>
      </c>
      <c r="B243" s="24" t="s">
        <v>174</v>
      </c>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row>
    <row r="244" spans="1:52" ht="18" customHeight="1" x14ac:dyDescent="0.2">
      <c r="A244" s="3" t="str">
        <f t="shared" si="3"/>
        <v xml:space="preserve">                                                  </v>
      </c>
      <c r="B244" s="24" t="s">
        <v>174</v>
      </c>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row>
    <row r="245" spans="1:52" ht="18" customHeight="1" x14ac:dyDescent="0.2">
      <c r="A245" s="3" t="str">
        <f t="shared" si="3"/>
        <v xml:space="preserve">                                                  </v>
      </c>
      <c r="B245" s="24" t="s">
        <v>174</v>
      </c>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row>
    <row r="246" spans="1:52" ht="18" customHeight="1" x14ac:dyDescent="0.2">
      <c r="A246" s="3" t="str">
        <f t="shared" si="3"/>
        <v xml:space="preserve">                                                  </v>
      </c>
      <c r="B246" s="24" t="s">
        <v>174</v>
      </c>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row>
    <row r="247" spans="1:52" ht="18" customHeight="1" x14ac:dyDescent="0.2">
      <c r="A247" s="3" t="str">
        <f t="shared" si="3"/>
        <v xml:space="preserve">                                                  </v>
      </c>
      <c r="B247" s="24" t="s">
        <v>174</v>
      </c>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row>
    <row r="248" spans="1:52" ht="18" customHeight="1" x14ac:dyDescent="0.2">
      <c r="A248" s="3" t="str">
        <f t="shared" si="3"/>
        <v xml:space="preserve">                                                  </v>
      </c>
      <c r="B248" s="24" t="s">
        <v>174</v>
      </c>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row>
    <row r="249" spans="1:52" ht="18" customHeight="1" x14ac:dyDescent="0.2">
      <c r="A249" s="3" t="str">
        <f t="shared" si="3"/>
        <v xml:space="preserve">                                                  </v>
      </c>
      <c r="B249" s="24" t="s">
        <v>174</v>
      </c>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row>
    <row r="250" spans="1:52" ht="18" customHeight="1" x14ac:dyDescent="0.2">
      <c r="A250" s="3" t="str">
        <f t="shared" si="3"/>
        <v xml:space="preserve">                                                  </v>
      </c>
      <c r="B250" s="24" t="s">
        <v>174</v>
      </c>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row>
    <row r="251" spans="1:52" ht="18" customHeight="1" x14ac:dyDescent="0.2">
      <c r="A251" s="3" t="str">
        <f t="shared" si="3"/>
        <v xml:space="preserve">                                                  </v>
      </c>
      <c r="B251" s="24" t="s">
        <v>174</v>
      </c>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row>
    <row r="252" spans="1:52" ht="18" customHeight="1" x14ac:dyDescent="0.2">
      <c r="A252" s="3" t="str">
        <f t="shared" si="3"/>
        <v xml:space="preserve">                                                  </v>
      </c>
      <c r="B252" s="24" t="s">
        <v>174</v>
      </c>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row>
    <row r="253" spans="1:52" ht="18" customHeight="1" x14ac:dyDescent="0.2">
      <c r="A253" s="3" t="str">
        <f t="shared" si="3"/>
        <v xml:space="preserve">                                                  </v>
      </c>
      <c r="B253" s="24" t="s">
        <v>174</v>
      </c>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row>
    <row r="254" spans="1:52" ht="18" customHeight="1" x14ac:dyDescent="0.2">
      <c r="A254" s="3" t="str">
        <f t="shared" si="3"/>
        <v xml:space="preserve">                                                  </v>
      </c>
      <c r="B254" s="24" t="s">
        <v>174</v>
      </c>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row>
    <row r="255" spans="1:52" ht="18" customHeight="1" x14ac:dyDescent="0.2">
      <c r="A255" s="3" t="str">
        <f t="shared" si="3"/>
        <v xml:space="preserve">                                                  </v>
      </c>
      <c r="B255" s="24" t="s">
        <v>174</v>
      </c>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row>
    <row r="256" spans="1:52" ht="18" customHeight="1" x14ac:dyDescent="0.2">
      <c r="A256" s="3" t="str">
        <f t="shared" si="3"/>
        <v xml:space="preserve">                                                  </v>
      </c>
      <c r="B256" s="24" t="s">
        <v>174</v>
      </c>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row>
    <row r="257" spans="1:52" ht="18" customHeight="1" x14ac:dyDescent="0.2">
      <c r="A257" s="3" t="str">
        <f t="shared" si="3"/>
        <v xml:space="preserve">                                                  </v>
      </c>
      <c r="B257" s="24" t="s">
        <v>174</v>
      </c>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row>
    <row r="258" spans="1:52" ht="18" customHeight="1" x14ac:dyDescent="0.2">
      <c r="A258" s="3" t="str">
        <f t="shared" si="3"/>
        <v xml:space="preserve">                                                  </v>
      </c>
      <c r="B258" s="24" t="s">
        <v>174</v>
      </c>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row>
    <row r="259" spans="1:52" ht="18" customHeight="1" x14ac:dyDescent="0.2">
      <c r="A259" s="3" t="str">
        <f t="shared" si="3"/>
        <v xml:space="preserve">                                                  </v>
      </c>
      <c r="B259" s="24" t="s">
        <v>174</v>
      </c>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row>
    <row r="260" spans="1:52" ht="18" customHeight="1" x14ac:dyDescent="0.2">
      <c r="A260" s="3" t="str">
        <f t="shared" ref="A260:A323" si="4">CONCATENATE(C260," ",D260," ",E260," ",F260," ",G260," ",H260," ",I260," ",J260," ",K260," ",L260," ",M260," ",N260," ",O260," ",P260," ",Q260," ",R260," ",S260," ",T260," ",U260," ",V260," ",W260," ",X260," ",Y260," ",Z260," ",AA260," ",AB260," ",AC260," ",AD260," ",AE260," ",AF260," ",AG260," ",AH260," ",AI260," ",AJ260," ",AK260," ",AL260," ",AM260," ",AN260," ",AO260," ",AP260," ",AQ260," ",AR260," ",AS260," ",AT260," ",AU260," ",AV260," ",AW260," ",AX260," ",AY260," ",AZ260," ",
)</f>
        <v xml:space="preserve">                                                  </v>
      </c>
      <c r="B260" s="24" t="s">
        <v>174</v>
      </c>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row>
    <row r="261" spans="1:52" ht="18" customHeight="1" x14ac:dyDescent="0.2">
      <c r="A261" s="3" t="str">
        <f t="shared" si="4"/>
        <v xml:space="preserve">                                                  </v>
      </c>
      <c r="B261" s="24" t="s">
        <v>174</v>
      </c>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row>
    <row r="262" spans="1:52" ht="18" customHeight="1" x14ac:dyDescent="0.2">
      <c r="A262" s="3" t="str">
        <f t="shared" si="4"/>
        <v xml:space="preserve">                                                  </v>
      </c>
      <c r="B262" s="24" t="s">
        <v>174</v>
      </c>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row>
    <row r="263" spans="1:52" ht="18" customHeight="1" x14ac:dyDescent="0.2">
      <c r="A263" s="3" t="str">
        <f t="shared" si="4"/>
        <v xml:space="preserve">                                                  </v>
      </c>
      <c r="B263" s="24" t="s">
        <v>174</v>
      </c>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row>
    <row r="264" spans="1:52" ht="18" customHeight="1" x14ac:dyDescent="0.2">
      <c r="A264" s="3" t="str">
        <f t="shared" si="4"/>
        <v xml:space="preserve">                                                  </v>
      </c>
      <c r="B264" s="24" t="s">
        <v>174</v>
      </c>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row>
    <row r="265" spans="1:52" ht="18" customHeight="1" x14ac:dyDescent="0.2">
      <c r="A265" s="3" t="str">
        <f t="shared" si="4"/>
        <v xml:space="preserve">                                                  </v>
      </c>
      <c r="B265" s="24" t="s">
        <v>174</v>
      </c>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row>
    <row r="266" spans="1:52" ht="18" customHeight="1" x14ac:dyDescent="0.2">
      <c r="A266" s="3" t="str">
        <f t="shared" si="4"/>
        <v xml:space="preserve">                                                  </v>
      </c>
      <c r="B266" s="24" t="s">
        <v>174</v>
      </c>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row>
    <row r="267" spans="1:52" ht="18" customHeight="1" x14ac:dyDescent="0.2">
      <c r="A267" s="3" t="str">
        <f t="shared" si="4"/>
        <v xml:space="preserve">                                                  </v>
      </c>
      <c r="B267" s="24" t="s">
        <v>174</v>
      </c>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row>
    <row r="268" spans="1:52" ht="18" customHeight="1" x14ac:dyDescent="0.2">
      <c r="A268" s="3" t="str">
        <f t="shared" si="4"/>
        <v xml:space="preserve">                                                  </v>
      </c>
      <c r="B268" s="24" t="s">
        <v>174</v>
      </c>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row>
    <row r="269" spans="1:52" ht="18" customHeight="1" x14ac:dyDescent="0.2">
      <c r="A269" s="3" t="str">
        <f t="shared" si="4"/>
        <v xml:space="preserve">                                                  </v>
      </c>
      <c r="B269" s="24" t="s">
        <v>174</v>
      </c>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row>
    <row r="270" spans="1:52" ht="18" customHeight="1" x14ac:dyDescent="0.2">
      <c r="A270" s="3" t="str">
        <f t="shared" si="4"/>
        <v xml:space="preserve">                                                  </v>
      </c>
      <c r="B270" s="24" t="s">
        <v>174</v>
      </c>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row>
    <row r="271" spans="1:52" ht="18" customHeight="1" x14ac:dyDescent="0.2">
      <c r="A271" s="3" t="str">
        <f t="shared" si="4"/>
        <v xml:space="preserve">                                                  </v>
      </c>
      <c r="B271" s="24" t="s">
        <v>174</v>
      </c>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row>
    <row r="272" spans="1:52" ht="18" customHeight="1" x14ac:dyDescent="0.2">
      <c r="A272" s="3" t="str">
        <f t="shared" si="4"/>
        <v xml:space="preserve">                                                  </v>
      </c>
      <c r="B272" s="24" t="s">
        <v>174</v>
      </c>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row>
    <row r="273" spans="1:52" ht="18" customHeight="1" x14ac:dyDescent="0.2">
      <c r="A273" s="3" t="str">
        <f t="shared" si="4"/>
        <v xml:space="preserve">                                                  </v>
      </c>
      <c r="B273" s="24" t="s">
        <v>174</v>
      </c>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row>
    <row r="274" spans="1:52" ht="18" customHeight="1" x14ac:dyDescent="0.2">
      <c r="A274" s="3" t="str">
        <f t="shared" si="4"/>
        <v xml:space="preserve">                                                  </v>
      </c>
      <c r="B274" s="24" t="s">
        <v>174</v>
      </c>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row>
    <row r="275" spans="1:52" ht="18" customHeight="1" x14ac:dyDescent="0.2">
      <c r="A275" s="3" t="str">
        <f t="shared" si="4"/>
        <v xml:space="preserve">                                                  </v>
      </c>
      <c r="B275" s="24" t="s">
        <v>174</v>
      </c>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row>
    <row r="276" spans="1:52" ht="18" customHeight="1" x14ac:dyDescent="0.2">
      <c r="A276" s="3" t="str">
        <f t="shared" si="4"/>
        <v xml:space="preserve">                                                  </v>
      </c>
      <c r="B276" s="24" t="s">
        <v>174</v>
      </c>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row>
    <row r="277" spans="1:52" ht="18" customHeight="1" x14ac:dyDescent="0.2">
      <c r="A277" s="3" t="str">
        <f t="shared" si="4"/>
        <v xml:space="preserve">                                                  </v>
      </c>
      <c r="B277" s="24" t="s">
        <v>174</v>
      </c>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row>
    <row r="278" spans="1:52" ht="18" customHeight="1" x14ac:dyDescent="0.2">
      <c r="A278" s="3" t="str">
        <f t="shared" si="4"/>
        <v xml:space="preserve">                                                  </v>
      </c>
      <c r="B278" s="24" t="s">
        <v>174</v>
      </c>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row>
    <row r="279" spans="1:52" ht="18" customHeight="1" x14ac:dyDescent="0.2">
      <c r="A279" s="3" t="str">
        <f t="shared" si="4"/>
        <v xml:space="preserve">                                                  </v>
      </c>
      <c r="B279" s="24" t="s">
        <v>174</v>
      </c>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row>
    <row r="280" spans="1:52" ht="18" customHeight="1" x14ac:dyDescent="0.2">
      <c r="A280" s="3" t="str">
        <f t="shared" si="4"/>
        <v xml:space="preserve">                                                  </v>
      </c>
      <c r="B280" s="24" t="s">
        <v>174</v>
      </c>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row>
    <row r="281" spans="1:52" ht="18" customHeight="1" x14ac:dyDescent="0.2">
      <c r="A281" s="3" t="str">
        <f t="shared" si="4"/>
        <v xml:space="preserve">                                                  </v>
      </c>
      <c r="B281" s="24" t="s">
        <v>174</v>
      </c>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row>
    <row r="282" spans="1:52" ht="18" customHeight="1" x14ac:dyDescent="0.2">
      <c r="A282" s="3" t="str">
        <f t="shared" si="4"/>
        <v xml:space="preserve">                                                  </v>
      </c>
      <c r="B282" s="24" t="s">
        <v>174</v>
      </c>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row>
    <row r="283" spans="1:52" ht="18" customHeight="1" x14ac:dyDescent="0.2">
      <c r="A283" s="3" t="str">
        <f t="shared" si="4"/>
        <v xml:space="preserve">                                                  </v>
      </c>
      <c r="B283" s="24" t="s">
        <v>174</v>
      </c>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row>
    <row r="284" spans="1:52" ht="18" customHeight="1" x14ac:dyDescent="0.2">
      <c r="A284" s="3" t="str">
        <f t="shared" si="4"/>
        <v xml:space="preserve">                                                  </v>
      </c>
      <c r="B284" s="24" t="s">
        <v>174</v>
      </c>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row>
    <row r="285" spans="1:52" ht="18" customHeight="1" x14ac:dyDescent="0.2">
      <c r="A285" s="3" t="str">
        <f t="shared" si="4"/>
        <v xml:space="preserve">                                                  </v>
      </c>
      <c r="B285" s="24" t="s">
        <v>174</v>
      </c>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row>
    <row r="286" spans="1:52" ht="18" customHeight="1" x14ac:dyDescent="0.2">
      <c r="A286" s="3" t="str">
        <f t="shared" si="4"/>
        <v xml:space="preserve">                                                  </v>
      </c>
      <c r="B286" s="24" t="s">
        <v>174</v>
      </c>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row>
    <row r="287" spans="1:52" ht="18" customHeight="1" x14ac:dyDescent="0.2">
      <c r="A287" s="3" t="str">
        <f t="shared" si="4"/>
        <v xml:space="preserve">                                                  </v>
      </c>
      <c r="B287" s="24" t="s">
        <v>174</v>
      </c>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row>
    <row r="288" spans="1:52" ht="18" customHeight="1" x14ac:dyDescent="0.2">
      <c r="A288" s="3" t="str">
        <f t="shared" si="4"/>
        <v xml:space="preserve">                                                  </v>
      </c>
      <c r="B288" s="24" t="s">
        <v>174</v>
      </c>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row>
    <row r="289" spans="1:52" ht="18" customHeight="1" x14ac:dyDescent="0.2">
      <c r="A289" s="3" t="str">
        <f t="shared" si="4"/>
        <v xml:space="preserve">                                                  </v>
      </c>
      <c r="B289" s="24" t="s">
        <v>174</v>
      </c>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row>
    <row r="290" spans="1:52" ht="18" customHeight="1" x14ac:dyDescent="0.2">
      <c r="A290" s="3" t="str">
        <f t="shared" si="4"/>
        <v xml:space="preserve">                                                  </v>
      </c>
      <c r="B290" s="24" t="s">
        <v>174</v>
      </c>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row>
    <row r="291" spans="1:52" ht="18" customHeight="1" x14ac:dyDescent="0.2">
      <c r="A291" s="3" t="str">
        <f t="shared" si="4"/>
        <v xml:space="preserve">                                                  </v>
      </c>
      <c r="B291" s="24" t="s">
        <v>174</v>
      </c>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row>
    <row r="292" spans="1:52" ht="18" customHeight="1" x14ac:dyDescent="0.2">
      <c r="A292" s="3" t="str">
        <f t="shared" si="4"/>
        <v xml:space="preserve">                                                  </v>
      </c>
      <c r="B292" s="24" t="s">
        <v>174</v>
      </c>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row>
    <row r="293" spans="1:52" ht="18" customHeight="1" x14ac:dyDescent="0.2">
      <c r="A293" s="3" t="str">
        <f t="shared" si="4"/>
        <v xml:space="preserve">                                                  </v>
      </c>
      <c r="B293" s="24" t="s">
        <v>174</v>
      </c>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row>
    <row r="294" spans="1:52" ht="18" customHeight="1" x14ac:dyDescent="0.2">
      <c r="A294" s="3" t="str">
        <f t="shared" si="4"/>
        <v xml:space="preserve">                                                  </v>
      </c>
      <c r="B294" s="24" t="s">
        <v>174</v>
      </c>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row>
    <row r="295" spans="1:52" ht="18" customHeight="1" x14ac:dyDescent="0.2">
      <c r="A295" s="3" t="str">
        <f t="shared" si="4"/>
        <v xml:space="preserve">                                                  </v>
      </c>
      <c r="B295" s="24" t="s">
        <v>174</v>
      </c>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row>
    <row r="296" spans="1:52" ht="18" customHeight="1" x14ac:dyDescent="0.2">
      <c r="A296" s="3" t="str">
        <f t="shared" si="4"/>
        <v xml:space="preserve">                                                  </v>
      </c>
      <c r="B296" s="24" t="s">
        <v>174</v>
      </c>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row>
    <row r="297" spans="1:52" ht="18" customHeight="1" x14ac:dyDescent="0.2">
      <c r="A297" s="3" t="str">
        <f t="shared" si="4"/>
        <v xml:space="preserve">                                                  </v>
      </c>
      <c r="B297" s="24" t="s">
        <v>174</v>
      </c>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row>
    <row r="298" spans="1:52" ht="18" customHeight="1" x14ac:dyDescent="0.2">
      <c r="A298" s="3" t="str">
        <f t="shared" si="4"/>
        <v xml:space="preserve">                                                  </v>
      </c>
      <c r="B298" s="24" t="s">
        <v>174</v>
      </c>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row>
    <row r="299" spans="1:52" ht="18" customHeight="1" x14ac:dyDescent="0.2">
      <c r="A299" s="3" t="str">
        <f t="shared" si="4"/>
        <v xml:space="preserve">                                                  </v>
      </c>
      <c r="B299" s="24" t="s">
        <v>174</v>
      </c>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row>
    <row r="300" spans="1:52" ht="18" customHeight="1" x14ac:dyDescent="0.2">
      <c r="A300" s="3" t="str">
        <f t="shared" si="4"/>
        <v xml:space="preserve">                                                  </v>
      </c>
      <c r="B300" s="24" t="s">
        <v>174</v>
      </c>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row>
    <row r="301" spans="1:52" ht="18" customHeight="1" x14ac:dyDescent="0.2">
      <c r="A301" s="3" t="str">
        <f t="shared" si="4"/>
        <v xml:space="preserve">                                                  </v>
      </c>
      <c r="B301" s="24" t="s">
        <v>174</v>
      </c>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row>
    <row r="302" spans="1:52" ht="18" customHeight="1" x14ac:dyDescent="0.2">
      <c r="A302" s="3" t="str">
        <f t="shared" si="4"/>
        <v xml:space="preserve">                                                  </v>
      </c>
      <c r="B302" s="24" t="s">
        <v>174</v>
      </c>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row>
    <row r="303" spans="1:52" ht="18" customHeight="1" x14ac:dyDescent="0.2">
      <c r="A303" s="3" t="str">
        <f t="shared" si="4"/>
        <v xml:space="preserve">                                                  </v>
      </c>
      <c r="B303" s="24" t="s">
        <v>174</v>
      </c>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row>
    <row r="304" spans="1:52" ht="18" customHeight="1" x14ac:dyDescent="0.2">
      <c r="A304" s="3" t="str">
        <f t="shared" si="4"/>
        <v xml:space="preserve">                                                  </v>
      </c>
      <c r="B304" s="24" t="s">
        <v>174</v>
      </c>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row>
    <row r="305" spans="1:52" ht="18" customHeight="1" x14ac:dyDescent="0.2">
      <c r="A305" s="3" t="str">
        <f t="shared" si="4"/>
        <v xml:space="preserve">                                                  </v>
      </c>
      <c r="B305" s="24" t="s">
        <v>174</v>
      </c>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row>
    <row r="306" spans="1:52" ht="18" customHeight="1" x14ac:dyDescent="0.2">
      <c r="A306" s="3" t="str">
        <f t="shared" si="4"/>
        <v xml:space="preserve">                                                  </v>
      </c>
      <c r="B306" s="24" t="s">
        <v>174</v>
      </c>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row>
    <row r="307" spans="1:52" ht="18" customHeight="1" x14ac:dyDescent="0.2">
      <c r="A307" s="3" t="str">
        <f t="shared" si="4"/>
        <v xml:space="preserve">                                                  </v>
      </c>
      <c r="B307" s="24" t="s">
        <v>174</v>
      </c>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row>
    <row r="308" spans="1:52" ht="18" customHeight="1" x14ac:dyDescent="0.2">
      <c r="A308" s="3" t="str">
        <f t="shared" si="4"/>
        <v xml:space="preserve">                                                  </v>
      </c>
      <c r="B308" s="24" t="s">
        <v>174</v>
      </c>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row>
    <row r="309" spans="1:52" ht="18" customHeight="1" x14ac:dyDescent="0.2">
      <c r="A309" s="3" t="str">
        <f t="shared" si="4"/>
        <v xml:space="preserve">                                                  </v>
      </c>
      <c r="B309" s="24" t="s">
        <v>174</v>
      </c>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row>
    <row r="310" spans="1:52" ht="18" customHeight="1" x14ac:dyDescent="0.2">
      <c r="A310" s="3" t="str">
        <f t="shared" si="4"/>
        <v xml:space="preserve">                                                  </v>
      </c>
      <c r="B310" s="24" t="s">
        <v>174</v>
      </c>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row>
    <row r="311" spans="1:52" ht="18" customHeight="1" x14ac:dyDescent="0.2">
      <c r="A311" s="3" t="str">
        <f t="shared" si="4"/>
        <v xml:space="preserve">                                                  </v>
      </c>
      <c r="B311" s="24" t="s">
        <v>174</v>
      </c>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row>
    <row r="312" spans="1:52" ht="18" customHeight="1" x14ac:dyDescent="0.2">
      <c r="A312" s="3" t="str">
        <f t="shared" si="4"/>
        <v xml:space="preserve">                                                  </v>
      </c>
      <c r="B312" s="24" t="s">
        <v>174</v>
      </c>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row>
    <row r="313" spans="1:52" ht="18" customHeight="1" x14ac:dyDescent="0.2">
      <c r="A313" s="3" t="str">
        <f t="shared" si="4"/>
        <v xml:space="preserve">                                                  </v>
      </c>
      <c r="B313" s="24" t="s">
        <v>174</v>
      </c>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row>
    <row r="314" spans="1:52" ht="18" customHeight="1" x14ac:dyDescent="0.2">
      <c r="A314" s="3" t="str">
        <f t="shared" si="4"/>
        <v xml:space="preserve">                                                  </v>
      </c>
      <c r="B314" s="24" t="s">
        <v>174</v>
      </c>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row>
    <row r="315" spans="1:52" ht="18" customHeight="1" x14ac:dyDescent="0.2">
      <c r="A315" s="3" t="str">
        <f t="shared" si="4"/>
        <v xml:space="preserve">                                                  </v>
      </c>
      <c r="B315" s="24" t="s">
        <v>174</v>
      </c>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row>
    <row r="316" spans="1:52" ht="18" customHeight="1" x14ac:dyDescent="0.2">
      <c r="A316" s="3" t="str">
        <f t="shared" si="4"/>
        <v xml:space="preserve">                                                  </v>
      </c>
      <c r="B316" s="24" t="s">
        <v>174</v>
      </c>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row>
    <row r="317" spans="1:52" ht="18" customHeight="1" x14ac:dyDescent="0.2">
      <c r="A317" s="3" t="str">
        <f t="shared" si="4"/>
        <v xml:space="preserve">                                                  </v>
      </c>
      <c r="B317" s="24" t="s">
        <v>174</v>
      </c>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row>
    <row r="318" spans="1:52" ht="18" customHeight="1" x14ac:dyDescent="0.2">
      <c r="A318" s="3" t="str">
        <f t="shared" si="4"/>
        <v xml:space="preserve">                                                  </v>
      </c>
      <c r="B318" s="24" t="s">
        <v>174</v>
      </c>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row>
    <row r="319" spans="1:52" ht="18" customHeight="1" x14ac:dyDescent="0.2">
      <c r="A319" s="3" t="str">
        <f t="shared" si="4"/>
        <v xml:space="preserve">                                                  </v>
      </c>
      <c r="B319" s="24" t="s">
        <v>174</v>
      </c>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row>
    <row r="320" spans="1:52" ht="18" customHeight="1" x14ac:dyDescent="0.2">
      <c r="A320" s="3" t="str">
        <f t="shared" si="4"/>
        <v xml:space="preserve">                                                  </v>
      </c>
      <c r="B320" s="24" t="s">
        <v>174</v>
      </c>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row>
    <row r="321" spans="1:52" ht="18" customHeight="1" x14ac:dyDescent="0.2">
      <c r="A321" s="3" t="str">
        <f t="shared" si="4"/>
        <v xml:space="preserve">                                                  </v>
      </c>
      <c r="B321" s="24" t="s">
        <v>174</v>
      </c>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row>
    <row r="322" spans="1:52" ht="18" customHeight="1" x14ac:dyDescent="0.2">
      <c r="A322" s="3" t="str">
        <f t="shared" si="4"/>
        <v xml:space="preserve">                                                  </v>
      </c>
      <c r="B322" s="24" t="s">
        <v>174</v>
      </c>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row>
    <row r="323" spans="1:52" ht="18" customHeight="1" x14ac:dyDescent="0.2">
      <c r="A323" s="3" t="str">
        <f t="shared" si="4"/>
        <v xml:space="preserve">                                                  </v>
      </c>
      <c r="B323" s="24" t="s">
        <v>174</v>
      </c>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row>
    <row r="324" spans="1:52" ht="18" customHeight="1" x14ac:dyDescent="0.2">
      <c r="A324" s="3" t="str">
        <f t="shared" ref="A324:A387" si="5">CONCATENATE(C324," ",D324," ",E324," ",F324," ",G324," ",H324," ",I324," ",J324," ",K324," ",L324," ",M324," ",N324," ",O324," ",P324," ",Q324," ",R324," ",S324," ",T324," ",U324," ",V324," ",W324," ",X324," ",Y324," ",Z324," ",AA324," ",AB324," ",AC324," ",AD324," ",AE324," ",AF324," ",AG324," ",AH324," ",AI324," ",AJ324," ",AK324," ",AL324," ",AM324," ",AN324," ",AO324," ",AP324," ",AQ324," ",AR324," ",AS324," ",AT324," ",AU324," ",AV324," ",AW324," ",AX324," ",AY324," ",AZ324," ",
)</f>
        <v xml:space="preserve">                                                  </v>
      </c>
      <c r="B324" s="24" t="s">
        <v>174</v>
      </c>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row>
    <row r="325" spans="1:52" ht="18" customHeight="1" x14ac:dyDescent="0.2">
      <c r="A325" s="3" t="str">
        <f t="shared" si="5"/>
        <v xml:space="preserve">                                                  </v>
      </c>
      <c r="B325" s="24" t="s">
        <v>174</v>
      </c>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row>
    <row r="326" spans="1:52" ht="18" customHeight="1" x14ac:dyDescent="0.2">
      <c r="A326" s="3" t="str">
        <f t="shared" si="5"/>
        <v xml:space="preserve">                                                  </v>
      </c>
      <c r="B326" s="24" t="s">
        <v>174</v>
      </c>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row>
    <row r="327" spans="1:52" ht="18" customHeight="1" x14ac:dyDescent="0.2">
      <c r="A327" s="3" t="str">
        <f t="shared" si="5"/>
        <v xml:space="preserve">                                                  </v>
      </c>
      <c r="B327" s="24" t="s">
        <v>174</v>
      </c>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row>
    <row r="328" spans="1:52" ht="18" customHeight="1" x14ac:dyDescent="0.2">
      <c r="A328" s="3" t="str">
        <f t="shared" si="5"/>
        <v xml:space="preserve">                                                  </v>
      </c>
      <c r="B328" s="24" t="s">
        <v>174</v>
      </c>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row>
    <row r="329" spans="1:52" ht="18" customHeight="1" x14ac:dyDescent="0.2">
      <c r="A329" s="3" t="str">
        <f t="shared" si="5"/>
        <v xml:space="preserve">                                                  </v>
      </c>
      <c r="B329" s="24" t="s">
        <v>174</v>
      </c>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row>
    <row r="330" spans="1:52" ht="18" customHeight="1" x14ac:dyDescent="0.2">
      <c r="A330" s="3" t="str">
        <f t="shared" si="5"/>
        <v xml:space="preserve">                                                  </v>
      </c>
      <c r="B330" s="24" t="s">
        <v>174</v>
      </c>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row>
    <row r="331" spans="1:52" ht="18" customHeight="1" x14ac:dyDescent="0.2">
      <c r="A331" s="3" t="str">
        <f t="shared" si="5"/>
        <v xml:space="preserve">                                                  </v>
      </c>
      <c r="B331" s="24" t="s">
        <v>174</v>
      </c>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row>
    <row r="332" spans="1:52" ht="18" customHeight="1" x14ac:dyDescent="0.2">
      <c r="A332" s="3" t="str">
        <f t="shared" si="5"/>
        <v xml:space="preserve">                                                  </v>
      </c>
      <c r="B332" s="24" t="s">
        <v>174</v>
      </c>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row>
    <row r="333" spans="1:52" ht="18" customHeight="1" x14ac:dyDescent="0.2">
      <c r="A333" s="3" t="str">
        <f t="shared" si="5"/>
        <v xml:space="preserve">                                                  </v>
      </c>
      <c r="B333" s="24" t="s">
        <v>174</v>
      </c>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row>
    <row r="334" spans="1:52" ht="18" customHeight="1" x14ac:dyDescent="0.2">
      <c r="A334" s="3" t="str">
        <f t="shared" si="5"/>
        <v xml:space="preserve">                                                  </v>
      </c>
      <c r="B334" s="24" t="s">
        <v>174</v>
      </c>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row>
    <row r="335" spans="1:52" ht="18" customHeight="1" x14ac:dyDescent="0.2">
      <c r="A335" s="3" t="str">
        <f t="shared" si="5"/>
        <v xml:space="preserve">                                                  </v>
      </c>
      <c r="B335" s="24" t="s">
        <v>174</v>
      </c>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row>
    <row r="336" spans="1:52" ht="18" customHeight="1" x14ac:dyDescent="0.2">
      <c r="A336" s="3" t="str">
        <f t="shared" si="5"/>
        <v xml:space="preserve">                                                  </v>
      </c>
      <c r="B336" s="24" t="s">
        <v>174</v>
      </c>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row>
    <row r="337" spans="1:52" ht="18" customHeight="1" x14ac:dyDescent="0.2">
      <c r="A337" s="3" t="str">
        <f t="shared" si="5"/>
        <v xml:space="preserve">                                                  </v>
      </c>
      <c r="B337" s="24" t="s">
        <v>174</v>
      </c>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row>
    <row r="338" spans="1:52" ht="18" customHeight="1" x14ac:dyDescent="0.2">
      <c r="A338" s="3" t="str">
        <f t="shared" si="5"/>
        <v xml:space="preserve">                                                  </v>
      </c>
      <c r="B338" s="24" t="s">
        <v>174</v>
      </c>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row>
    <row r="339" spans="1:52" ht="18" customHeight="1" x14ac:dyDescent="0.2">
      <c r="A339" s="3" t="str">
        <f t="shared" si="5"/>
        <v xml:space="preserve">                                                  </v>
      </c>
      <c r="B339" s="24" t="s">
        <v>174</v>
      </c>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row>
    <row r="340" spans="1:52" ht="18" customHeight="1" x14ac:dyDescent="0.2">
      <c r="A340" s="3" t="str">
        <f t="shared" si="5"/>
        <v xml:space="preserve">                                                  </v>
      </c>
      <c r="B340" s="24" t="s">
        <v>174</v>
      </c>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row>
    <row r="341" spans="1:52" ht="18" customHeight="1" x14ac:dyDescent="0.2">
      <c r="A341" s="3" t="str">
        <f t="shared" si="5"/>
        <v xml:space="preserve">                                                  </v>
      </c>
      <c r="B341" s="24" t="s">
        <v>174</v>
      </c>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row>
    <row r="342" spans="1:52" ht="18" customHeight="1" x14ac:dyDescent="0.2">
      <c r="A342" s="3" t="str">
        <f t="shared" si="5"/>
        <v xml:space="preserve">                                                  </v>
      </c>
      <c r="B342" s="24" t="s">
        <v>174</v>
      </c>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row>
    <row r="343" spans="1:52" ht="18" customHeight="1" x14ac:dyDescent="0.2">
      <c r="A343" s="3" t="str">
        <f t="shared" si="5"/>
        <v xml:space="preserve">                                                  </v>
      </c>
      <c r="B343" s="24" t="s">
        <v>174</v>
      </c>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row>
    <row r="344" spans="1:52" ht="18" customHeight="1" x14ac:dyDescent="0.2">
      <c r="A344" s="3" t="str">
        <f t="shared" si="5"/>
        <v xml:space="preserve">                                                  </v>
      </c>
      <c r="B344" s="24" t="s">
        <v>174</v>
      </c>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row>
    <row r="345" spans="1:52" ht="18" customHeight="1" x14ac:dyDescent="0.2">
      <c r="A345" s="3" t="str">
        <f t="shared" si="5"/>
        <v xml:space="preserve">                                                  </v>
      </c>
      <c r="B345" s="24" t="s">
        <v>174</v>
      </c>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row>
    <row r="346" spans="1:52" ht="18" customHeight="1" x14ac:dyDescent="0.2">
      <c r="A346" s="3" t="str">
        <f t="shared" si="5"/>
        <v xml:space="preserve">                                                  </v>
      </c>
      <c r="B346" s="24" t="s">
        <v>174</v>
      </c>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row>
    <row r="347" spans="1:52" ht="18" customHeight="1" x14ac:dyDescent="0.2">
      <c r="A347" s="3" t="str">
        <f t="shared" si="5"/>
        <v xml:space="preserve">                                                  </v>
      </c>
      <c r="B347" s="24" t="s">
        <v>174</v>
      </c>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row>
    <row r="348" spans="1:52" ht="18" customHeight="1" x14ac:dyDescent="0.2">
      <c r="A348" s="3" t="str">
        <f t="shared" si="5"/>
        <v xml:space="preserve">                                                  </v>
      </c>
      <c r="B348" s="24" t="s">
        <v>174</v>
      </c>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row>
    <row r="349" spans="1:52" ht="18" customHeight="1" x14ac:dyDescent="0.2">
      <c r="A349" s="3" t="str">
        <f t="shared" si="5"/>
        <v xml:space="preserve">                                                  </v>
      </c>
      <c r="B349" s="24" t="s">
        <v>174</v>
      </c>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row>
    <row r="350" spans="1:52" ht="18" customHeight="1" x14ac:dyDescent="0.2">
      <c r="A350" s="3" t="str">
        <f t="shared" si="5"/>
        <v xml:space="preserve">                                                  </v>
      </c>
      <c r="B350" s="24" t="s">
        <v>174</v>
      </c>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row>
    <row r="351" spans="1:52" ht="18" customHeight="1" x14ac:dyDescent="0.2">
      <c r="A351" s="3" t="str">
        <f t="shared" si="5"/>
        <v xml:space="preserve">                                                  </v>
      </c>
      <c r="B351" s="24" t="s">
        <v>174</v>
      </c>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row>
    <row r="352" spans="1:52" ht="18" customHeight="1" x14ac:dyDescent="0.2">
      <c r="A352" s="3" t="str">
        <f t="shared" si="5"/>
        <v xml:space="preserve">                                                  </v>
      </c>
      <c r="B352" s="24" t="s">
        <v>174</v>
      </c>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row>
    <row r="353" spans="1:52" ht="18" customHeight="1" x14ac:dyDescent="0.2">
      <c r="A353" s="3" t="str">
        <f t="shared" si="5"/>
        <v xml:space="preserve">                                                  </v>
      </c>
      <c r="B353" s="24" t="s">
        <v>174</v>
      </c>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row>
    <row r="354" spans="1:52" ht="18" customHeight="1" x14ac:dyDescent="0.2">
      <c r="A354" s="3" t="str">
        <f t="shared" si="5"/>
        <v xml:space="preserve">                                                  </v>
      </c>
      <c r="B354" s="24" t="s">
        <v>174</v>
      </c>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row>
    <row r="355" spans="1:52" ht="18" customHeight="1" x14ac:dyDescent="0.2">
      <c r="A355" s="3" t="str">
        <f t="shared" si="5"/>
        <v xml:space="preserve">                                                  </v>
      </c>
      <c r="B355" s="24" t="s">
        <v>174</v>
      </c>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row>
    <row r="356" spans="1:52" ht="18" customHeight="1" x14ac:dyDescent="0.2">
      <c r="A356" s="3" t="str">
        <f t="shared" si="5"/>
        <v xml:space="preserve">                                                  </v>
      </c>
      <c r="B356" s="24" t="s">
        <v>174</v>
      </c>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row>
    <row r="357" spans="1:52" ht="18" customHeight="1" x14ac:dyDescent="0.2">
      <c r="A357" s="3" t="str">
        <f t="shared" si="5"/>
        <v xml:space="preserve">                                                  </v>
      </c>
      <c r="B357" s="24" t="s">
        <v>174</v>
      </c>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row>
    <row r="358" spans="1:52" ht="18" customHeight="1" x14ac:dyDescent="0.2">
      <c r="A358" s="3" t="str">
        <f t="shared" si="5"/>
        <v xml:space="preserve">                                                  </v>
      </c>
      <c r="B358" s="24" t="s">
        <v>174</v>
      </c>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row>
    <row r="359" spans="1:52" ht="18" customHeight="1" x14ac:dyDescent="0.2">
      <c r="A359" s="3" t="str">
        <f t="shared" si="5"/>
        <v xml:space="preserve">                                                  </v>
      </c>
      <c r="B359" s="24" t="s">
        <v>174</v>
      </c>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row>
    <row r="360" spans="1:52" ht="18" customHeight="1" x14ac:dyDescent="0.2">
      <c r="A360" s="3" t="str">
        <f t="shared" si="5"/>
        <v xml:space="preserve">                                                  </v>
      </c>
      <c r="B360" s="24" t="s">
        <v>174</v>
      </c>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row>
    <row r="361" spans="1:52" ht="18" customHeight="1" x14ac:dyDescent="0.2">
      <c r="A361" s="3" t="str">
        <f t="shared" si="5"/>
        <v xml:space="preserve">                                                  </v>
      </c>
      <c r="B361" s="24" t="s">
        <v>174</v>
      </c>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row>
    <row r="362" spans="1:52" ht="18" customHeight="1" x14ac:dyDescent="0.2">
      <c r="A362" s="3" t="str">
        <f t="shared" si="5"/>
        <v xml:space="preserve">                                                  </v>
      </c>
      <c r="B362" s="24" t="s">
        <v>174</v>
      </c>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row>
    <row r="363" spans="1:52" ht="18" customHeight="1" x14ac:dyDescent="0.2">
      <c r="A363" s="3" t="str">
        <f t="shared" si="5"/>
        <v xml:space="preserve">                                                  </v>
      </c>
      <c r="B363" s="24" t="s">
        <v>174</v>
      </c>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row>
    <row r="364" spans="1:52" ht="18" customHeight="1" x14ac:dyDescent="0.2">
      <c r="A364" s="3" t="str">
        <f t="shared" si="5"/>
        <v xml:space="preserve">                                                  </v>
      </c>
      <c r="B364" s="24" t="s">
        <v>174</v>
      </c>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row>
    <row r="365" spans="1:52" ht="18" customHeight="1" x14ac:dyDescent="0.2">
      <c r="A365" s="3" t="str">
        <f t="shared" si="5"/>
        <v xml:space="preserve">                                                  </v>
      </c>
      <c r="B365" s="24" t="s">
        <v>174</v>
      </c>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row>
    <row r="366" spans="1:52" ht="18" customHeight="1" x14ac:dyDescent="0.2">
      <c r="A366" s="3" t="str">
        <f t="shared" si="5"/>
        <v xml:space="preserve">                                                  </v>
      </c>
      <c r="B366" s="24" t="s">
        <v>174</v>
      </c>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row>
    <row r="367" spans="1:52" ht="18" customHeight="1" x14ac:dyDescent="0.2">
      <c r="A367" s="3" t="str">
        <f t="shared" si="5"/>
        <v xml:space="preserve">                                                  </v>
      </c>
      <c r="B367" s="24" t="s">
        <v>174</v>
      </c>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row>
    <row r="368" spans="1:52" ht="18" customHeight="1" x14ac:dyDescent="0.2">
      <c r="A368" s="3" t="str">
        <f t="shared" si="5"/>
        <v xml:space="preserve">                                                  </v>
      </c>
      <c r="B368" s="24" t="s">
        <v>174</v>
      </c>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row>
    <row r="369" spans="1:52" ht="18" customHeight="1" x14ac:dyDescent="0.2">
      <c r="A369" s="3" t="str">
        <f t="shared" si="5"/>
        <v xml:space="preserve">                                                  </v>
      </c>
      <c r="B369" s="24" t="s">
        <v>174</v>
      </c>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row>
    <row r="370" spans="1:52" ht="18" customHeight="1" x14ac:dyDescent="0.2">
      <c r="A370" s="3" t="str">
        <f t="shared" si="5"/>
        <v xml:space="preserve">                                                  </v>
      </c>
      <c r="B370" s="24" t="s">
        <v>174</v>
      </c>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row>
    <row r="371" spans="1:52" ht="18" customHeight="1" x14ac:dyDescent="0.2">
      <c r="A371" s="3" t="str">
        <f t="shared" si="5"/>
        <v xml:space="preserve">                                                  </v>
      </c>
      <c r="B371" s="24" t="s">
        <v>174</v>
      </c>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row>
    <row r="372" spans="1:52" ht="18" customHeight="1" x14ac:dyDescent="0.2">
      <c r="A372" s="3" t="str">
        <f t="shared" si="5"/>
        <v xml:space="preserve">                                                  </v>
      </c>
      <c r="B372" s="24" t="s">
        <v>174</v>
      </c>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row>
    <row r="373" spans="1:52" ht="18" customHeight="1" x14ac:dyDescent="0.2">
      <c r="A373" s="3" t="str">
        <f t="shared" si="5"/>
        <v xml:space="preserve">                                                  </v>
      </c>
      <c r="B373" s="24" t="s">
        <v>174</v>
      </c>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row>
    <row r="374" spans="1:52" ht="18" customHeight="1" x14ac:dyDescent="0.2">
      <c r="A374" s="3" t="str">
        <f t="shared" si="5"/>
        <v xml:space="preserve">                                                  </v>
      </c>
      <c r="B374" s="24" t="s">
        <v>174</v>
      </c>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row>
    <row r="375" spans="1:52" ht="18" customHeight="1" x14ac:dyDescent="0.2">
      <c r="A375" s="3" t="str">
        <f t="shared" si="5"/>
        <v xml:space="preserve">                                                  </v>
      </c>
      <c r="B375" s="24" t="s">
        <v>174</v>
      </c>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row>
    <row r="376" spans="1:52" ht="18" customHeight="1" x14ac:dyDescent="0.2">
      <c r="A376" s="3" t="str">
        <f t="shared" si="5"/>
        <v xml:space="preserve">                                                  </v>
      </c>
      <c r="B376" s="24" t="s">
        <v>174</v>
      </c>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row>
    <row r="377" spans="1:52" ht="18" customHeight="1" x14ac:dyDescent="0.2">
      <c r="A377" s="3" t="str">
        <f t="shared" si="5"/>
        <v xml:space="preserve">                                                  </v>
      </c>
      <c r="B377" s="24" t="s">
        <v>174</v>
      </c>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row>
    <row r="378" spans="1:52" ht="18" customHeight="1" x14ac:dyDescent="0.2">
      <c r="A378" s="3" t="str">
        <f t="shared" si="5"/>
        <v xml:space="preserve">                                                  </v>
      </c>
      <c r="B378" s="24" t="s">
        <v>174</v>
      </c>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row>
    <row r="379" spans="1:52" ht="18" customHeight="1" x14ac:dyDescent="0.2">
      <c r="A379" s="3" t="str">
        <f t="shared" si="5"/>
        <v xml:space="preserve">                                                  </v>
      </c>
      <c r="B379" s="24" t="s">
        <v>174</v>
      </c>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row>
    <row r="380" spans="1:52" ht="18" customHeight="1" x14ac:dyDescent="0.2">
      <c r="A380" s="3" t="str">
        <f t="shared" si="5"/>
        <v xml:space="preserve">                                                  </v>
      </c>
      <c r="B380" s="24" t="s">
        <v>174</v>
      </c>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row>
    <row r="381" spans="1:52" ht="18" customHeight="1" x14ac:dyDescent="0.2">
      <c r="A381" s="3" t="str">
        <f t="shared" si="5"/>
        <v xml:space="preserve">                                                  </v>
      </c>
      <c r="B381" s="24" t="s">
        <v>174</v>
      </c>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row>
    <row r="382" spans="1:52" ht="18" customHeight="1" x14ac:dyDescent="0.2">
      <c r="A382" s="3" t="str">
        <f t="shared" si="5"/>
        <v xml:space="preserve">                                                  </v>
      </c>
      <c r="B382" s="24" t="s">
        <v>174</v>
      </c>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row>
    <row r="383" spans="1:52" ht="18" customHeight="1" x14ac:dyDescent="0.2">
      <c r="A383" s="3" t="str">
        <f t="shared" si="5"/>
        <v xml:space="preserve">                                                  </v>
      </c>
      <c r="B383" s="24" t="s">
        <v>174</v>
      </c>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row>
    <row r="384" spans="1:52" ht="18" customHeight="1" x14ac:dyDescent="0.2">
      <c r="A384" s="3" t="str">
        <f t="shared" si="5"/>
        <v xml:space="preserve">                                                  </v>
      </c>
      <c r="B384" s="24" t="s">
        <v>174</v>
      </c>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row>
    <row r="385" spans="1:52" ht="18" customHeight="1" x14ac:dyDescent="0.2">
      <c r="A385" s="3" t="str">
        <f t="shared" si="5"/>
        <v xml:space="preserve">                                                  </v>
      </c>
      <c r="B385" s="24" t="s">
        <v>174</v>
      </c>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row>
    <row r="386" spans="1:52" ht="18" customHeight="1" x14ac:dyDescent="0.2">
      <c r="A386" s="3" t="str">
        <f t="shared" si="5"/>
        <v xml:space="preserve">                                                  </v>
      </c>
      <c r="B386" s="24" t="s">
        <v>174</v>
      </c>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row>
    <row r="387" spans="1:52" ht="18" customHeight="1" x14ac:dyDescent="0.2">
      <c r="A387" s="3" t="str">
        <f t="shared" si="5"/>
        <v xml:space="preserve">                                                  </v>
      </c>
      <c r="B387" s="24" t="s">
        <v>174</v>
      </c>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row>
    <row r="388" spans="1:52" ht="18" customHeight="1" x14ac:dyDescent="0.2">
      <c r="A388" s="3" t="str">
        <f t="shared" ref="A388:A451" si="6">CONCATENATE(C388," ",D388," ",E388," ",F388," ",G388," ",H388," ",I388," ",J388," ",K388," ",L388," ",M388," ",N388," ",O388," ",P388," ",Q388," ",R388," ",S388," ",T388," ",U388," ",V388," ",W388," ",X388," ",Y388," ",Z388," ",AA388," ",AB388," ",AC388," ",AD388," ",AE388," ",AF388," ",AG388," ",AH388," ",AI388," ",AJ388," ",AK388," ",AL388," ",AM388," ",AN388," ",AO388," ",AP388," ",AQ388," ",AR388," ",AS388," ",AT388," ",AU388," ",AV388," ",AW388," ",AX388," ",AY388," ",AZ388," ",
)</f>
        <v xml:space="preserve">                                                  </v>
      </c>
      <c r="B388" s="24" t="s">
        <v>174</v>
      </c>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row>
    <row r="389" spans="1:52" ht="18" customHeight="1" x14ac:dyDescent="0.2">
      <c r="A389" s="3" t="str">
        <f t="shared" si="6"/>
        <v xml:space="preserve">                                                  </v>
      </c>
      <c r="B389" s="24" t="s">
        <v>174</v>
      </c>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row>
    <row r="390" spans="1:52" ht="18" customHeight="1" x14ac:dyDescent="0.2">
      <c r="A390" s="3" t="str">
        <f t="shared" si="6"/>
        <v xml:space="preserve">                                                  </v>
      </c>
      <c r="B390" s="24" t="s">
        <v>174</v>
      </c>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row>
    <row r="391" spans="1:52" ht="18" customHeight="1" x14ac:dyDescent="0.2">
      <c r="A391" s="3" t="str">
        <f t="shared" si="6"/>
        <v xml:space="preserve">                                                  </v>
      </c>
      <c r="B391" s="24" t="s">
        <v>174</v>
      </c>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row>
    <row r="392" spans="1:52" ht="18" customHeight="1" x14ac:dyDescent="0.2">
      <c r="A392" s="3" t="str">
        <f t="shared" si="6"/>
        <v xml:space="preserve">                                                  </v>
      </c>
      <c r="B392" s="24" t="s">
        <v>174</v>
      </c>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row>
    <row r="393" spans="1:52" ht="18" customHeight="1" x14ac:dyDescent="0.2">
      <c r="A393" s="3" t="str">
        <f t="shared" si="6"/>
        <v xml:space="preserve">                                                  </v>
      </c>
      <c r="B393" s="24" t="s">
        <v>174</v>
      </c>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row>
    <row r="394" spans="1:52" ht="18" customHeight="1" x14ac:dyDescent="0.2">
      <c r="A394" s="3" t="str">
        <f t="shared" si="6"/>
        <v xml:space="preserve">                                                  </v>
      </c>
      <c r="B394" s="24" t="s">
        <v>174</v>
      </c>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row>
    <row r="395" spans="1:52" ht="18" customHeight="1" x14ac:dyDescent="0.2">
      <c r="A395" s="3" t="str">
        <f t="shared" si="6"/>
        <v xml:space="preserve">                                                  </v>
      </c>
      <c r="B395" s="24" t="s">
        <v>174</v>
      </c>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row>
    <row r="396" spans="1:52" ht="18" customHeight="1" x14ac:dyDescent="0.2">
      <c r="A396" s="3" t="str">
        <f t="shared" si="6"/>
        <v xml:space="preserve">                                                  </v>
      </c>
      <c r="B396" s="24" t="s">
        <v>174</v>
      </c>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row>
    <row r="397" spans="1:52" ht="18" customHeight="1" x14ac:dyDescent="0.2">
      <c r="A397" s="3" t="str">
        <f t="shared" si="6"/>
        <v xml:space="preserve">                                                  </v>
      </c>
      <c r="B397" s="24" t="s">
        <v>174</v>
      </c>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row>
    <row r="398" spans="1:52" ht="18" customHeight="1" x14ac:dyDescent="0.2">
      <c r="A398" s="3" t="str">
        <f t="shared" si="6"/>
        <v xml:space="preserve">                                                  </v>
      </c>
      <c r="B398" s="24" t="s">
        <v>174</v>
      </c>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row>
    <row r="399" spans="1:52" ht="18" customHeight="1" x14ac:dyDescent="0.2">
      <c r="A399" s="3" t="str">
        <f t="shared" si="6"/>
        <v xml:space="preserve">                                                  </v>
      </c>
      <c r="B399" s="24" t="s">
        <v>174</v>
      </c>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row>
    <row r="400" spans="1:52" ht="18" customHeight="1" x14ac:dyDescent="0.2">
      <c r="A400" s="3" t="str">
        <f t="shared" si="6"/>
        <v xml:space="preserve">                                                  </v>
      </c>
      <c r="B400" s="24" t="s">
        <v>174</v>
      </c>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row>
    <row r="401" spans="1:52" ht="18" customHeight="1" x14ac:dyDescent="0.2">
      <c r="A401" s="3" t="str">
        <f t="shared" si="6"/>
        <v xml:space="preserve">                                                  </v>
      </c>
      <c r="B401" s="24" t="s">
        <v>174</v>
      </c>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row>
    <row r="402" spans="1:52" ht="18" customHeight="1" x14ac:dyDescent="0.2">
      <c r="A402" s="3" t="str">
        <f t="shared" si="6"/>
        <v xml:space="preserve">                                                  </v>
      </c>
      <c r="B402" s="24" t="s">
        <v>174</v>
      </c>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row>
    <row r="403" spans="1:52" ht="18" customHeight="1" x14ac:dyDescent="0.2">
      <c r="A403" s="3" t="str">
        <f t="shared" si="6"/>
        <v xml:space="preserve">                                                  </v>
      </c>
      <c r="B403" s="24" t="s">
        <v>174</v>
      </c>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row>
    <row r="404" spans="1:52" ht="18" customHeight="1" x14ac:dyDescent="0.2">
      <c r="A404" s="3" t="str">
        <f t="shared" si="6"/>
        <v xml:space="preserve">                                                  </v>
      </c>
      <c r="B404" s="24" t="s">
        <v>174</v>
      </c>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row>
    <row r="405" spans="1:52" ht="18" customHeight="1" x14ac:dyDescent="0.2">
      <c r="A405" s="3" t="str">
        <f t="shared" si="6"/>
        <v xml:space="preserve">                                                  </v>
      </c>
      <c r="B405" s="24" t="s">
        <v>174</v>
      </c>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row>
    <row r="406" spans="1:52" ht="18" customHeight="1" x14ac:dyDescent="0.2">
      <c r="A406" s="3" t="str">
        <f t="shared" si="6"/>
        <v xml:space="preserve">                                                  </v>
      </c>
      <c r="B406" s="24" t="s">
        <v>174</v>
      </c>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row>
    <row r="407" spans="1:52" ht="18" customHeight="1" x14ac:dyDescent="0.2">
      <c r="A407" s="3" t="str">
        <f t="shared" si="6"/>
        <v xml:space="preserve">                                                  </v>
      </c>
      <c r="B407" s="24" t="s">
        <v>174</v>
      </c>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row>
    <row r="408" spans="1:52" ht="18" customHeight="1" x14ac:dyDescent="0.2">
      <c r="A408" s="3" t="str">
        <f t="shared" si="6"/>
        <v xml:space="preserve">                                                  </v>
      </c>
      <c r="B408" s="24" t="s">
        <v>174</v>
      </c>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row>
    <row r="409" spans="1:52" ht="18" customHeight="1" x14ac:dyDescent="0.2">
      <c r="A409" s="3" t="str">
        <f t="shared" si="6"/>
        <v xml:space="preserve">                                                  </v>
      </c>
      <c r="B409" s="24" t="s">
        <v>174</v>
      </c>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row>
    <row r="410" spans="1:52" ht="18" customHeight="1" x14ac:dyDescent="0.2">
      <c r="A410" s="3" t="str">
        <f t="shared" si="6"/>
        <v xml:space="preserve">                                                  </v>
      </c>
      <c r="B410" s="24" t="s">
        <v>174</v>
      </c>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row>
    <row r="411" spans="1:52" ht="18" customHeight="1" x14ac:dyDescent="0.2">
      <c r="A411" s="3" t="str">
        <f t="shared" si="6"/>
        <v xml:space="preserve">                                                  </v>
      </c>
      <c r="B411" s="24" t="s">
        <v>174</v>
      </c>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row>
    <row r="412" spans="1:52" ht="18" customHeight="1" x14ac:dyDescent="0.2">
      <c r="A412" s="3" t="str">
        <f t="shared" si="6"/>
        <v xml:space="preserve">                                                  </v>
      </c>
      <c r="B412" s="24" t="s">
        <v>174</v>
      </c>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row>
    <row r="413" spans="1:52" ht="18" customHeight="1" x14ac:dyDescent="0.2">
      <c r="A413" s="3" t="str">
        <f t="shared" si="6"/>
        <v xml:space="preserve">                                                  </v>
      </c>
      <c r="B413" s="24" t="s">
        <v>174</v>
      </c>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row>
    <row r="414" spans="1:52" ht="18" customHeight="1" x14ac:dyDescent="0.2">
      <c r="A414" s="3" t="str">
        <f t="shared" si="6"/>
        <v xml:space="preserve">                                                  </v>
      </c>
      <c r="B414" s="24" t="s">
        <v>174</v>
      </c>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row>
    <row r="415" spans="1:52" ht="18" customHeight="1" x14ac:dyDescent="0.2">
      <c r="A415" s="3" t="str">
        <f t="shared" si="6"/>
        <v xml:space="preserve">                                                  </v>
      </c>
      <c r="B415" s="24" t="s">
        <v>174</v>
      </c>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row>
    <row r="416" spans="1:52" ht="18" customHeight="1" x14ac:dyDescent="0.2">
      <c r="A416" s="3" t="str">
        <f t="shared" si="6"/>
        <v xml:space="preserve">                                                  </v>
      </c>
      <c r="B416" s="24" t="s">
        <v>174</v>
      </c>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row>
    <row r="417" spans="1:52" ht="18" customHeight="1" x14ac:dyDescent="0.2">
      <c r="A417" s="3" t="str">
        <f t="shared" si="6"/>
        <v xml:space="preserve">                                                  </v>
      </c>
      <c r="B417" s="24" t="s">
        <v>174</v>
      </c>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row>
    <row r="418" spans="1:52" ht="18" customHeight="1" x14ac:dyDescent="0.2">
      <c r="A418" s="3" t="str">
        <f t="shared" si="6"/>
        <v xml:space="preserve">                                                  </v>
      </c>
      <c r="B418" s="24" t="s">
        <v>174</v>
      </c>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row>
    <row r="419" spans="1:52" ht="18" customHeight="1" x14ac:dyDescent="0.2">
      <c r="A419" s="3" t="str">
        <f t="shared" si="6"/>
        <v xml:space="preserve">                                                  </v>
      </c>
      <c r="B419" s="24" t="s">
        <v>174</v>
      </c>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row>
    <row r="420" spans="1:52" ht="18" customHeight="1" x14ac:dyDescent="0.2">
      <c r="A420" s="3" t="str">
        <f t="shared" si="6"/>
        <v xml:space="preserve">                                                  </v>
      </c>
      <c r="B420" s="24" t="s">
        <v>174</v>
      </c>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row>
    <row r="421" spans="1:52" ht="18" customHeight="1" x14ac:dyDescent="0.2">
      <c r="A421" s="3" t="str">
        <f t="shared" si="6"/>
        <v xml:space="preserve">                                                  </v>
      </c>
      <c r="B421" s="24" t="s">
        <v>174</v>
      </c>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row>
    <row r="422" spans="1:52" ht="18" customHeight="1" x14ac:dyDescent="0.2">
      <c r="A422" s="3" t="str">
        <f t="shared" si="6"/>
        <v xml:space="preserve">                                                  </v>
      </c>
      <c r="B422" s="24" t="s">
        <v>174</v>
      </c>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row>
    <row r="423" spans="1:52" ht="18" customHeight="1" x14ac:dyDescent="0.2">
      <c r="A423" s="3" t="str">
        <f t="shared" si="6"/>
        <v xml:space="preserve">                                                  </v>
      </c>
      <c r="B423" s="24" t="s">
        <v>174</v>
      </c>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row>
    <row r="424" spans="1:52" ht="18" customHeight="1" x14ac:dyDescent="0.2">
      <c r="A424" s="3" t="str">
        <f t="shared" si="6"/>
        <v xml:space="preserve">                                                  </v>
      </c>
      <c r="B424" s="24" t="s">
        <v>174</v>
      </c>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row>
    <row r="425" spans="1:52" ht="18" customHeight="1" x14ac:dyDescent="0.2">
      <c r="A425" s="3" t="str">
        <f t="shared" si="6"/>
        <v xml:space="preserve">                                                  </v>
      </c>
      <c r="B425" s="24" t="s">
        <v>174</v>
      </c>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row>
    <row r="426" spans="1:52" ht="18" customHeight="1" x14ac:dyDescent="0.2">
      <c r="A426" s="3" t="str">
        <f t="shared" si="6"/>
        <v xml:space="preserve">                                                  </v>
      </c>
      <c r="B426" s="24" t="s">
        <v>174</v>
      </c>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row>
    <row r="427" spans="1:52" ht="18" customHeight="1" x14ac:dyDescent="0.2">
      <c r="A427" s="3" t="str">
        <f t="shared" si="6"/>
        <v xml:space="preserve">                                                  </v>
      </c>
      <c r="B427" s="24" t="s">
        <v>174</v>
      </c>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row>
    <row r="428" spans="1:52" ht="18" customHeight="1" x14ac:dyDescent="0.2">
      <c r="A428" s="3" t="str">
        <f t="shared" si="6"/>
        <v xml:space="preserve">                                                  </v>
      </c>
      <c r="B428" s="24" t="s">
        <v>174</v>
      </c>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row>
    <row r="429" spans="1:52" ht="18" customHeight="1" x14ac:dyDescent="0.2">
      <c r="A429" s="3" t="str">
        <f t="shared" si="6"/>
        <v xml:space="preserve">                                                  </v>
      </c>
      <c r="B429" s="24" t="s">
        <v>174</v>
      </c>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row>
    <row r="430" spans="1:52" ht="18" customHeight="1" x14ac:dyDescent="0.2">
      <c r="A430" s="3" t="str">
        <f t="shared" si="6"/>
        <v xml:space="preserve">                                                  </v>
      </c>
      <c r="B430" s="24" t="s">
        <v>174</v>
      </c>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row>
    <row r="431" spans="1:52" ht="18" customHeight="1" x14ac:dyDescent="0.2">
      <c r="A431" s="3" t="str">
        <f t="shared" si="6"/>
        <v xml:space="preserve">                                                  </v>
      </c>
      <c r="B431" s="24" t="s">
        <v>174</v>
      </c>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row>
    <row r="432" spans="1:52" ht="18" customHeight="1" x14ac:dyDescent="0.2">
      <c r="A432" s="3" t="str">
        <f t="shared" si="6"/>
        <v xml:space="preserve">                                                  </v>
      </c>
      <c r="B432" s="24" t="s">
        <v>174</v>
      </c>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row>
    <row r="433" spans="1:52" ht="18" customHeight="1" x14ac:dyDescent="0.2">
      <c r="A433" s="3" t="str">
        <f t="shared" si="6"/>
        <v xml:space="preserve">                                                  </v>
      </c>
      <c r="B433" s="24" t="s">
        <v>174</v>
      </c>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row>
    <row r="434" spans="1:52" ht="18" customHeight="1" x14ac:dyDescent="0.2">
      <c r="A434" s="3" t="str">
        <f t="shared" si="6"/>
        <v xml:space="preserve">                                                  </v>
      </c>
      <c r="B434" s="24" t="s">
        <v>174</v>
      </c>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row>
    <row r="435" spans="1:52" ht="18" customHeight="1" x14ac:dyDescent="0.2">
      <c r="A435" s="3" t="str">
        <f t="shared" si="6"/>
        <v xml:space="preserve">                                                  </v>
      </c>
      <c r="B435" s="24" t="s">
        <v>174</v>
      </c>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row>
    <row r="436" spans="1:52" ht="18" customHeight="1" x14ac:dyDescent="0.2">
      <c r="A436" s="3" t="str">
        <f t="shared" si="6"/>
        <v xml:space="preserve">                                                  </v>
      </c>
      <c r="B436" s="24" t="s">
        <v>174</v>
      </c>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row>
    <row r="437" spans="1:52" ht="18" customHeight="1" x14ac:dyDescent="0.2">
      <c r="A437" s="3" t="str">
        <f t="shared" si="6"/>
        <v xml:space="preserve">                                                  </v>
      </c>
      <c r="B437" s="24" t="s">
        <v>174</v>
      </c>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row>
    <row r="438" spans="1:52" ht="18" customHeight="1" x14ac:dyDescent="0.2">
      <c r="A438" s="3" t="str">
        <f t="shared" si="6"/>
        <v xml:space="preserve">                                                  </v>
      </c>
      <c r="B438" s="24" t="s">
        <v>174</v>
      </c>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row>
    <row r="439" spans="1:52" ht="18" customHeight="1" x14ac:dyDescent="0.2">
      <c r="A439" s="3" t="str">
        <f t="shared" si="6"/>
        <v xml:space="preserve">                                                  </v>
      </c>
      <c r="B439" s="24" t="s">
        <v>174</v>
      </c>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row>
    <row r="440" spans="1:52" ht="18" customHeight="1" x14ac:dyDescent="0.2">
      <c r="A440" s="3" t="str">
        <f t="shared" si="6"/>
        <v xml:space="preserve">                                                  </v>
      </c>
      <c r="B440" s="24" t="s">
        <v>174</v>
      </c>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row>
    <row r="441" spans="1:52" ht="18" customHeight="1" x14ac:dyDescent="0.2">
      <c r="A441" s="3" t="str">
        <f t="shared" si="6"/>
        <v xml:space="preserve">                                                  </v>
      </c>
      <c r="B441" s="24" t="s">
        <v>174</v>
      </c>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row>
    <row r="442" spans="1:52" ht="18" customHeight="1" x14ac:dyDescent="0.2">
      <c r="A442" s="3" t="str">
        <f t="shared" si="6"/>
        <v xml:space="preserve">                                                  </v>
      </c>
      <c r="B442" s="24" t="s">
        <v>174</v>
      </c>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row>
    <row r="443" spans="1:52" ht="18" customHeight="1" x14ac:dyDescent="0.2">
      <c r="A443" s="3" t="str">
        <f t="shared" si="6"/>
        <v xml:space="preserve">                                                  </v>
      </c>
      <c r="B443" s="24" t="s">
        <v>174</v>
      </c>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row>
    <row r="444" spans="1:52" ht="18" customHeight="1" x14ac:dyDescent="0.2">
      <c r="A444" s="3" t="str">
        <f t="shared" si="6"/>
        <v xml:space="preserve">                                                  </v>
      </c>
      <c r="B444" s="24" t="s">
        <v>174</v>
      </c>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row>
    <row r="445" spans="1:52" ht="18" customHeight="1" x14ac:dyDescent="0.2">
      <c r="A445" s="3" t="str">
        <f t="shared" si="6"/>
        <v xml:space="preserve">                                                  </v>
      </c>
      <c r="B445" s="24" t="s">
        <v>174</v>
      </c>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row>
    <row r="446" spans="1:52" ht="18" customHeight="1" x14ac:dyDescent="0.2">
      <c r="A446" s="3" t="str">
        <f t="shared" si="6"/>
        <v xml:space="preserve">                                                  </v>
      </c>
      <c r="B446" s="24" t="s">
        <v>174</v>
      </c>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row>
    <row r="447" spans="1:52" ht="18" customHeight="1" x14ac:dyDescent="0.2">
      <c r="A447" s="3" t="str">
        <f t="shared" si="6"/>
        <v xml:space="preserve">                                                  </v>
      </c>
      <c r="B447" s="24" t="s">
        <v>174</v>
      </c>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row>
    <row r="448" spans="1:52" ht="18" customHeight="1" x14ac:dyDescent="0.2">
      <c r="A448" s="3" t="str">
        <f t="shared" si="6"/>
        <v xml:space="preserve">                                                  </v>
      </c>
      <c r="B448" s="24" t="s">
        <v>174</v>
      </c>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row>
    <row r="449" spans="1:52" ht="18" customHeight="1" x14ac:dyDescent="0.2">
      <c r="A449" s="3" t="str">
        <f t="shared" si="6"/>
        <v xml:space="preserve">                                                  </v>
      </c>
      <c r="B449" s="24" t="s">
        <v>174</v>
      </c>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row>
    <row r="450" spans="1:52" ht="18" customHeight="1" x14ac:dyDescent="0.2">
      <c r="A450" s="3" t="str">
        <f t="shared" si="6"/>
        <v xml:space="preserve">                                                  </v>
      </c>
      <c r="B450" s="24" t="s">
        <v>174</v>
      </c>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row>
    <row r="451" spans="1:52" ht="18" customHeight="1" x14ac:dyDescent="0.2">
      <c r="A451" s="3" t="str">
        <f t="shared" si="6"/>
        <v xml:space="preserve">                                                  </v>
      </c>
      <c r="B451" s="24" t="s">
        <v>174</v>
      </c>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row>
    <row r="452" spans="1:52" ht="18" customHeight="1" x14ac:dyDescent="0.2">
      <c r="A452" s="3" t="str">
        <f t="shared" ref="A452:A515" si="7">CONCATENATE(C452," ",D452," ",E452," ",F452," ",G452," ",H452," ",I452," ",J452," ",K452," ",L452," ",M452," ",N452," ",O452," ",P452," ",Q452," ",R452," ",S452," ",T452," ",U452," ",V452," ",W452," ",X452," ",Y452," ",Z452," ",AA452," ",AB452," ",AC452," ",AD452," ",AE452," ",AF452," ",AG452," ",AH452," ",AI452," ",AJ452," ",AK452," ",AL452," ",AM452," ",AN452," ",AO452," ",AP452," ",AQ452," ",AR452," ",AS452," ",AT452," ",AU452," ",AV452," ",AW452," ",AX452," ",AY452," ",AZ452," ",
)</f>
        <v xml:space="preserve">                                                  </v>
      </c>
      <c r="B452" s="24" t="s">
        <v>174</v>
      </c>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row>
    <row r="453" spans="1:52" ht="18" customHeight="1" x14ac:dyDescent="0.2">
      <c r="A453" s="3" t="str">
        <f t="shared" si="7"/>
        <v xml:space="preserve">                                                  </v>
      </c>
      <c r="B453" s="24" t="s">
        <v>174</v>
      </c>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row>
    <row r="454" spans="1:52" ht="18" customHeight="1" x14ac:dyDescent="0.2">
      <c r="A454" s="3" t="str">
        <f t="shared" si="7"/>
        <v xml:space="preserve">                                                  </v>
      </c>
      <c r="B454" s="24" t="s">
        <v>174</v>
      </c>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row>
    <row r="455" spans="1:52" ht="18" customHeight="1" x14ac:dyDescent="0.2">
      <c r="A455" s="3" t="str">
        <f t="shared" si="7"/>
        <v xml:space="preserve">                                                  </v>
      </c>
      <c r="B455" s="24" t="s">
        <v>174</v>
      </c>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row>
    <row r="456" spans="1:52" ht="18" customHeight="1" x14ac:dyDescent="0.2">
      <c r="A456" s="3" t="str">
        <f t="shared" si="7"/>
        <v xml:space="preserve">                                                  </v>
      </c>
      <c r="B456" s="24" t="s">
        <v>174</v>
      </c>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row>
    <row r="457" spans="1:52" ht="18" customHeight="1" x14ac:dyDescent="0.2">
      <c r="A457" s="3" t="str">
        <f t="shared" si="7"/>
        <v xml:space="preserve">                                                  </v>
      </c>
      <c r="B457" s="24" t="s">
        <v>174</v>
      </c>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row>
    <row r="458" spans="1:52" ht="18" customHeight="1" x14ac:dyDescent="0.2">
      <c r="A458" s="3" t="str">
        <f t="shared" si="7"/>
        <v xml:space="preserve">                                                  </v>
      </c>
      <c r="B458" s="24" t="s">
        <v>174</v>
      </c>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row>
    <row r="459" spans="1:52" ht="18" customHeight="1" x14ac:dyDescent="0.2">
      <c r="A459" s="3" t="str">
        <f t="shared" si="7"/>
        <v xml:space="preserve">                                                  </v>
      </c>
      <c r="B459" s="24" t="s">
        <v>174</v>
      </c>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row>
    <row r="460" spans="1:52" ht="18" customHeight="1" x14ac:dyDescent="0.2">
      <c r="A460" s="3" t="str">
        <f t="shared" si="7"/>
        <v xml:space="preserve">                                                  </v>
      </c>
      <c r="B460" s="24" t="s">
        <v>174</v>
      </c>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row>
    <row r="461" spans="1:52" ht="18" customHeight="1" x14ac:dyDescent="0.2">
      <c r="A461" s="3" t="str">
        <f t="shared" si="7"/>
        <v xml:space="preserve">                                                  </v>
      </c>
      <c r="B461" s="24" t="s">
        <v>174</v>
      </c>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row>
    <row r="462" spans="1:52" ht="18" customHeight="1" x14ac:dyDescent="0.2">
      <c r="A462" s="3" t="str">
        <f t="shared" si="7"/>
        <v xml:space="preserve">                                                  </v>
      </c>
      <c r="B462" s="24" t="s">
        <v>174</v>
      </c>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row>
    <row r="463" spans="1:52" ht="18" customHeight="1" x14ac:dyDescent="0.2">
      <c r="A463" s="3" t="str">
        <f t="shared" si="7"/>
        <v xml:space="preserve">                                                  </v>
      </c>
      <c r="B463" s="24" t="s">
        <v>174</v>
      </c>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row>
    <row r="464" spans="1:52" ht="18" customHeight="1" x14ac:dyDescent="0.2">
      <c r="A464" s="3" t="str">
        <f t="shared" si="7"/>
        <v xml:space="preserve">                                                  </v>
      </c>
      <c r="B464" s="24" t="s">
        <v>174</v>
      </c>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row>
    <row r="465" spans="1:52" ht="18" customHeight="1" x14ac:dyDescent="0.2">
      <c r="A465" s="3" t="str">
        <f t="shared" si="7"/>
        <v xml:space="preserve">                                                  </v>
      </c>
      <c r="B465" s="24" t="s">
        <v>174</v>
      </c>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row>
    <row r="466" spans="1:52" ht="18" customHeight="1" x14ac:dyDescent="0.2">
      <c r="A466" s="3" t="str">
        <f t="shared" si="7"/>
        <v xml:space="preserve">                                                  </v>
      </c>
      <c r="B466" s="24" t="s">
        <v>174</v>
      </c>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row>
    <row r="467" spans="1:52" ht="18" customHeight="1" x14ac:dyDescent="0.2">
      <c r="A467" s="3" t="str">
        <f t="shared" si="7"/>
        <v xml:space="preserve">                                                  </v>
      </c>
      <c r="B467" s="24" t="s">
        <v>174</v>
      </c>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row>
    <row r="468" spans="1:52" ht="18" customHeight="1" x14ac:dyDescent="0.2">
      <c r="A468" s="3" t="str">
        <f t="shared" si="7"/>
        <v xml:space="preserve">                                                  </v>
      </c>
      <c r="B468" s="24" t="s">
        <v>174</v>
      </c>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row>
    <row r="469" spans="1:52" ht="18" customHeight="1" x14ac:dyDescent="0.2">
      <c r="A469" s="3" t="str">
        <f t="shared" si="7"/>
        <v xml:space="preserve">                                                  </v>
      </c>
      <c r="B469" s="24" t="s">
        <v>174</v>
      </c>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row>
    <row r="470" spans="1:52" ht="18" customHeight="1" x14ac:dyDescent="0.2">
      <c r="A470" s="3" t="str">
        <f t="shared" si="7"/>
        <v xml:space="preserve">                                                  </v>
      </c>
      <c r="B470" s="24" t="s">
        <v>174</v>
      </c>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row>
    <row r="471" spans="1:52" ht="18" customHeight="1" x14ac:dyDescent="0.2">
      <c r="A471" s="3" t="str">
        <f t="shared" si="7"/>
        <v xml:space="preserve">                                                  </v>
      </c>
      <c r="B471" s="24" t="s">
        <v>174</v>
      </c>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row>
    <row r="472" spans="1:52" ht="18" customHeight="1" x14ac:dyDescent="0.2">
      <c r="A472" s="3" t="str">
        <f t="shared" si="7"/>
        <v xml:space="preserve">                                                  </v>
      </c>
      <c r="B472" s="24" t="s">
        <v>174</v>
      </c>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row>
    <row r="473" spans="1:52" ht="18" customHeight="1" x14ac:dyDescent="0.2">
      <c r="A473" s="3" t="str">
        <f t="shared" si="7"/>
        <v xml:space="preserve">                                                  </v>
      </c>
      <c r="B473" s="24" t="s">
        <v>174</v>
      </c>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row>
    <row r="474" spans="1:52" ht="18" customHeight="1" x14ac:dyDescent="0.2">
      <c r="A474" s="3" t="str">
        <f t="shared" si="7"/>
        <v xml:space="preserve">                                                  </v>
      </c>
      <c r="B474" s="24" t="s">
        <v>174</v>
      </c>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row>
    <row r="475" spans="1:52" ht="18" customHeight="1" x14ac:dyDescent="0.2">
      <c r="A475" s="3" t="str">
        <f t="shared" si="7"/>
        <v xml:space="preserve">                                                  </v>
      </c>
      <c r="B475" s="24" t="s">
        <v>174</v>
      </c>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row>
    <row r="476" spans="1:52" ht="18" customHeight="1" x14ac:dyDescent="0.2">
      <c r="A476" s="3" t="str">
        <f t="shared" si="7"/>
        <v xml:space="preserve">                                                  </v>
      </c>
      <c r="B476" s="24" t="s">
        <v>174</v>
      </c>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row>
    <row r="477" spans="1:52" ht="18" customHeight="1" x14ac:dyDescent="0.2">
      <c r="A477" s="3" t="str">
        <f t="shared" si="7"/>
        <v xml:space="preserve">                                                  </v>
      </c>
      <c r="B477" s="24" t="s">
        <v>174</v>
      </c>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row>
    <row r="478" spans="1:52" ht="18" customHeight="1" x14ac:dyDescent="0.2">
      <c r="A478" s="3" t="str">
        <f t="shared" si="7"/>
        <v xml:space="preserve">                                                  </v>
      </c>
      <c r="B478" s="24" t="s">
        <v>174</v>
      </c>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row>
    <row r="479" spans="1:52" ht="18" customHeight="1" x14ac:dyDescent="0.2">
      <c r="A479" s="3" t="str">
        <f t="shared" si="7"/>
        <v xml:space="preserve">                                                  </v>
      </c>
      <c r="B479" s="24" t="s">
        <v>174</v>
      </c>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row>
    <row r="480" spans="1:52" ht="18" customHeight="1" x14ac:dyDescent="0.2">
      <c r="A480" s="3" t="str">
        <f t="shared" si="7"/>
        <v xml:space="preserve">                                                  </v>
      </c>
      <c r="B480" s="24" t="s">
        <v>174</v>
      </c>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row>
    <row r="481" spans="1:52" ht="18" customHeight="1" x14ac:dyDescent="0.2">
      <c r="A481" s="3" t="str">
        <f t="shared" si="7"/>
        <v xml:space="preserve">                                                  </v>
      </c>
      <c r="B481" s="24" t="s">
        <v>174</v>
      </c>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row>
    <row r="482" spans="1:52" ht="18" customHeight="1" x14ac:dyDescent="0.2">
      <c r="A482" s="3" t="str">
        <f t="shared" si="7"/>
        <v xml:space="preserve">                                                  </v>
      </c>
      <c r="B482" s="24" t="s">
        <v>174</v>
      </c>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row>
    <row r="483" spans="1:52" ht="18" customHeight="1" x14ac:dyDescent="0.2">
      <c r="A483" s="3" t="str">
        <f t="shared" si="7"/>
        <v xml:space="preserve">                                                  </v>
      </c>
      <c r="B483" s="24" t="s">
        <v>174</v>
      </c>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row>
    <row r="484" spans="1:52" ht="18" customHeight="1" x14ac:dyDescent="0.2">
      <c r="A484" s="3" t="str">
        <f t="shared" si="7"/>
        <v xml:space="preserve">                                                  </v>
      </c>
      <c r="B484" s="24" t="s">
        <v>174</v>
      </c>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row>
    <row r="485" spans="1:52" ht="18" customHeight="1" x14ac:dyDescent="0.2">
      <c r="A485" s="3" t="str">
        <f t="shared" si="7"/>
        <v xml:space="preserve">                                                  </v>
      </c>
      <c r="B485" s="24" t="s">
        <v>174</v>
      </c>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row>
    <row r="486" spans="1:52" ht="18" customHeight="1" x14ac:dyDescent="0.2">
      <c r="A486" s="3" t="str">
        <f t="shared" si="7"/>
        <v xml:space="preserve">                                                  </v>
      </c>
      <c r="B486" s="24" t="s">
        <v>174</v>
      </c>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row>
    <row r="487" spans="1:52" ht="18" customHeight="1" x14ac:dyDescent="0.2">
      <c r="A487" s="3" t="str">
        <f t="shared" si="7"/>
        <v xml:space="preserve">                                                  </v>
      </c>
      <c r="B487" s="24" t="s">
        <v>174</v>
      </c>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row>
    <row r="488" spans="1:52" ht="18" customHeight="1" x14ac:dyDescent="0.2">
      <c r="A488" s="3" t="str">
        <f t="shared" si="7"/>
        <v xml:space="preserve">                                                  </v>
      </c>
      <c r="B488" s="24" t="s">
        <v>174</v>
      </c>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row>
    <row r="489" spans="1:52" ht="18" customHeight="1" x14ac:dyDescent="0.2">
      <c r="A489" s="3" t="str">
        <f t="shared" si="7"/>
        <v xml:space="preserve">                                                  </v>
      </c>
      <c r="B489" s="24" t="s">
        <v>174</v>
      </c>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row>
    <row r="490" spans="1:52" ht="18" customHeight="1" x14ac:dyDescent="0.2">
      <c r="A490" s="3" t="str">
        <f t="shared" si="7"/>
        <v xml:space="preserve">                                                  </v>
      </c>
      <c r="B490" s="24" t="s">
        <v>174</v>
      </c>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row>
    <row r="491" spans="1:52" ht="18" customHeight="1" x14ac:dyDescent="0.2">
      <c r="A491" s="3" t="str">
        <f t="shared" si="7"/>
        <v xml:space="preserve">                                                  </v>
      </c>
      <c r="B491" s="24" t="s">
        <v>174</v>
      </c>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row>
    <row r="492" spans="1:52" ht="18" customHeight="1" x14ac:dyDescent="0.2">
      <c r="A492" s="3" t="str">
        <f t="shared" si="7"/>
        <v xml:space="preserve">                                                  </v>
      </c>
      <c r="B492" s="24" t="s">
        <v>174</v>
      </c>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row>
    <row r="493" spans="1:52" ht="18" customHeight="1" x14ac:dyDescent="0.2">
      <c r="A493" s="3" t="str">
        <f t="shared" si="7"/>
        <v xml:space="preserve">                                                  </v>
      </c>
      <c r="B493" s="24" t="s">
        <v>174</v>
      </c>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row>
    <row r="494" spans="1:52" ht="18" customHeight="1" x14ac:dyDescent="0.2">
      <c r="A494" s="3" t="str">
        <f t="shared" si="7"/>
        <v xml:space="preserve">                                                  </v>
      </c>
      <c r="B494" s="24" t="s">
        <v>174</v>
      </c>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row>
    <row r="495" spans="1:52" ht="18" customHeight="1" x14ac:dyDescent="0.2">
      <c r="A495" s="3" t="str">
        <f t="shared" si="7"/>
        <v xml:space="preserve">                                                  </v>
      </c>
      <c r="B495" s="24" t="s">
        <v>174</v>
      </c>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row>
    <row r="496" spans="1:52" ht="18" customHeight="1" x14ac:dyDescent="0.2">
      <c r="A496" s="3" t="str">
        <f t="shared" si="7"/>
        <v xml:space="preserve">                                                  </v>
      </c>
      <c r="B496" s="24" t="s">
        <v>174</v>
      </c>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row>
    <row r="497" spans="1:52" ht="18" customHeight="1" x14ac:dyDescent="0.2">
      <c r="A497" s="3" t="str">
        <f t="shared" si="7"/>
        <v xml:space="preserve">                                                  </v>
      </c>
      <c r="B497" s="24" t="s">
        <v>174</v>
      </c>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row>
    <row r="498" spans="1:52" ht="18" customHeight="1" x14ac:dyDescent="0.2">
      <c r="A498" s="3" t="str">
        <f t="shared" si="7"/>
        <v xml:space="preserve">                                                  </v>
      </c>
      <c r="B498" s="24" t="s">
        <v>174</v>
      </c>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row>
    <row r="499" spans="1:52" ht="18" customHeight="1" x14ac:dyDescent="0.2">
      <c r="A499" s="3" t="str">
        <f t="shared" si="7"/>
        <v xml:space="preserve">                                                  </v>
      </c>
      <c r="B499" s="24" t="s">
        <v>174</v>
      </c>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row>
    <row r="500" spans="1:52" ht="18" customHeight="1" x14ac:dyDescent="0.2">
      <c r="A500" s="3" t="str">
        <f t="shared" si="7"/>
        <v xml:space="preserve">                                                  </v>
      </c>
      <c r="B500" s="24" t="s">
        <v>174</v>
      </c>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row>
    <row r="501" spans="1:52" ht="18" customHeight="1" x14ac:dyDescent="0.2">
      <c r="A501" s="3" t="str">
        <f t="shared" si="7"/>
        <v xml:space="preserve">                                                  </v>
      </c>
      <c r="B501" s="24" t="s">
        <v>174</v>
      </c>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row>
    <row r="502" spans="1:52" ht="18" customHeight="1" x14ac:dyDescent="0.2">
      <c r="A502" s="3" t="str">
        <f t="shared" si="7"/>
        <v xml:space="preserve">                                                  </v>
      </c>
      <c r="B502" s="24" t="s">
        <v>174</v>
      </c>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row>
    <row r="503" spans="1:52" ht="18" customHeight="1" x14ac:dyDescent="0.2">
      <c r="A503" s="3" t="str">
        <f t="shared" si="7"/>
        <v xml:space="preserve">                                                  </v>
      </c>
      <c r="B503" s="24" t="s">
        <v>174</v>
      </c>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row>
    <row r="504" spans="1:52" ht="18" customHeight="1" x14ac:dyDescent="0.2">
      <c r="A504" s="3" t="str">
        <f t="shared" si="7"/>
        <v xml:space="preserve">                                                  </v>
      </c>
      <c r="B504" s="24" t="s">
        <v>174</v>
      </c>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row>
    <row r="505" spans="1:52" ht="18" customHeight="1" x14ac:dyDescent="0.2">
      <c r="A505" s="3" t="str">
        <f t="shared" si="7"/>
        <v xml:space="preserve">                                                  </v>
      </c>
      <c r="B505" s="24" t="s">
        <v>174</v>
      </c>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row>
    <row r="506" spans="1:52" ht="18" customHeight="1" x14ac:dyDescent="0.2">
      <c r="A506" s="3" t="str">
        <f t="shared" si="7"/>
        <v xml:space="preserve">                                                  </v>
      </c>
      <c r="B506" s="24" t="s">
        <v>174</v>
      </c>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row>
    <row r="507" spans="1:52" ht="18" customHeight="1" x14ac:dyDescent="0.2">
      <c r="A507" s="3" t="str">
        <f t="shared" si="7"/>
        <v xml:space="preserve">                                                  </v>
      </c>
      <c r="B507" s="24" t="s">
        <v>174</v>
      </c>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row>
    <row r="508" spans="1:52" ht="18" customHeight="1" x14ac:dyDescent="0.2">
      <c r="A508" s="3" t="str">
        <f t="shared" si="7"/>
        <v xml:space="preserve">                                                  </v>
      </c>
      <c r="B508" s="24" t="s">
        <v>174</v>
      </c>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row>
    <row r="509" spans="1:52" ht="18" customHeight="1" x14ac:dyDescent="0.2">
      <c r="A509" s="3" t="str">
        <f t="shared" si="7"/>
        <v xml:space="preserve">                                                  </v>
      </c>
      <c r="B509" s="24" t="s">
        <v>174</v>
      </c>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row>
    <row r="510" spans="1:52" ht="18" customHeight="1" x14ac:dyDescent="0.2">
      <c r="A510" s="3" t="str">
        <f t="shared" si="7"/>
        <v xml:space="preserve">                                                  </v>
      </c>
      <c r="B510" s="24" t="s">
        <v>174</v>
      </c>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row>
    <row r="511" spans="1:52" ht="18" customHeight="1" x14ac:dyDescent="0.2">
      <c r="A511" s="3" t="str">
        <f t="shared" si="7"/>
        <v xml:space="preserve">                                                  </v>
      </c>
      <c r="B511" s="24" t="s">
        <v>174</v>
      </c>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row>
    <row r="512" spans="1:52" ht="18" customHeight="1" x14ac:dyDescent="0.2">
      <c r="A512" s="3" t="str">
        <f t="shared" si="7"/>
        <v xml:space="preserve">                                                  </v>
      </c>
      <c r="B512" s="24" t="s">
        <v>174</v>
      </c>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row>
    <row r="513" spans="1:52" ht="18" customHeight="1" x14ac:dyDescent="0.2">
      <c r="A513" s="3" t="str">
        <f t="shared" si="7"/>
        <v xml:space="preserve">                                                  </v>
      </c>
      <c r="B513" s="24" t="s">
        <v>174</v>
      </c>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row>
    <row r="514" spans="1:52" ht="18" customHeight="1" x14ac:dyDescent="0.2">
      <c r="A514" s="3" t="str">
        <f t="shared" si="7"/>
        <v xml:space="preserve">                                                  </v>
      </c>
      <c r="B514" s="24" t="s">
        <v>174</v>
      </c>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row>
    <row r="515" spans="1:52" ht="18" customHeight="1" x14ac:dyDescent="0.2">
      <c r="A515" s="3" t="str">
        <f t="shared" si="7"/>
        <v xml:space="preserve">                                                  </v>
      </c>
      <c r="B515" s="24" t="s">
        <v>174</v>
      </c>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row>
    <row r="516" spans="1:52" ht="18" customHeight="1" x14ac:dyDescent="0.2">
      <c r="A516" s="3" t="str">
        <f t="shared" ref="A516:A579" si="8">CONCATENATE(C516," ",D516," ",E516," ",F516," ",G516," ",H516," ",I516," ",J516," ",K516," ",L516," ",M516," ",N516," ",O516," ",P516," ",Q516," ",R516," ",S516," ",T516," ",U516," ",V516," ",W516," ",X516," ",Y516," ",Z516," ",AA516," ",AB516," ",AC516," ",AD516," ",AE516," ",AF516," ",AG516," ",AH516," ",AI516," ",AJ516," ",AK516," ",AL516," ",AM516," ",AN516," ",AO516," ",AP516," ",AQ516," ",AR516," ",AS516," ",AT516," ",AU516," ",AV516," ",AW516," ",AX516," ",AY516," ",AZ516," ",
)</f>
        <v xml:space="preserve">                                                  </v>
      </c>
      <c r="B516" s="24" t="s">
        <v>174</v>
      </c>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row>
    <row r="517" spans="1:52" ht="18" customHeight="1" x14ac:dyDescent="0.2">
      <c r="A517" s="3" t="str">
        <f t="shared" si="8"/>
        <v xml:space="preserve">                                                  </v>
      </c>
      <c r="B517" s="24" t="s">
        <v>174</v>
      </c>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row>
    <row r="518" spans="1:52" ht="18" customHeight="1" x14ac:dyDescent="0.2">
      <c r="A518" s="3" t="str">
        <f t="shared" si="8"/>
        <v xml:space="preserve">                                                  </v>
      </c>
      <c r="B518" s="24" t="s">
        <v>174</v>
      </c>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row>
    <row r="519" spans="1:52" ht="18" customHeight="1" x14ac:dyDescent="0.2">
      <c r="A519" s="3" t="str">
        <f t="shared" si="8"/>
        <v xml:space="preserve">                                                  </v>
      </c>
      <c r="B519" s="24" t="s">
        <v>174</v>
      </c>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row>
    <row r="520" spans="1:52" ht="18" customHeight="1" x14ac:dyDescent="0.2">
      <c r="A520" s="3" t="str">
        <f t="shared" si="8"/>
        <v xml:space="preserve">                                                  </v>
      </c>
      <c r="B520" s="24" t="s">
        <v>174</v>
      </c>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row>
    <row r="521" spans="1:52" ht="18" customHeight="1" x14ac:dyDescent="0.2">
      <c r="A521" s="3" t="str">
        <f t="shared" si="8"/>
        <v xml:space="preserve">                                                  </v>
      </c>
      <c r="B521" s="24" t="s">
        <v>174</v>
      </c>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row>
    <row r="522" spans="1:52" ht="18" customHeight="1" x14ac:dyDescent="0.2">
      <c r="A522" s="3" t="str">
        <f t="shared" si="8"/>
        <v xml:space="preserve">                                                  </v>
      </c>
      <c r="B522" s="24" t="s">
        <v>174</v>
      </c>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row>
    <row r="523" spans="1:52" ht="18" customHeight="1" x14ac:dyDescent="0.2">
      <c r="A523" s="3" t="str">
        <f t="shared" si="8"/>
        <v xml:space="preserve">                                                  </v>
      </c>
      <c r="B523" s="24" t="s">
        <v>174</v>
      </c>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row>
    <row r="524" spans="1:52" ht="18" customHeight="1" x14ac:dyDescent="0.2">
      <c r="A524" s="3" t="str">
        <f t="shared" si="8"/>
        <v xml:space="preserve">                                                  </v>
      </c>
      <c r="B524" s="24" t="s">
        <v>174</v>
      </c>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row>
    <row r="525" spans="1:52" ht="18" customHeight="1" x14ac:dyDescent="0.2">
      <c r="A525" s="3" t="str">
        <f t="shared" si="8"/>
        <v xml:space="preserve">                                                  </v>
      </c>
      <c r="B525" s="24" t="s">
        <v>174</v>
      </c>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row>
    <row r="526" spans="1:52" ht="18" customHeight="1" x14ac:dyDescent="0.2">
      <c r="A526" s="3" t="str">
        <f t="shared" si="8"/>
        <v xml:space="preserve">                                                  </v>
      </c>
      <c r="B526" s="24" t="s">
        <v>174</v>
      </c>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row>
    <row r="527" spans="1:52" ht="18" customHeight="1" x14ac:dyDescent="0.2">
      <c r="A527" s="3" t="str">
        <f t="shared" si="8"/>
        <v xml:space="preserve">                                                  </v>
      </c>
      <c r="B527" s="24" t="s">
        <v>174</v>
      </c>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row>
    <row r="528" spans="1:52" ht="18" customHeight="1" x14ac:dyDescent="0.2">
      <c r="A528" s="3" t="str">
        <f t="shared" si="8"/>
        <v xml:space="preserve">                                                  </v>
      </c>
      <c r="B528" s="24" t="s">
        <v>174</v>
      </c>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row>
    <row r="529" spans="1:52" ht="18" customHeight="1" x14ac:dyDescent="0.2">
      <c r="A529" s="3" t="str">
        <f t="shared" si="8"/>
        <v xml:space="preserve">                                                  </v>
      </c>
      <c r="B529" s="24" t="s">
        <v>174</v>
      </c>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row>
    <row r="530" spans="1:52" ht="18" customHeight="1" x14ac:dyDescent="0.2">
      <c r="A530" s="3" t="str">
        <f t="shared" si="8"/>
        <v xml:space="preserve">                                                  </v>
      </c>
      <c r="B530" s="24" t="s">
        <v>174</v>
      </c>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row>
    <row r="531" spans="1:52" ht="18" customHeight="1" x14ac:dyDescent="0.2">
      <c r="A531" s="3" t="str">
        <f t="shared" si="8"/>
        <v xml:space="preserve">                                                  </v>
      </c>
      <c r="B531" s="24" t="s">
        <v>174</v>
      </c>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row>
    <row r="532" spans="1:52" ht="18" customHeight="1" x14ac:dyDescent="0.2">
      <c r="A532" s="3" t="str">
        <f t="shared" si="8"/>
        <v xml:space="preserve">                                                  </v>
      </c>
      <c r="B532" s="24" t="s">
        <v>174</v>
      </c>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row>
    <row r="533" spans="1:52" ht="18" customHeight="1" x14ac:dyDescent="0.2">
      <c r="A533" s="3" t="str">
        <f t="shared" si="8"/>
        <v xml:space="preserve">                                                  </v>
      </c>
      <c r="B533" s="24" t="s">
        <v>174</v>
      </c>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row>
    <row r="534" spans="1:52" ht="18" customHeight="1" x14ac:dyDescent="0.2">
      <c r="A534" s="3" t="str">
        <f t="shared" si="8"/>
        <v xml:space="preserve">                                                  </v>
      </c>
      <c r="B534" s="24" t="s">
        <v>174</v>
      </c>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row>
    <row r="535" spans="1:52" ht="18" customHeight="1" x14ac:dyDescent="0.2">
      <c r="A535" s="3" t="str">
        <f t="shared" si="8"/>
        <v xml:space="preserve">                                                  </v>
      </c>
      <c r="B535" s="24" t="s">
        <v>174</v>
      </c>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row>
    <row r="536" spans="1:52" ht="18" customHeight="1" x14ac:dyDescent="0.2">
      <c r="A536" s="3" t="str">
        <f t="shared" si="8"/>
        <v xml:space="preserve">                                                  </v>
      </c>
      <c r="B536" s="24" t="s">
        <v>174</v>
      </c>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row>
    <row r="537" spans="1:52" ht="18" customHeight="1" x14ac:dyDescent="0.2">
      <c r="A537" s="3" t="str">
        <f t="shared" si="8"/>
        <v xml:space="preserve">                                                  </v>
      </c>
      <c r="B537" s="24" t="s">
        <v>174</v>
      </c>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row>
    <row r="538" spans="1:52" ht="18" customHeight="1" x14ac:dyDescent="0.2">
      <c r="A538" s="3" t="str">
        <f t="shared" si="8"/>
        <v xml:space="preserve">                                                  </v>
      </c>
      <c r="B538" s="24" t="s">
        <v>174</v>
      </c>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row>
    <row r="539" spans="1:52" ht="18" customHeight="1" x14ac:dyDescent="0.2">
      <c r="A539" s="3" t="str">
        <f t="shared" si="8"/>
        <v xml:space="preserve">                                                  </v>
      </c>
      <c r="B539" s="24" t="s">
        <v>174</v>
      </c>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row>
    <row r="540" spans="1:52" ht="18" customHeight="1" x14ac:dyDescent="0.2">
      <c r="A540" s="3" t="str">
        <f t="shared" si="8"/>
        <v xml:space="preserve">                                                  </v>
      </c>
      <c r="B540" s="24" t="s">
        <v>174</v>
      </c>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row>
    <row r="541" spans="1:52" ht="18" customHeight="1" x14ac:dyDescent="0.2">
      <c r="A541" s="3" t="str">
        <f t="shared" si="8"/>
        <v xml:space="preserve">                                                  </v>
      </c>
      <c r="B541" s="24" t="s">
        <v>174</v>
      </c>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row>
    <row r="542" spans="1:52" ht="18" customHeight="1" x14ac:dyDescent="0.2">
      <c r="A542" s="3" t="str">
        <f t="shared" si="8"/>
        <v xml:space="preserve">                                                  </v>
      </c>
      <c r="B542" s="24" t="s">
        <v>174</v>
      </c>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row>
    <row r="543" spans="1:52" ht="18" customHeight="1" x14ac:dyDescent="0.2">
      <c r="A543" s="3" t="str">
        <f t="shared" si="8"/>
        <v xml:space="preserve">                                                  </v>
      </c>
      <c r="B543" s="24" t="s">
        <v>174</v>
      </c>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row>
    <row r="544" spans="1:52" ht="18" customHeight="1" x14ac:dyDescent="0.2">
      <c r="A544" s="3" t="str">
        <f t="shared" si="8"/>
        <v xml:space="preserve">                                                  </v>
      </c>
      <c r="B544" s="24" t="s">
        <v>174</v>
      </c>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row>
    <row r="545" spans="1:52" ht="18" customHeight="1" x14ac:dyDescent="0.2">
      <c r="A545" s="3" t="str">
        <f t="shared" si="8"/>
        <v xml:space="preserve">                                                  </v>
      </c>
      <c r="B545" s="24" t="s">
        <v>174</v>
      </c>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row>
    <row r="546" spans="1:52" ht="18" customHeight="1" x14ac:dyDescent="0.2">
      <c r="A546" s="3" t="str">
        <f t="shared" si="8"/>
        <v xml:space="preserve">                                                  </v>
      </c>
      <c r="B546" s="24" t="s">
        <v>174</v>
      </c>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row>
    <row r="547" spans="1:52" ht="18" customHeight="1" x14ac:dyDescent="0.2">
      <c r="A547" s="3" t="str">
        <f t="shared" si="8"/>
        <v xml:space="preserve">                                                  </v>
      </c>
      <c r="B547" s="24" t="s">
        <v>174</v>
      </c>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row>
    <row r="548" spans="1:52" ht="18" customHeight="1" x14ac:dyDescent="0.2">
      <c r="A548" s="3" t="str">
        <f t="shared" si="8"/>
        <v xml:space="preserve">                                                  </v>
      </c>
      <c r="B548" s="24" t="s">
        <v>174</v>
      </c>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row>
    <row r="549" spans="1:52" ht="18" customHeight="1" x14ac:dyDescent="0.2">
      <c r="A549" s="3" t="str">
        <f t="shared" si="8"/>
        <v xml:space="preserve">                                                  </v>
      </c>
      <c r="B549" s="24" t="s">
        <v>174</v>
      </c>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row>
    <row r="550" spans="1:52" ht="18" customHeight="1" x14ac:dyDescent="0.2">
      <c r="A550" s="3" t="str">
        <f t="shared" si="8"/>
        <v xml:space="preserve">                                                  </v>
      </c>
      <c r="B550" s="24" t="s">
        <v>174</v>
      </c>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row>
    <row r="551" spans="1:52" ht="18" customHeight="1" x14ac:dyDescent="0.2">
      <c r="A551" s="3" t="str">
        <f t="shared" si="8"/>
        <v xml:space="preserve">                                                  </v>
      </c>
      <c r="B551" s="24" t="s">
        <v>174</v>
      </c>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row>
    <row r="552" spans="1:52" ht="18" customHeight="1" x14ac:dyDescent="0.2">
      <c r="A552" s="3" t="str">
        <f t="shared" si="8"/>
        <v xml:space="preserve">                                                  </v>
      </c>
      <c r="B552" s="24" t="s">
        <v>174</v>
      </c>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row>
    <row r="553" spans="1:52" ht="18" customHeight="1" x14ac:dyDescent="0.2">
      <c r="A553" s="3" t="str">
        <f t="shared" si="8"/>
        <v xml:space="preserve">                                                  </v>
      </c>
      <c r="B553" s="24" t="s">
        <v>174</v>
      </c>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row>
    <row r="554" spans="1:52" ht="18" customHeight="1" x14ac:dyDescent="0.2">
      <c r="A554" s="3" t="str">
        <f t="shared" si="8"/>
        <v xml:space="preserve">                                                  </v>
      </c>
      <c r="B554" s="24" t="s">
        <v>174</v>
      </c>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row>
    <row r="555" spans="1:52" ht="18" customHeight="1" x14ac:dyDescent="0.2">
      <c r="A555" s="3" t="str">
        <f t="shared" si="8"/>
        <v xml:space="preserve">                                                  </v>
      </c>
      <c r="B555" s="24" t="s">
        <v>174</v>
      </c>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row>
    <row r="556" spans="1:52" ht="18" customHeight="1" x14ac:dyDescent="0.2">
      <c r="A556" s="3" t="str">
        <f t="shared" si="8"/>
        <v xml:space="preserve">                                                  </v>
      </c>
      <c r="B556" s="24" t="s">
        <v>174</v>
      </c>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row>
    <row r="557" spans="1:52" ht="18" customHeight="1" x14ac:dyDescent="0.2">
      <c r="A557" s="3" t="str">
        <f t="shared" si="8"/>
        <v xml:space="preserve">                                                  </v>
      </c>
      <c r="B557" s="24" t="s">
        <v>174</v>
      </c>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row>
    <row r="558" spans="1:52" ht="18" customHeight="1" x14ac:dyDescent="0.2">
      <c r="A558" s="3" t="str">
        <f t="shared" si="8"/>
        <v xml:space="preserve">                                                  </v>
      </c>
      <c r="B558" s="24" t="s">
        <v>174</v>
      </c>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row>
    <row r="559" spans="1:52" ht="18" customHeight="1" x14ac:dyDescent="0.2">
      <c r="A559" s="3" t="str">
        <f t="shared" si="8"/>
        <v xml:space="preserve">                                                  </v>
      </c>
      <c r="B559" s="24" t="s">
        <v>174</v>
      </c>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row>
    <row r="560" spans="1:52" ht="18" customHeight="1" x14ac:dyDescent="0.2">
      <c r="A560" s="3" t="str">
        <f t="shared" si="8"/>
        <v xml:space="preserve">                                                  </v>
      </c>
      <c r="B560" s="24" t="s">
        <v>174</v>
      </c>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row>
    <row r="561" spans="1:52" ht="18" customHeight="1" x14ac:dyDescent="0.2">
      <c r="A561" s="3" t="str">
        <f t="shared" si="8"/>
        <v xml:space="preserve">                                                  </v>
      </c>
      <c r="B561" s="24" t="s">
        <v>174</v>
      </c>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row>
    <row r="562" spans="1:52" ht="18" customHeight="1" x14ac:dyDescent="0.2">
      <c r="A562" s="3" t="str">
        <f t="shared" si="8"/>
        <v xml:space="preserve">                                                  </v>
      </c>
      <c r="B562" s="24" t="s">
        <v>174</v>
      </c>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row>
    <row r="563" spans="1:52" ht="18" customHeight="1" x14ac:dyDescent="0.2">
      <c r="A563" s="3" t="str">
        <f t="shared" si="8"/>
        <v xml:space="preserve">                                                  </v>
      </c>
      <c r="B563" s="24" t="s">
        <v>174</v>
      </c>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row>
    <row r="564" spans="1:52" ht="18" customHeight="1" x14ac:dyDescent="0.2">
      <c r="A564" s="3" t="str">
        <f t="shared" si="8"/>
        <v xml:space="preserve">                                                  </v>
      </c>
      <c r="B564" s="24" t="s">
        <v>174</v>
      </c>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row>
    <row r="565" spans="1:52" ht="18" customHeight="1" x14ac:dyDescent="0.2">
      <c r="A565" s="3" t="str">
        <f t="shared" si="8"/>
        <v xml:space="preserve">                                                  </v>
      </c>
      <c r="B565" s="24" t="s">
        <v>174</v>
      </c>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row>
    <row r="566" spans="1:52" ht="18" customHeight="1" x14ac:dyDescent="0.2">
      <c r="A566" s="3" t="str">
        <f t="shared" si="8"/>
        <v xml:space="preserve">                                                  </v>
      </c>
      <c r="B566" s="24" t="s">
        <v>174</v>
      </c>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row>
    <row r="567" spans="1:52" ht="18" customHeight="1" x14ac:dyDescent="0.2">
      <c r="A567" s="3" t="str">
        <f t="shared" si="8"/>
        <v xml:space="preserve">                                                  </v>
      </c>
      <c r="B567" s="24" t="s">
        <v>174</v>
      </c>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row>
    <row r="568" spans="1:52" ht="18" customHeight="1" x14ac:dyDescent="0.2">
      <c r="A568" s="3" t="str">
        <f t="shared" si="8"/>
        <v xml:space="preserve">                                                  </v>
      </c>
      <c r="B568" s="24" t="s">
        <v>174</v>
      </c>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row>
    <row r="569" spans="1:52" ht="18" customHeight="1" x14ac:dyDescent="0.2">
      <c r="A569" s="3" t="str">
        <f t="shared" si="8"/>
        <v xml:space="preserve">                                                  </v>
      </c>
      <c r="B569" s="24" t="s">
        <v>174</v>
      </c>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row>
    <row r="570" spans="1:52" ht="18" customHeight="1" x14ac:dyDescent="0.2">
      <c r="A570" s="3" t="str">
        <f t="shared" si="8"/>
        <v xml:space="preserve">                                                  </v>
      </c>
      <c r="B570" s="24" t="s">
        <v>174</v>
      </c>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row>
    <row r="571" spans="1:52" ht="18" customHeight="1" x14ac:dyDescent="0.2">
      <c r="A571" s="3" t="str">
        <f t="shared" si="8"/>
        <v xml:space="preserve">                                                  </v>
      </c>
      <c r="B571" s="24" t="s">
        <v>174</v>
      </c>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row>
    <row r="572" spans="1:52" ht="18" customHeight="1" x14ac:dyDescent="0.2">
      <c r="A572" s="3" t="str">
        <f t="shared" si="8"/>
        <v xml:space="preserve">                                                  </v>
      </c>
      <c r="B572" s="24" t="s">
        <v>174</v>
      </c>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row>
    <row r="573" spans="1:52" ht="18" customHeight="1" x14ac:dyDescent="0.2">
      <c r="A573" s="3" t="str">
        <f t="shared" si="8"/>
        <v xml:space="preserve">                                                  </v>
      </c>
      <c r="B573" s="24" t="s">
        <v>174</v>
      </c>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row>
    <row r="574" spans="1:52" ht="18" customHeight="1" x14ac:dyDescent="0.2">
      <c r="A574" s="3" t="str">
        <f t="shared" si="8"/>
        <v xml:space="preserve">                                                  </v>
      </c>
      <c r="B574" s="24" t="s">
        <v>174</v>
      </c>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row>
    <row r="575" spans="1:52" ht="18" customHeight="1" x14ac:dyDescent="0.2">
      <c r="A575" s="3" t="str">
        <f t="shared" si="8"/>
        <v xml:space="preserve">                                                  </v>
      </c>
      <c r="B575" s="24" t="s">
        <v>174</v>
      </c>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row>
    <row r="576" spans="1:52" ht="18" customHeight="1" x14ac:dyDescent="0.2">
      <c r="A576" s="3" t="str">
        <f t="shared" si="8"/>
        <v xml:space="preserve">                                                  </v>
      </c>
      <c r="B576" s="24" t="s">
        <v>174</v>
      </c>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row>
    <row r="577" spans="1:52" ht="18" customHeight="1" x14ac:dyDescent="0.2">
      <c r="A577" s="3" t="str">
        <f t="shared" si="8"/>
        <v xml:space="preserve">                                                  </v>
      </c>
      <c r="B577" s="24" t="s">
        <v>174</v>
      </c>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row>
    <row r="578" spans="1:52" ht="18" customHeight="1" x14ac:dyDescent="0.2">
      <c r="A578" s="3" t="str">
        <f t="shared" si="8"/>
        <v xml:space="preserve">                                                  </v>
      </c>
      <c r="B578" s="24" t="s">
        <v>174</v>
      </c>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row>
    <row r="579" spans="1:52" ht="18" customHeight="1" x14ac:dyDescent="0.2">
      <c r="A579" s="3" t="str">
        <f t="shared" si="8"/>
        <v xml:space="preserve">                                                  </v>
      </c>
      <c r="B579" s="24" t="s">
        <v>174</v>
      </c>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row>
    <row r="580" spans="1:52" ht="18" customHeight="1" x14ac:dyDescent="0.2">
      <c r="A580" s="3" t="str">
        <f t="shared" ref="A580:A643" si="9">CONCATENATE(C580," ",D580," ",E580," ",F580," ",G580," ",H580," ",I580," ",J580," ",K580," ",L580," ",M580," ",N580," ",O580," ",P580," ",Q580," ",R580," ",S580," ",T580," ",U580," ",V580," ",W580," ",X580," ",Y580," ",Z580," ",AA580," ",AB580," ",AC580," ",AD580," ",AE580," ",AF580," ",AG580," ",AH580," ",AI580," ",AJ580," ",AK580," ",AL580," ",AM580," ",AN580," ",AO580," ",AP580," ",AQ580," ",AR580," ",AS580," ",AT580," ",AU580," ",AV580," ",AW580," ",AX580," ",AY580," ",AZ580," ",
)</f>
        <v xml:space="preserve">                                                  </v>
      </c>
      <c r="B580" s="24" t="s">
        <v>174</v>
      </c>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row>
    <row r="581" spans="1:52" ht="18" customHeight="1" x14ac:dyDescent="0.2">
      <c r="A581" s="3" t="str">
        <f t="shared" si="9"/>
        <v xml:space="preserve">                                                  </v>
      </c>
      <c r="B581" s="24" t="s">
        <v>174</v>
      </c>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row>
    <row r="582" spans="1:52" ht="18" customHeight="1" x14ac:dyDescent="0.2">
      <c r="A582" s="3" t="str">
        <f t="shared" si="9"/>
        <v xml:space="preserve">                                                  </v>
      </c>
      <c r="B582" s="24" t="s">
        <v>174</v>
      </c>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row>
    <row r="583" spans="1:52" ht="18" customHeight="1" x14ac:dyDescent="0.2">
      <c r="A583" s="3" t="str">
        <f t="shared" si="9"/>
        <v xml:space="preserve">                                                  </v>
      </c>
      <c r="B583" s="24" t="s">
        <v>174</v>
      </c>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row>
    <row r="584" spans="1:52" ht="18" customHeight="1" x14ac:dyDescent="0.2">
      <c r="A584" s="3" t="str">
        <f t="shared" si="9"/>
        <v xml:space="preserve">                                                  </v>
      </c>
      <c r="B584" s="24" t="s">
        <v>174</v>
      </c>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row>
    <row r="585" spans="1:52" ht="18" customHeight="1" x14ac:dyDescent="0.2">
      <c r="A585" s="3" t="str">
        <f t="shared" si="9"/>
        <v xml:space="preserve">                                                  </v>
      </c>
      <c r="B585" s="24" t="s">
        <v>174</v>
      </c>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row>
    <row r="586" spans="1:52" ht="18" customHeight="1" x14ac:dyDescent="0.2">
      <c r="A586" s="3" t="str">
        <f t="shared" si="9"/>
        <v xml:space="preserve">                                                  </v>
      </c>
      <c r="B586" s="24" t="s">
        <v>174</v>
      </c>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row>
    <row r="587" spans="1:52" ht="18" customHeight="1" x14ac:dyDescent="0.2">
      <c r="A587" s="3" t="str">
        <f t="shared" si="9"/>
        <v xml:space="preserve">                                                  </v>
      </c>
      <c r="B587" s="24" t="s">
        <v>174</v>
      </c>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row>
    <row r="588" spans="1:52" ht="18" customHeight="1" x14ac:dyDescent="0.2">
      <c r="A588" s="3" t="str">
        <f t="shared" si="9"/>
        <v xml:space="preserve">                                                  </v>
      </c>
      <c r="B588" s="24" t="s">
        <v>174</v>
      </c>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row>
    <row r="589" spans="1:52" ht="18" customHeight="1" x14ac:dyDescent="0.2">
      <c r="A589" s="3" t="str">
        <f t="shared" si="9"/>
        <v xml:space="preserve">                                                  </v>
      </c>
      <c r="B589" s="24" t="s">
        <v>174</v>
      </c>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row>
    <row r="590" spans="1:52" ht="18" customHeight="1" x14ac:dyDescent="0.2">
      <c r="A590" s="3" t="str">
        <f t="shared" si="9"/>
        <v xml:space="preserve">                                                  </v>
      </c>
      <c r="B590" s="24" t="s">
        <v>174</v>
      </c>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row>
    <row r="591" spans="1:52" ht="18" customHeight="1" x14ac:dyDescent="0.2">
      <c r="A591" s="3" t="str">
        <f t="shared" si="9"/>
        <v xml:space="preserve">                                                  </v>
      </c>
      <c r="B591" s="24" t="s">
        <v>174</v>
      </c>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row>
    <row r="592" spans="1:52" ht="18" customHeight="1" x14ac:dyDescent="0.2">
      <c r="A592" s="3" t="str">
        <f t="shared" si="9"/>
        <v xml:space="preserve">                                                  </v>
      </c>
      <c r="B592" s="24" t="s">
        <v>174</v>
      </c>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row>
    <row r="593" spans="1:52" ht="18" customHeight="1" x14ac:dyDescent="0.2">
      <c r="A593" s="3" t="str">
        <f t="shared" si="9"/>
        <v xml:space="preserve">                                                  </v>
      </c>
      <c r="B593" s="24" t="s">
        <v>174</v>
      </c>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row>
    <row r="594" spans="1:52" ht="18" customHeight="1" x14ac:dyDescent="0.2">
      <c r="A594" s="3" t="str">
        <f t="shared" si="9"/>
        <v xml:space="preserve">                                                  </v>
      </c>
      <c r="B594" s="24" t="s">
        <v>174</v>
      </c>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row>
    <row r="595" spans="1:52" ht="18" customHeight="1" x14ac:dyDescent="0.2">
      <c r="A595" s="3" t="str">
        <f t="shared" si="9"/>
        <v xml:space="preserve">                                                  </v>
      </c>
      <c r="B595" s="24" t="s">
        <v>174</v>
      </c>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row>
    <row r="596" spans="1:52" ht="18" customHeight="1" x14ac:dyDescent="0.2">
      <c r="A596" s="3" t="str">
        <f t="shared" si="9"/>
        <v xml:space="preserve">                                                  </v>
      </c>
      <c r="B596" s="24" t="s">
        <v>174</v>
      </c>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row>
    <row r="597" spans="1:52" ht="18" customHeight="1" x14ac:dyDescent="0.2">
      <c r="A597" s="3" t="str">
        <f t="shared" si="9"/>
        <v xml:space="preserve">                                                  </v>
      </c>
      <c r="B597" s="24" t="s">
        <v>174</v>
      </c>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row>
    <row r="598" spans="1:52" ht="18" customHeight="1" x14ac:dyDescent="0.2">
      <c r="A598" s="3" t="str">
        <f t="shared" si="9"/>
        <v xml:space="preserve">                                                  </v>
      </c>
      <c r="B598" s="24" t="s">
        <v>174</v>
      </c>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row>
    <row r="599" spans="1:52" ht="18" customHeight="1" x14ac:dyDescent="0.2">
      <c r="A599" s="3" t="str">
        <f t="shared" si="9"/>
        <v xml:space="preserve">                                                  </v>
      </c>
      <c r="B599" s="24" t="s">
        <v>174</v>
      </c>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row>
    <row r="600" spans="1:52" ht="18" customHeight="1" x14ac:dyDescent="0.2">
      <c r="A600" s="3" t="str">
        <f t="shared" si="9"/>
        <v xml:space="preserve">                                                  </v>
      </c>
      <c r="B600" s="24" t="s">
        <v>174</v>
      </c>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row>
    <row r="601" spans="1:52" ht="18" customHeight="1" x14ac:dyDescent="0.2">
      <c r="A601" s="3" t="str">
        <f t="shared" si="9"/>
        <v xml:space="preserve">                                                  </v>
      </c>
      <c r="B601" s="24" t="s">
        <v>174</v>
      </c>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row>
    <row r="602" spans="1:52" ht="18" customHeight="1" x14ac:dyDescent="0.2">
      <c r="A602" s="3" t="str">
        <f t="shared" si="9"/>
        <v xml:space="preserve">                                                  </v>
      </c>
      <c r="B602" s="24" t="s">
        <v>174</v>
      </c>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row>
    <row r="603" spans="1:52" ht="18" customHeight="1" x14ac:dyDescent="0.2">
      <c r="A603" s="3" t="str">
        <f t="shared" si="9"/>
        <v xml:space="preserve">                                                  </v>
      </c>
      <c r="B603" s="24" t="s">
        <v>174</v>
      </c>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row>
    <row r="604" spans="1:52" ht="18" customHeight="1" x14ac:dyDescent="0.2">
      <c r="A604" s="3" t="str">
        <f t="shared" si="9"/>
        <v xml:space="preserve">                                                  </v>
      </c>
      <c r="B604" s="24" t="s">
        <v>174</v>
      </c>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row>
    <row r="605" spans="1:52" ht="18" customHeight="1" x14ac:dyDescent="0.2">
      <c r="A605" s="3" t="str">
        <f t="shared" si="9"/>
        <v xml:space="preserve">                                                  </v>
      </c>
      <c r="B605" s="24" t="s">
        <v>174</v>
      </c>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row>
    <row r="606" spans="1:52" ht="18" customHeight="1" x14ac:dyDescent="0.2">
      <c r="A606" s="3" t="str">
        <f t="shared" si="9"/>
        <v xml:space="preserve">                                                  </v>
      </c>
      <c r="B606" s="24" t="s">
        <v>174</v>
      </c>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row>
    <row r="607" spans="1:52" ht="18" customHeight="1" x14ac:dyDescent="0.2">
      <c r="A607" s="3" t="str">
        <f t="shared" si="9"/>
        <v xml:space="preserve">                                                  </v>
      </c>
      <c r="B607" s="24" t="s">
        <v>174</v>
      </c>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row>
    <row r="608" spans="1:52" ht="18" customHeight="1" x14ac:dyDescent="0.2">
      <c r="A608" s="3" t="str">
        <f t="shared" si="9"/>
        <v xml:space="preserve">                                                  </v>
      </c>
      <c r="B608" s="24" t="s">
        <v>174</v>
      </c>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row>
    <row r="609" spans="1:52" ht="18" customHeight="1" x14ac:dyDescent="0.2">
      <c r="A609" s="3" t="str">
        <f t="shared" si="9"/>
        <v xml:space="preserve">                                                  </v>
      </c>
      <c r="B609" s="24" t="s">
        <v>174</v>
      </c>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row>
    <row r="610" spans="1:52" ht="18" customHeight="1" x14ac:dyDescent="0.2">
      <c r="A610" s="3" t="str">
        <f t="shared" si="9"/>
        <v xml:space="preserve">                                                  </v>
      </c>
      <c r="B610" s="24" t="s">
        <v>174</v>
      </c>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row>
    <row r="611" spans="1:52" ht="18" customHeight="1" x14ac:dyDescent="0.2">
      <c r="A611" s="3" t="str">
        <f t="shared" si="9"/>
        <v xml:space="preserve">                                                  </v>
      </c>
      <c r="B611" s="24" t="s">
        <v>174</v>
      </c>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row>
    <row r="612" spans="1:52" ht="18" customHeight="1" x14ac:dyDescent="0.2">
      <c r="A612" s="3" t="str">
        <f t="shared" si="9"/>
        <v xml:space="preserve">                                                  </v>
      </c>
      <c r="B612" s="24" t="s">
        <v>174</v>
      </c>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row>
    <row r="613" spans="1:52" ht="18" customHeight="1" x14ac:dyDescent="0.2">
      <c r="A613" s="3" t="str">
        <f t="shared" si="9"/>
        <v xml:space="preserve">                                                  </v>
      </c>
      <c r="B613" s="24" t="s">
        <v>174</v>
      </c>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row>
    <row r="614" spans="1:52" ht="18" customHeight="1" x14ac:dyDescent="0.2">
      <c r="A614" s="3" t="str">
        <f t="shared" si="9"/>
        <v xml:space="preserve">                                                  </v>
      </c>
      <c r="B614" s="24" t="s">
        <v>174</v>
      </c>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row>
    <row r="615" spans="1:52" ht="18" customHeight="1" x14ac:dyDescent="0.2">
      <c r="A615" s="3" t="str">
        <f t="shared" si="9"/>
        <v xml:space="preserve">                                                  </v>
      </c>
      <c r="B615" s="24" t="s">
        <v>174</v>
      </c>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row>
    <row r="616" spans="1:52" ht="18" customHeight="1" x14ac:dyDescent="0.2">
      <c r="A616" s="3" t="str">
        <f t="shared" si="9"/>
        <v xml:space="preserve">                                                  </v>
      </c>
      <c r="B616" s="24" t="s">
        <v>174</v>
      </c>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row>
    <row r="617" spans="1:52" ht="18" customHeight="1" x14ac:dyDescent="0.2">
      <c r="A617" s="3" t="str">
        <f t="shared" si="9"/>
        <v xml:space="preserve">                                                  </v>
      </c>
      <c r="B617" s="24" t="s">
        <v>174</v>
      </c>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row>
    <row r="618" spans="1:52" ht="18" customHeight="1" x14ac:dyDescent="0.2">
      <c r="A618" s="3" t="str">
        <f t="shared" si="9"/>
        <v xml:space="preserve">                                                  </v>
      </c>
      <c r="B618" s="24" t="s">
        <v>174</v>
      </c>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row>
    <row r="619" spans="1:52" ht="18" customHeight="1" x14ac:dyDescent="0.2">
      <c r="A619" s="3" t="str">
        <f t="shared" si="9"/>
        <v xml:space="preserve">                                                  </v>
      </c>
      <c r="B619" s="24" t="s">
        <v>174</v>
      </c>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row>
    <row r="620" spans="1:52" ht="18" customHeight="1" x14ac:dyDescent="0.2">
      <c r="A620" s="3" t="str">
        <f t="shared" si="9"/>
        <v xml:space="preserve">                                                  </v>
      </c>
      <c r="B620" s="24" t="s">
        <v>174</v>
      </c>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row>
    <row r="621" spans="1:52" ht="18" customHeight="1" x14ac:dyDescent="0.2">
      <c r="A621" s="3" t="str">
        <f t="shared" si="9"/>
        <v xml:space="preserve">                                                  </v>
      </c>
      <c r="B621" s="24" t="s">
        <v>174</v>
      </c>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row>
    <row r="622" spans="1:52" ht="18" customHeight="1" x14ac:dyDescent="0.2">
      <c r="A622" s="3" t="str">
        <f t="shared" si="9"/>
        <v xml:space="preserve">                                                  </v>
      </c>
      <c r="B622" s="24" t="s">
        <v>174</v>
      </c>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row>
    <row r="623" spans="1:52" ht="18" customHeight="1" x14ac:dyDescent="0.2">
      <c r="A623" s="3" t="str">
        <f t="shared" si="9"/>
        <v xml:space="preserve">                                                  </v>
      </c>
      <c r="B623" s="24" t="s">
        <v>174</v>
      </c>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row>
    <row r="624" spans="1:52" ht="18" customHeight="1" x14ac:dyDescent="0.2">
      <c r="A624" s="3" t="str">
        <f t="shared" si="9"/>
        <v xml:space="preserve">                                                  </v>
      </c>
      <c r="B624" s="24" t="s">
        <v>174</v>
      </c>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row>
    <row r="625" spans="1:52" ht="18" customHeight="1" x14ac:dyDescent="0.2">
      <c r="A625" s="3" t="str">
        <f t="shared" si="9"/>
        <v xml:space="preserve">                                                  </v>
      </c>
      <c r="B625" s="24" t="s">
        <v>174</v>
      </c>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row>
    <row r="626" spans="1:52" ht="18" customHeight="1" x14ac:dyDescent="0.2">
      <c r="A626" s="3" t="str">
        <f t="shared" si="9"/>
        <v xml:space="preserve">                                                  </v>
      </c>
      <c r="B626" s="24" t="s">
        <v>174</v>
      </c>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row>
    <row r="627" spans="1:52" ht="18" customHeight="1" x14ac:dyDescent="0.2">
      <c r="A627" s="3" t="str">
        <f t="shared" si="9"/>
        <v xml:space="preserve">                                                  </v>
      </c>
      <c r="B627" s="24" t="s">
        <v>174</v>
      </c>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row>
    <row r="628" spans="1:52" ht="18" customHeight="1" x14ac:dyDescent="0.2">
      <c r="A628" s="3" t="str">
        <f t="shared" si="9"/>
        <v xml:space="preserve">                                                  </v>
      </c>
      <c r="B628" s="24" t="s">
        <v>174</v>
      </c>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row>
    <row r="629" spans="1:52" ht="18" customHeight="1" x14ac:dyDescent="0.2">
      <c r="A629" s="3" t="str">
        <f t="shared" si="9"/>
        <v xml:space="preserve">                                                  </v>
      </c>
      <c r="B629" s="24" t="s">
        <v>174</v>
      </c>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row>
    <row r="630" spans="1:52" ht="18" customHeight="1" x14ac:dyDescent="0.2">
      <c r="A630" s="3" t="str">
        <f t="shared" si="9"/>
        <v xml:space="preserve">                                                  </v>
      </c>
      <c r="B630" s="24" t="s">
        <v>174</v>
      </c>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row>
    <row r="631" spans="1:52" ht="18" customHeight="1" x14ac:dyDescent="0.2">
      <c r="A631" s="3" t="str">
        <f t="shared" si="9"/>
        <v xml:space="preserve">                                                  </v>
      </c>
      <c r="B631" s="24" t="s">
        <v>174</v>
      </c>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row>
    <row r="632" spans="1:52" ht="18" customHeight="1" x14ac:dyDescent="0.2">
      <c r="A632" s="3" t="str">
        <f t="shared" si="9"/>
        <v xml:space="preserve">                                                  </v>
      </c>
      <c r="B632" s="24" t="s">
        <v>174</v>
      </c>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row>
    <row r="633" spans="1:52" ht="18" customHeight="1" x14ac:dyDescent="0.2">
      <c r="A633" s="3" t="str">
        <f t="shared" si="9"/>
        <v xml:space="preserve">                                                  </v>
      </c>
      <c r="B633" s="24" t="s">
        <v>174</v>
      </c>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row>
    <row r="634" spans="1:52" ht="18" customHeight="1" x14ac:dyDescent="0.2">
      <c r="A634" s="3" t="str">
        <f t="shared" si="9"/>
        <v xml:space="preserve">                                                  </v>
      </c>
      <c r="B634" s="24" t="s">
        <v>174</v>
      </c>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row>
    <row r="635" spans="1:52" ht="18" customHeight="1" x14ac:dyDescent="0.2">
      <c r="A635" s="3" t="str">
        <f t="shared" si="9"/>
        <v xml:space="preserve">                                                  </v>
      </c>
      <c r="B635" s="24" t="s">
        <v>174</v>
      </c>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row>
    <row r="636" spans="1:52" ht="18" customHeight="1" x14ac:dyDescent="0.2">
      <c r="A636" s="3" t="str">
        <f t="shared" si="9"/>
        <v xml:space="preserve">                                                  </v>
      </c>
      <c r="B636" s="24" t="s">
        <v>174</v>
      </c>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row>
    <row r="637" spans="1:52" ht="18" customHeight="1" x14ac:dyDescent="0.2">
      <c r="A637" s="3" t="str">
        <f t="shared" si="9"/>
        <v xml:space="preserve">                                                  </v>
      </c>
      <c r="B637" s="24" t="s">
        <v>174</v>
      </c>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row>
    <row r="638" spans="1:52" ht="18" customHeight="1" x14ac:dyDescent="0.2">
      <c r="A638" s="3" t="str">
        <f t="shared" si="9"/>
        <v xml:space="preserve">                                                  </v>
      </c>
      <c r="B638" s="24" t="s">
        <v>174</v>
      </c>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row>
    <row r="639" spans="1:52" ht="18" customHeight="1" x14ac:dyDescent="0.2">
      <c r="A639" s="3" t="str">
        <f t="shared" si="9"/>
        <v xml:space="preserve">                                                  </v>
      </c>
      <c r="B639" s="24" t="s">
        <v>174</v>
      </c>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row>
    <row r="640" spans="1:52" ht="18" customHeight="1" x14ac:dyDescent="0.2">
      <c r="A640" s="3" t="str">
        <f t="shared" si="9"/>
        <v xml:space="preserve">                                                  </v>
      </c>
      <c r="B640" s="24" t="s">
        <v>174</v>
      </c>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row>
    <row r="641" spans="1:52" ht="18" customHeight="1" x14ac:dyDescent="0.2">
      <c r="A641" s="3" t="str">
        <f t="shared" si="9"/>
        <v xml:space="preserve">                                                  </v>
      </c>
      <c r="B641" s="24" t="s">
        <v>174</v>
      </c>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row>
    <row r="642" spans="1:52" ht="18" customHeight="1" x14ac:dyDescent="0.2">
      <c r="A642" s="3" t="str">
        <f t="shared" si="9"/>
        <v xml:space="preserve">                                                  </v>
      </c>
      <c r="B642" s="24" t="s">
        <v>174</v>
      </c>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row>
    <row r="643" spans="1:52" ht="18" customHeight="1" x14ac:dyDescent="0.2">
      <c r="A643" s="3" t="str">
        <f t="shared" si="9"/>
        <v xml:space="preserve">                                                  </v>
      </c>
      <c r="B643" s="24" t="s">
        <v>174</v>
      </c>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row>
    <row r="644" spans="1:52" ht="18" customHeight="1" x14ac:dyDescent="0.2">
      <c r="A644" s="3" t="str">
        <f t="shared" ref="A644:A707" si="10">CONCATENATE(C644," ",D644," ",E644," ",F644," ",G644," ",H644," ",I644," ",J644," ",K644," ",L644," ",M644," ",N644," ",O644," ",P644," ",Q644," ",R644," ",S644," ",T644," ",U644," ",V644," ",W644," ",X644," ",Y644," ",Z644," ",AA644," ",AB644," ",AC644," ",AD644," ",AE644," ",AF644," ",AG644," ",AH644," ",AI644," ",AJ644," ",AK644," ",AL644," ",AM644," ",AN644," ",AO644," ",AP644," ",AQ644," ",AR644," ",AS644," ",AT644," ",AU644," ",AV644," ",AW644," ",AX644," ",AY644," ",AZ644," ",
)</f>
        <v xml:space="preserve">                                                  </v>
      </c>
      <c r="B644" s="24" t="s">
        <v>174</v>
      </c>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row>
    <row r="645" spans="1:52" ht="18" customHeight="1" x14ac:dyDescent="0.2">
      <c r="A645" s="3" t="str">
        <f t="shared" si="10"/>
        <v xml:space="preserve">                                                  </v>
      </c>
      <c r="B645" s="24" t="s">
        <v>174</v>
      </c>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row>
    <row r="646" spans="1:52" ht="18" customHeight="1" x14ac:dyDescent="0.2">
      <c r="A646" s="3" t="str">
        <f t="shared" si="10"/>
        <v xml:space="preserve">                                                  </v>
      </c>
      <c r="B646" s="24" t="s">
        <v>174</v>
      </c>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row>
    <row r="647" spans="1:52" ht="18" customHeight="1" x14ac:dyDescent="0.2">
      <c r="A647" s="3" t="str">
        <f t="shared" si="10"/>
        <v xml:space="preserve">                                                  </v>
      </c>
      <c r="B647" s="24" t="s">
        <v>174</v>
      </c>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row>
    <row r="648" spans="1:52" ht="18" customHeight="1" x14ac:dyDescent="0.2">
      <c r="A648" s="3" t="str">
        <f t="shared" si="10"/>
        <v xml:space="preserve">                                                  </v>
      </c>
      <c r="B648" s="24" t="s">
        <v>174</v>
      </c>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row>
    <row r="649" spans="1:52" ht="18" customHeight="1" x14ac:dyDescent="0.2">
      <c r="A649" s="3" t="str">
        <f t="shared" si="10"/>
        <v xml:space="preserve">                                                  </v>
      </c>
      <c r="B649" s="24" t="s">
        <v>174</v>
      </c>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row>
    <row r="650" spans="1:52" ht="18" customHeight="1" x14ac:dyDescent="0.2">
      <c r="A650" s="3" t="str">
        <f t="shared" si="10"/>
        <v xml:space="preserve">                                                  </v>
      </c>
      <c r="B650" s="24" t="s">
        <v>174</v>
      </c>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row>
    <row r="651" spans="1:52" ht="18" customHeight="1" x14ac:dyDescent="0.2">
      <c r="A651" s="3" t="str">
        <f t="shared" si="10"/>
        <v xml:space="preserve">                                                  </v>
      </c>
      <c r="B651" s="24" t="s">
        <v>174</v>
      </c>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row>
    <row r="652" spans="1:52" ht="18" customHeight="1" x14ac:dyDescent="0.2">
      <c r="A652" s="3" t="str">
        <f t="shared" si="10"/>
        <v xml:space="preserve">                                                  </v>
      </c>
      <c r="B652" s="24" t="s">
        <v>174</v>
      </c>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row>
    <row r="653" spans="1:52" ht="18" customHeight="1" x14ac:dyDescent="0.2">
      <c r="A653" s="3" t="str">
        <f t="shared" si="10"/>
        <v xml:space="preserve">                                                  </v>
      </c>
      <c r="B653" s="24" t="s">
        <v>174</v>
      </c>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row>
    <row r="654" spans="1:52" ht="18" customHeight="1" x14ac:dyDescent="0.2">
      <c r="A654" s="3" t="str">
        <f t="shared" si="10"/>
        <v xml:space="preserve">                                                  </v>
      </c>
      <c r="B654" s="24" t="s">
        <v>174</v>
      </c>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row>
    <row r="655" spans="1:52" ht="18" customHeight="1" x14ac:dyDescent="0.2">
      <c r="A655" s="3" t="str">
        <f t="shared" si="10"/>
        <v xml:space="preserve">                                                  </v>
      </c>
      <c r="B655" s="24" t="s">
        <v>174</v>
      </c>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row>
    <row r="656" spans="1:52" ht="18" customHeight="1" x14ac:dyDescent="0.2">
      <c r="A656" s="3" t="str">
        <f t="shared" si="10"/>
        <v xml:space="preserve">                                                  </v>
      </c>
      <c r="B656" s="24" t="s">
        <v>174</v>
      </c>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row>
    <row r="657" spans="1:52" ht="18" customHeight="1" x14ac:dyDescent="0.2">
      <c r="A657" s="3" t="str">
        <f t="shared" si="10"/>
        <v xml:space="preserve">                                                  </v>
      </c>
      <c r="B657" s="24" t="s">
        <v>174</v>
      </c>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row>
    <row r="658" spans="1:52" ht="18" customHeight="1" x14ac:dyDescent="0.2">
      <c r="A658" s="3" t="str">
        <f t="shared" si="10"/>
        <v xml:space="preserve">                                                  </v>
      </c>
      <c r="B658" s="24" t="s">
        <v>174</v>
      </c>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row>
    <row r="659" spans="1:52" ht="18" customHeight="1" x14ac:dyDescent="0.2">
      <c r="A659" s="3" t="str">
        <f t="shared" si="10"/>
        <v xml:space="preserve">                                                  </v>
      </c>
      <c r="B659" s="24" t="s">
        <v>174</v>
      </c>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row>
    <row r="660" spans="1:52" ht="18" customHeight="1" x14ac:dyDescent="0.2">
      <c r="A660" s="3" t="str">
        <f t="shared" si="10"/>
        <v xml:space="preserve">                                                  </v>
      </c>
      <c r="B660" s="24" t="s">
        <v>174</v>
      </c>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row>
    <row r="661" spans="1:52" ht="18" customHeight="1" x14ac:dyDescent="0.2">
      <c r="A661" s="3" t="str">
        <f t="shared" si="10"/>
        <v xml:space="preserve">                                                  </v>
      </c>
      <c r="B661" s="24" t="s">
        <v>174</v>
      </c>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row>
    <row r="662" spans="1:52" ht="18" customHeight="1" x14ac:dyDescent="0.2">
      <c r="A662" s="3" t="str">
        <f t="shared" si="10"/>
        <v xml:space="preserve">                                                  </v>
      </c>
      <c r="B662" s="24" t="s">
        <v>174</v>
      </c>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row>
    <row r="663" spans="1:52" ht="18" customHeight="1" x14ac:dyDescent="0.2">
      <c r="A663" s="3" t="str">
        <f t="shared" si="10"/>
        <v xml:space="preserve">                                                  </v>
      </c>
      <c r="B663" s="24" t="s">
        <v>174</v>
      </c>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row>
    <row r="664" spans="1:52" ht="18" customHeight="1" x14ac:dyDescent="0.2">
      <c r="A664" s="3" t="str">
        <f t="shared" si="10"/>
        <v xml:space="preserve">                                                  </v>
      </c>
      <c r="B664" s="24" t="s">
        <v>174</v>
      </c>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row>
    <row r="665" spans="1:52" ht="18" customHeight="1" x14ac:dyDescent="0.2">
      <c r="A665" s="3" t="str">
        <f t="shared" si="10"/>
        <v xml:space="preserve">                                                  </v>
      </c>
      <c r="B665" s="24" t="s">
        <v>174</v>
      </c>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row>
    <row r="666" spans="1:52" ht="18" customHeight="1" x14ac:dyDescent="0.2">
      <c r="A666" s="3" t="str">
        <f t="shared" si="10"/>
        <v xml:space="preserve">                                                  </v>
      </c>
      <c r="B666" s="24" t="s">
        <v>174</v>
      </c>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row>
    <row r="667" spans="1:52" ht="18" customHeight="1" x14ac:dyDescent="0.2">
      <c r="A667" s="3" t="str">
        <f t="shared" si="10"/>
        <v xml:space="preserve">                                                  </v>
      </c>
      <c r="B667" s="24" t="s">
        <v>174</v>
      </c>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row>
    <row r="668" spans="1:52" ht="18" customHeight="1" x14ac:dyDescent="0.2">
      <c r="A668" s="3" t="str">
        <f t="shared" si="10"/>
        <v xml:space="preserve">                                                  </v>
      </c>
      <c r="B668" s="24" t="s">
        <v>174</v>
      </c>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row>
    <row r="669" spans="1:52" ht="18" customHeight="1" x14ac:dyDescent="0.2">
      <c r="A669" s="3" t="str">
        <f t="shared" si="10"/>
        <v xml:space="preserve">                                                  </v>
      </c>
      <c r="B669" s="24" t="s">
        <v>174</v>
      </c>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row>
    <row r="670" spans="1:52" ht="18" customHeight="1" x14ac:dyDescent="0.2">
      <c r="A670" s="3" t="str">
        <f t="shared" si="10"/>
        <v xml:space="preserve">                                                  </v>
      </c>
      <c r="B670" s="24" t="s">
        <v>174</v>
      </c>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row>
    <row r="671" spans="1:52" ht="18" customHeight="1" x14ac:dyDescent="0.2">
      <c r="A671" s="3" t="str">
        <f t="shared" si="10"/>
        <v xml:space="preserve">                                                  </v>
      </c>
      <c r="B671" s="24" t="s">
        <v>174</v>
      </c>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row>
    <row r="672" spans="1:52" ht="18" customHeight="1" x14ac:dyDescent="0.2">
      <c r="A672" s="3" t="str">
        <f t="shared" si="10"/>
        <v xml:space="preserve">                                                  </v>
      </c>
      <c r="B672" s="24" t="s">
        <v>174</v>
      </c>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row>
    <row r="673" spans="1:52" ht="18" customHeight="1" x14ac:dyDescent="0.2">
      <c r="A673" s="3" t="str">
        <f t="shared" si="10"/>
        <v xml:space="preserve">                                                  </v>
      </c>
      <c r="B673" s="24" t="s">
        <v>174</v>
      </c>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row>
    <row r="674" spans="1:52" ht="18" customHeight="1" x14ac:dyDescent="0.2">
      <c r="A674" s="3" t="str">
        <f t="shared" si="10"/>
        <v xml:space="preserve">                                                  </v>
      </c>
      <c r="B674" s="24" t="s">
        <v>174</v>
      </c>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row>
    <row r="675" spans="1:52" ht="18" customHeight="1" x14ac:dyDescent="0.2">
      <c r="A675" s="3" t="str">
        <f t="shared" si="10"/>
        <v xml:space="preserve">                                                  </v>
      </c>
      <c r="B675" s="24" t="s">
        <v>174</v>
      </c>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row>
    <row r="676" spans="1:52" ht="18" customHeight="1" x14ac:dyDescent="0.2">
      <c r="A676" s="3" t="str">
        <f t="shared" si="10"/>
        <v xml:space="preserve">                                                  </v>
      </c>
      <c r="B676" s="24" t="s">
        <v>174</v>
      </c>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row>
    <row r="677" spans="1:52" ht="18" customHeight="1" x14ac:dyDescent="0.2">
      <c r="A677" s="3" t="str">
        <f t="shared" si="10"/>
        <v xml:space="preserve">                                                  </v>
      </c>
      <c r="B677" s="24" t="s">
        <v>174</v>
      </c>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row>
    <row r="678" spans="1:52" ht="18" customHeight="1" x14ac:dyDescent="0.2">
      <c r="A678" s="3" t="str">
        <f t="shared" si="10"/>
        <v xml:space="preserve">                                                  </v>
      </c>
      <c r="B678" s="24" t="s">
        <v>174</v>
      </c>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row>
    <row r="679" spans="1:52" ht="18" customHeight="1" x14ac:dyDescent="0.2">
      <c r="A679" s="3" t="str">
        <f t="shared" si="10"/>
        <v xml:space="preserve">                                                  </v>
      </c>
      <c r="B679" s="24" t="s">
        <v>174</v>
      </c>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row>
    <row r="680" spans="1:52" ht="18" customHeight="1" x14ac:dyDescent="0.2">
      <c r="A680" s="3" t="str">
        <f t="shared" si="10"/>
        <v xml:space="preserve">                                                  </v>
      </c>
      <c r="B680" s="24" t="s">
        <v>174</v>
      </c>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row>
    <row r="681" spans="1:52" ht="18" customHeight="1" x14ac:dyDescent="0.2">
      <c r="A681" s="3" t="str">
        <f t="shared" si="10"/>
        <v xml:space="preserve">                                                  </v>
      </c>
      <c r="B681" s="24" t="s">
        <v>174</v>
      </c>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row>
    <row r="682" spans="1:52" ht="18" customHeight="1" x14ac:dyDescent="0.2">
      <c r="A682" s="3" t="str">
        <f t="shared" si="10"/>
        <v xml:space="preserve">                                                  </v>
      </c>
      <c r="B682" s="24" t="s">
        <v>174</v>
      </c>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row>
    <row r="683" spans="1:52" ht="18" customHeight="1" x14ac:dyDescent="0.2">
      <c r="A683" s="3" t="str">
        <f t="shared" si="10"/>
        <v xml:space="preserve">                                                  </v>
      </c>
      <c r="B683" s="24" t="s">
        <v>174</v>
      </c>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row>
    <row r="684" spans="1:52" ht="18" customHeight="1" x14ac:dyDescent="0.2">
      <c r="A684" s="3" t="str">
        <f t="shared" si="10"/>
        <v xml:space="preserve">                                                  </v>
      </c>
      <c r="B684" s="24" t="s">
        <v>174</v>
      </c>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row>
    <row r="685" spans="1:52" ht="18" customHeight="1" x14ac:dyDescent="0.2">
      <c r="A685" s="3" t="str">
        <f t="shared" si="10"/>
        <v xml:space="preserve">                                                  </v>
      </c>
      <c r="B685" s="24" t="s">
        <v>174</v>
      </c>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row>
    <row r="686" spans="1:52" ht="18" customHeight="1" x14ac:dyDescent="0.2">
      <c r="A686" s="3" t="str">
        <f t="shared" si="10"/>
        <v xml:space="preserve">                                                  </v>
      </c>
      <c r="B686" s="24" t="s">
        <v>174</v>
      </c>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row>
    <row r="687" spans="1:52" ht="18" customHeight="1" x14ac:dyDescent="0.2">
      <c r="A687" s="3" t="str">
        <f t="shared" si="10"/>
        <v xml:space="preserve">                                                  </v>
      </c>
      <c r="B687" s="24" t="s">
        <v>174</v>
      </c>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row>
    <row r="688" spans="1:52" ht="18" customHeight="1" x14ac:dyDescent="0.2">
      <c r="A688" s="3" t="str">
        <f t="shared" si="10"/>
        <v xml:space="preserve">                                                  </v>
      </c>
      <c r="B688" s="24" t="s">
        <v>174</v>
      </c>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row>
    <row r="689" spans="1:52" ht="18" customHeight="1" x14ac:dyDescent="0.2">
      <c r="A689" s="3" t="str">
        <f t="shared" si="10"/>
        <v xml:space="preserve">                                                  </v>
      </c>
      <c r="B689" s="24" t="s">
        <v>174</v>
      </c>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row>
    <row r="690" spans="1:52" ht="18" customHeight="1" x14ac:dyDescent="0.2">
      <c r="A690" s="3" t="str">
        <f t="shared" si="10"/>
        <v xml:space="preserve">                                                  </v>
      </c>
      <c r="B690" s="24" t="s">
        <v>174</v>
      </c>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row>
    <row r="691" spans="1:52" ht="18" customHeight="1" x14ac:dyDescent="0.2">
      <c r="A691" s="3" t="str">
        <f t="shared" si="10"/>
        <v xml:space="preserve">                                                  </v>
      </c>
      <c r="B691" s="24" t="s">
        <v>174</v>
      </c>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row>
    <row r="692" spans="1:52" ht="18" customHeight="1" x14ac:dyDescent="0.2">
      <c r="A692" s="3" t="str">
        <f t="shared" si="10"/>
        <v xml:space="preserve">                                                  </v>
      </c>
      <c r="B692" s="24" t="s">
        <v>174</v>
      </c>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row>
    <row r="693" spans="1:52" ht="18" customHeight="1" x14ac:dyDescent="0.2">
      <c r="A693" s="3" t="str">
        <f t="shared" si="10"/>
        <v xml:space="preserve">                                                  </v>
      </c>
      <c r="B693" s="24" t="s">
        <v>174</v>
      </c>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row>
    <row r="694" spans="1:52" ht="18" customHeight="1" x14ac:dyDescent="0.2">
      <c r="A694" s="3" t="str">
        <f t="shared" si="10"/>
        <v xml:space="preserve">                                                  </v>
      </c>
      <c r="B694" s="24" t="s">
        <v>174</v>
      </c>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row>
    <row r="695" spans="1:52" ht="18" customHeight="1" x14ac:dyDescent="0.2">
      <c r="A695" s="3" t="str">
        <f t="shared" si="10"/>
        <v xml:space="preserve">                                                  </v>
      </c>
      <c r="B695" s="24" t="s">
        <v>174</v>
      </c>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row>
    <row r="696" spans="1:52" ht="18" customHeight="1" x14ac:dyDescent="0.2">
      <c r="A696" s="3" t="str">
        <f t="shared" si="10"/>
        <v xml:space="preserve">                                                  </v>
      </c>
      <c r="B696" s="24" t="s">
        <v>174</v>
      </c>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row>
    <row r="697" spans="1:52" ht="18" customHeight="1" x14ac:dyDescent="0.2">
      <c r="A697" s="3" t="str">
        <f t="shared" si="10"/>
        <v xml:space="preserve">                                                  </v>
      </c>
      <c r="B697" s="24" t="s">
        <v>174</v>
      </c>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row>
    <row r="698" spans="1:52" ht="18" customHeight="1" x14ac:dyDescent="0.2">
      <c r="A698" s="3" t="str">
        <f t="shared" si="10"/>
        <v xml:space="preserve">                                                  </v>
      </c>
      <c r="B698" s="24" t="s">
        <v>174</v>
      </c>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row>
    <row r="699" spans="1:52" ht="18" customHeight="1" x14ac:dyDescent="0.2">
      <c r="A699" s="3" t="str">
        <f t="shared" si="10"/>
        <v xml:space="preserve">                                                  </v>
      </c>
      <c r="B699" s="24" t="s">
        <v>174</v>
      </c>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row>
    <row r="700" spans="1:52" ht="18" customHeight="1" x14ac:dyDescent="0.2">
      <c r="A700" s="3" t="str">
        <f t="shared" si="10"/>
        <v xml:space="preserve">                                                  </v>
      </c>
      <c r="B700" s="24" t="s">
        <v>174</v>
      </c>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row>
    <row r="701" spans="1:52" ht="18" customHeight="1" x14ac:dyDescent="0.2">
      <c r="A701" s="3" t="str">
        <f t="shared" si="10"/>
        <v xml:space="preserve">                                                  </v>
      </c>
      <c r="B701" s="24" t="s">
        <v>174</v>
      </c>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row>
    <row r="702" spans="1:52" ht="18" customHeight="1" x14ac:dyDescent="0.2">
      <c r="A702" s="3" t="str">
        <f t="shared" si="10"/>
        <v xml:space="preserve">                                                  </v>
      </c>
      <c r="B702" s="24" t="s">
        <v>174</v>
      </c>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row>
    <row r="703" spans="1:52" ht="18" customHeight="1" x14ac:dyDescent="0.2">
      <c r="A703" s="3" t="str">
        <f t="shared" si="10"/>
        <v xml:space="preserve">                                                  </v>
      </c>
      <c r="B703" s="24" t="s">
        <v>174</v>
      </c>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row>
    <row r="704" spans="1:52" ht="18" customHeight="1" x14ac:dyDescent="0.2">
      <c r="A704" s="3" t="str">
        <f t="shared" si="10"/>
        <v xml:space="preserve">                                                  </v>
      </c>
      <c r="B704" s="24" t="s">
        <v>174</v>
      </c>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row>
    <row r="705" spans="1:52" ht="18" customHeight="1" x14ac:dyDescent="0.2">
      <c r="A705" s="3" t="str">
        <f t="shared" si="10"/>
        <v xml:space="preserve">                                                  </v>
      </c>
      <c r="B705" s="24" t="s">
        <v>174</v>
      </c>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row>
    <row r="706" spans="1:52" ht="18" customHeight="1" x14ac:dyDescent="0.2">
      <c r="A706" s="3" t="str">
        <f t="shared" si="10"/>
        <v xml:space="preserve">                                                  </v>
      </c>
      <c r="B706" s="24" t="s">
        <v>174</v>
      </c>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row>
    <row r="707" spans="1:52" ht="18" customHeight="1" x14ac:dyDescent="0.2">
      <c r="A707" s="3" t="str">
        <f t="shared" si="10"/>
        <v xml:space="preserve">                                                  </v>
      </c>
      <c r="B707" s="24" t="s">
        <v>174</v>
      </c>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row>
    <row r="708" spans="1:52" ht="18" customHeight="1" x14ac:dyDescent="0.2">
      <c r="A708" s="3" t="str">
        <f t="shared" ref="A708:A771" si="11">CONCATENATE(C708," ",D708," ",E708," ",F708," ",G708," ",H708," ",I708," ",J708," ",K708," ",L708," ",M708," ",N708," ",O708," ",P708," ",Q708," ",R708," ",S708," ",T708," ",U708," ",V708," ",W708," ",X708," ",Y708," ",Z708," ",AA708," ",AB708," ",AC708," ",AD708," ",AE708," ",AF708," ",AG708," ",AH708," ",AI708," ",AJ708," ",AK708," ",AL708," ",AM708," ",AN708," ",AO708," ",AP708," ",AQ708," ",AR708," ",AS708," ",AT708," ",AU708," ",AV708," ",AW708," ",AX708," ",AY708," ",AZ708," ",
)</f>
        <v xml:space="preserve">                                                  </v>
      </c>
      <c r="B708" s="24" t="s">
        <v>174</v>
      </c>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row>
    <row r="709" spans="1:52" ht="18" customHeight="1" x14ac:dyDescent="0.2">
      <c r="A709" s="3" t="str">
        <f t="shared" si="11"/>
        <v xml:space="preserve">                                                  </v>
      </c>
      <c r="B709" s="24" t="s">
        <v>174</v>
      </c>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row>
    <row r="710" spans="1:52" ht="18" customHeight="1" x14ac:dyDescent="0.2">
      <c r="A710" s="3" t="str">
        <f t="shared" si="11"/>
        <v xml:space="preserve">                                                  </v>
      </c>
      <c r="B710" s="24" t="s">
        <v>174</v>
      </c>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row>
    <row r="711" spans="1:52" ht="18" customHeight="1" x14ac:dyDescent="0.2">
      <c r="A711" s="3" t="str">
        <f t="shared" si="11"/>
        <v xml:space="preserve">                                                  </v>
      </c>
      <c r="B711" s="24" t="s">
        <v>174</v>
      </c>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row>
    <row r="712" spans="1:52" ht="18" customHeight="1" x14ac:dyDescent="0.2">
      <c r="A712" s="3" t="str">
        <f t="shared" si="11"/>
        <v xml:space="preserve">                                                  </v>
      </c>
      <c r="B712" s="24" t="s">
        <v>174</v>
      </c>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row>
    <row r="713" spans="1:52" ht="18" customHeight="1" x14ac:dyDescent="0.2">
      <c r="A713" s="3" t="str">
        <f t="shared" si="11"/>
        <v xml:space="preserve">                                                  </v>
      </c>
      <c r="B713" s="24" t="s">
        <v>174</v>
      </c>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row>
    <row r="714" spans="1:52" ht="18" customHeight="1" x14ac:dyDescent="0.2">
      <c r="A714" s="3" t="str">
        <f t="shared" si="11"/>
        <v xml:space="preserve">                                                  </v>
      </c>
      <c r="B714" s="24" t="s">
        <v>174</v>
      </c>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row>
    <row r="715" spans="1:52" ht="18" customHeight="1" x14ac:dyDescent="0.2">
      <c r="A715" s="3" t="str">
        <f t="shared" si="11"/>
        <v xml:space="preserve">                                                  </v>
      </c>
      <c r="B715" s="24" t="s">
        <v>174</v>
      </c>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row>
    <row r="716" spans="1:52" ht="18" customHeight="1" x14ac:dyDescent="0.2">
      <c r="A716" s="3" t="str">
        <f t="shared" si="11"/>
        <v xml:space="preserve">                                                  </v>
      </c>
      <c r="B716" s="24" t="s">
        <v>174</v>
      </c>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row>
    <row r="717" spans="1:52" ht="18" customHeight="1" x14ac:dyDescent="0.2">
      <c r="A717" s="3" t="str">
        <f t="shared" si="11"/>
        <v xml:space="preserve">                                                  </v>
      </c>
      <c r="B717" s="24" t="s">
        <v>174</v>
      </c>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row>
    <row r="718" spans="1:52" ht="18" customHeight="1" x14ac:dyDescent="0.2">
      <c r="A718" s="3" t="str">
        <f t="shared" si="11"/>
        <v xml:space="preserve">                                                  </v>
      </c>
      <c r="B718" s="24" t="s">
        <v>174</v>
      </c>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row>
    <row r="719" spans="1:52" ht="18" customHeight="1" x14ac:dyDescent="0.2">
      <c r="A719" s="3" t="str">
        <f t="shared" si="11"/>
        <v xml:space="preserve">                                                  </v>
      </c>
      <c r="B719" s="24" t="s">
        <v>174</v>
      </c>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row>
    <row r="720" spans="1:52" ht="18" customHeight="1" x14ac:dyDescent="0.2">
      <c r="A720" s="3" t="str">
        <f t="shared" si="11"/>
        <v xml:space="preserve">                                                  </v>
      </c>
      <c r="B720" s="24" t="s">
        <v>174</v>
      </c>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row>
    <row r="721" spans="1:52" ht="18" customHeight="1" x14ac:dyDescent="0.2">
      <c r="A721" s="3" t="str">
        <f t="shared" si="11"/>
        <v xml:space="preserve">                                                  </v>
      </c>
      <c r="B721" s="24" t="s">
        <v>174</v>
      </c>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row>
    <row r="722" spans="1:52" ht="18" customHeight="1" x14ac:dyDescent="0.2">
      <c r="A722" s="3" t="str">
        <f t="shared" si="11"/>
        <v xml:space="preserve">                                                  </v>
      </c>
      <c r="B722" s="24" t="s">
        <v>174</v>
      </c>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row>
    <row r="723" spans="1:52" ht="18" customHeight="1" x14ac:dyDescent="0.2">
      <c r="A723" s="3" t="str">
        <f t="shared" si="11"/>
        <v xml:space="preserve">                                                  </v>
      </c>
      <c r="B723" s="24" t="s">
        <v>174</v>
      </c>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row>
    <row r="724" spans="1:52" ht="18" customHeight="1" x14ac:dyDescent="0.2">
      <c r="A724" s="3" t="str">
        <f t="shared" si="11"/>
        <v xml:space="preserve">                                                  </v>
      </c>
      <c r="B724" s="24" t="s">
        <v>174</v>
      </c>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row>
    <row r="725" spans="1:52" ht="18" customHeight="1" x14ac:dyDescent="0.2">
      <c r="A725" s="3" t="str">
        <f t="shared" si="11"/>
        <v xml:space="preserve">                                                  </v>
      </c>
      <c r="B725" s="24" t="s">
        <v>174</v>
      </c>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row>
    <row r="726" spans="1:52" ht="18" customHeight="1" x14ac:dyDescent="0.2">
      <c r="A726" s="3" t="str">
        <f t="shared" si="11"/>
        <v xml:space="preserve">                                                  </v>
      </c>
      <c r="B726" s="24" t="s">
        <v>174</v>
      </c>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row>
    <row r="727" spans="1:52" ht="18" customHeight="1" x14ac:dyDescent="0.2">
      <c r="A727" s="3" t="str">
        <f t="shared" si="11"/>
        <v xml:space="preserve">                                                  </v>
      </c>
      <c r="B727" s="24" t="s">
        <v>174</v>
      </c>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row>
    <row r="728" spans="1:52" ht="18" customHeight="1" x14ac:dyDescent="0.2">
      <c r="A728" s="3" t="str">
        <f t="shared" si="11"/>
        <v xml:space="preserve">                                                  </v>
      </c>
      <c r="B728" s="24" t="s">
        <v>174</v>
      </c>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row>
    <row r="729" spans="1:52" ht="18" customHeight="1" x14ac:dyDescent="0.2">
      <c r="A729" s="3" t="str">
        <f t="shared" si="11"/>
        <v xml:space="preserve">                                                  </v>
      </c>
      <c r="B729" s="24" t="s">
        <v>174</v>
      </c>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row>
    <row r="730" spans="1:52" ht="18" customHeight="1" x14ac:dyDescent="0.2">
      <c r="A730" s="3" t="str">
        <f t="shared" si="11"/>
        <v xml:space="preserve">                                                  </v>
      </c>
      <c r="B730" s="24" t="s">
        <v>174</v>
      </c>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row>
    <row r="731" spans="1:52" ht="18" customHeight="1" x14ac:dyDescent="0.2">
      <c r="A731" s="3" t="str">
        <f t="shared" si="11"/>
        <v xml:space="preserve">                                                  </v>
      </c>
      <c r="B731" s="24" t="s">
        <v>174</v>
      </c>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row>
    <row r="732" spans="1:52" ht="18" customHeight="1" x14ac:dyDescent="0.2">
      <c r="A732" s="3" t="str">
        <f t="shared" si="11"/>
        <v xml:space="preserve">                                                  </v>
      </c>
      <c r="B732" s="24" t="s">
        <v>174</v>
      </c>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row>
    <row r="733" spans="1:52" ht="18" customHeight="1" x14ac:dyDescent="0.2">
      <c r="A733" s="3" t="str">
        <f t="shared" si="11"/>
        <v xml:space="preserve">                                                  </v>
      </c>
      <c r="B733" s="24" t="s">
        <v>174</v>
      </c>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row>
    <row r="734" spans="1:52" ht="18" customHeight="1" x14ac:dyDescent="0.2">
      <c r="A734" s="3" t="str">
        <f t="shared" si="11"/>
        <v xml:space="preserve">                                                  </v>
      </c>
      <c r="B734" s="24" t="s">
        <v>174</v>
      </c>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row>
    <row r="735" spans="1:52" ht="18" customHeight="1" x14ac:dyDescent="0.2">
      <c r="A735" s="3" t="str">
        <f t="shared" si="11"/>
        <v xml:space="preserve">                                                  </v>
      </c>
      <c r="B735" s="24" t="s">
        <v>174</v>
      </c>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row>
    <row r="736" spans="1:52" ht="18" customHeight="1" x14ac:dyDescent="0.2">
      <c r="A736" s="3" t="str">
        <f t="shared" si="11"/>
        <v xml:space="preserve">                                                  </v>
      </c>
      <c r="B736" s="24" t="s">
        <v>174</v>
      </c>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row>
    <row r="737" spans="1:52" ht="18" customHeight="1" x14ac:dyDescent="0.2">
      <c r="A737" s="3" t="str">
        <f t="shared" si="11"/>
        <v xml:space="preserve">                                                  </v>
      </c>
      <c r="B737" s="24" t="s">
        <v>174</v>
      </c>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row>
    <row r="738" spans="1:52" ht="18" customHeight="1" x14ac:dyDescent="0.2">
      <c r="A738" s="3" t="str">
        <f t="shared" si="11"/>
        <v xml:space="preserve">                                                  </v>
      </c>
      <c r="B738" s="24" t="s">
        <v>174</v>
      </c>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row>
    <row r="739" spans="1:52" ht="18" customHeight="1" x14ac:dyDescent="0.2">
      <c r="A739" s="3" t="str">
        <f t="shared" si="11"/>
        <v xml:space="preserve">                                                  </v>
      </c>
      <c r="B739" s="24" t="s">
        <v>174</v>
      </c>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row>
    <row r="740" spans="1:52" ht="18" customHeight="1" x14ac:dyDescent="0.2">
      <c r="A740" s="3" t="str">
        <f t="shared" si="11"/>
        <v xml:space="preserve">                                                  </v>
      </c>
      <c r="B740" s="24" t="s">
        <v>174</v>
      </c>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row>
    <row r="741" spans="1:52" ht="18" customHeight="1" x14ac:dyDescent="0.2">
      <c r="A741" s="3" t="str">
        <f t="shared" si="11"/>
        <v xml:space="preserve">                                                  </v>
      </c>
      <c r="B741" s="24" t="s">
        <v>174</v>
      </c>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row>
    <row r="742" spans="1:52" ht="18" customHeight="1" x14ac:dyDescent="0.2">
      <c r="A742" s="3" t="str">
        <f t="shared" si="11"/>
        <v xml:space="preserve">                                                  </v>
      </c>
      <c r="B742" s="24" t="s">
        <v>174</v>
      </c>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row>
    <row r="743" spans="1:52" ht="18" customHeight="1" x14ac:dyDescent="0.2">
      <c r="A743" s="3" t="str">
        <f t="shared" si="11"/>
        <v xml:space="preserve">                                                  </v>
      </c>
      <c r="B743" s="24" t="s">
        <v>174</v>
      </c>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row>
    <row r="744" spans="1:52" ht="18" customHeight="1" x14ac:dyDescent="0.2">
      <c r="A744" s="3" t="str">
        <f t="shared" si="11"/>
        <v xml:space="preserve">                                                  </v>
      </c>
      <c r="B744" s="24" t="s">
        <v>174</v>
      </c>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row>
    <row r="745" spans="1:52" ht="18" customHeight="1" x14ac:dyDescent="0.2">
      <c r="A745" s="3" t="str">
        <f t="shared" si="11"/>
        <v xml:space="preserve">                                                  </v>
      </c>
      <c r="B745" s="24" t="s">
        <v>174</v>
      </c>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row>
    <row r="746" spans="1:52" ht="18" customHeight="1" x14ac:dyDescent="0.2">
      <c r="A746" s="3" t="str">
        <f t="shared" si="11"/>
        <v xml:space="preserve">                                                  </v>
      </c>
      <c r="B746" s="24" t="s">
        <v>174</v>
      </c>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row>
    <row r="747" spans="1:52" ht="18" customHeight="1" x14ac:dyDescent="0.2">
      <c r="A747" s="3" t="str">
        <f t="shared" si="11"/>
        <v xml:space="preserve">                                                  </v>
      </c>
      <c r="B747" s="24" t="s">
        <v>174</v>
      </c>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row>
    <row r="748" spans="1:52" ht="18" customHeight="1" x14ac:dyDescent="0.2">
      <c r="A748" s="3" t="str">
        <f t="shared" si="11"/>
        <v xml:space="preserve">                                                  </v>
      </c>
      <c r="B748" s="24" t="s">
        <v>174</v>
      </c>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row>
    <row r="749" spans="1:52" ht="18" customHeight="1" x14ac:dyDescent="0.2">
      <c r="A749" s="3" t="str">
        <f t="shared" si="11"/>
        <v xml:space="preserve">                                                  </v>
      </c>
      <c r="B749" s="24" t="s">
        <v>174</v>
      </c>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row>
    <row r="750" spans="1:52" ht="18" customHeight="1" x14ac:dyDescent="0.2">
      <c r="A750" s="3" t="str">
        <f t="shared" si="11"/>
        <v xml:space="preserve">                                                  </v>
      </c>
      <c r="B750" s="24" t="s">
        <v>174</v>
      </c>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row>
    <row r="751" spans="1:52" ht="18" customHeight="1" x14ac:dyDescent="0.2">
      <c r="A751" s="3" t="str">
        <f t="shared" si="11"/>
        <v xml:space="preserve">                                                  </v>
      </c>
      <c r="B751" s="24" t="s">
        <v>174</v>
      </c>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row>
    <row r="752" spans="1:52" ht="18" customHeight="1" x14ac:dyDescent="0.2">
      <c r="A752" s="3" t="str">
        <f t="shared" si="11"/>
        <v xml:space="preserve">                                                  </v>
      </c>
      <c r="B752" s="24" t="s">
        <v>174</v>
      </c>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row>
    <row r="753" spans="1:52" ht="18" customHeight="1" x14ac:dyDescent="0.2">
      <c r="A753" s="3" t="str">
        <f t="shared" si="11"/>
        <v xml:space="preserve">                                                  </v>
      </c>
      <c r="B753" s="24" t="s">
        <v>174</v>
      </c>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row>
    <row r="754" spans="1:52" ht="18" customHeight="1" x14ac:dyDescent="0.2">
      <c r="A754" s="3" t="str">
        <f t="shared" si="11"/>
        <v xml:space="preserve">                                                  </v>
      </c>
      <c r="B754" s="24" t="s">
        <v>174</v>
      </c>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row>
    <row r="755" spans="1:52" ht="18" customHeight="1" x14ac:dyDescent="0.2">
      <c r="A755" s="3" t="str">
        <f t="shared" si="11"/>
        <v xml:space="preserve">                                                  </v>
      </c>
      <c r="B755" s="24" t="s">
        <v>174</v>
      </c>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row>
    <row r="756" spans="1:52" ht="18" customHeight="1" x14ac:dyDescent="0.2">
      <c r="A756" s="3" t="str">
        <f t="shared" si="11"/>
        <v xml:space="preserve">                                                  </v>
      </c>
      <c r="B756" s="24" t="s">
        <v>174</v>
      </c>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row>
    <row r="757" spans="1:52" ht="18" customHeight="1" x14ac:dyDescent="0.2">
      <c r="A757" s="3" t="str">
        <f t="shared" si="11"/>
        <v xml:space="preserve">                                                  </v>
      </c>
      <c r="B757" s="24" t="s">
        <v>174</v>
      </c>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row>
    <row r="758" spans="1:52" ht="18" customHeight="1" x14ac:dyDescent="0.2">
      <c r="A758" s="3" t="str">
        <f t="shared" si="11"/>
        <v xml:space="preserve">                                                  </v>
      </c>
      <c r="B758" s="24" t="s">
        <v>174</v>
      </c>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row>
    <row r="759" spans="1:52" ht="18" customHeight="1" x14ac:dyDescent="0.2">
      <c r="A759" s="3" t="str">
        <f t="shared" si="11"/>
        <v xml:space="preserve">                                                  </v>
      </c>
      <c r="B759" s="24" t="s">
        <v>174</v>
      </c>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row>
    <row r="760" spans="1:52" ht="18" customHeight="1" x14ac:dyDescent="0.2">
      <c r="A760" s="3" t="str">
        <f t="shared" si="11"/>
        <v xml:space="preserve">                                                  </v>
      </c>
      <c r="B760" s="24" t="s">
        <v>174</v>
      </c>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row>
    <row r="761" spans="1:52" ht="18" customHeight="1" x14ac:dyDescent="0.2">
      <c r="A761" s="3" t="str">
        <f t="shared" si="11"/>
        <v xml:space="preserve">                                                  </v>
      </c>
      <c r="B761" s="24" t="s">
        <v>174</v>
      </c>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row>
    <row r="762" spans="1:52" ht="18" customHeight="1" x14ac:dyDescent="0.2">
      <c r="A762" s="3" t="str">
        <f t="shared" si="11"/>
        <v xml:space="preserve">                                                  </v>
      </c>
      <c r="B762" s="24" t="s">
        <v>174</v>
      </c>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row>
    <row r="763" spans="1:52" ht="18" customHeight="1" x14ac:dyDescent="0.2">
      <c r="A763" s="3" t="str">
        <f t="shared" si="11"/>
        <v xml:space="preserve">                                                  </v>
      </c>
      <c r="B763" s="24" t="s">
        <v>174</v>
      </c>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row>
    <row r="764" spans="1:52" ht="18" customHeight="1" x14ac:dyDescent="0.2">
      <c r="A764" s="3" t="str">
        <f t="shared" si="11"/>
        <v xml:space="preserve">                                                  </v>
      </c>
      <c r="B764" s="24" t="s">
        <v>174</v>
      </c>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row>
    <row r="765" spans="1:52" ht="18" customHeight="1" x14ac:dyDescent="0.2">
      <c r="A765" s="3" t="str">
        <f t="shared" si="11"/>
        <v xml:space="preserve">                                                  </v>
      </c>
      <c r="B765" s="24" t="s">
        <v>174</v>
      </c>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row>
    <row r="766" spans="1:52" ht="18" customHeight="1" x14ac:dyDescent="0.2">
      <c r="A766" s="3" t="str">
        <f t="shared" si="11"/>
        <v xml:space="preserve">                                                  </v>
      </c>
      <c r="B766" s="24" t="s">
        <v>174</v>
      </c>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row>
    <row r="767" spans="1:52" ht="18" customHeight="1" x14ac:dyDescent="0.2">
      <c r="A767" s="3" t="str">
        <f t="shared" si="11"/>
        <v xml:space="preserve">                                                  </v>
      </c>
      <c r="B767" s="24" t="s">
        <v>174</v>
      </c>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row>
    <row r="768" spans="1:52" ht="18" customHeight="1" x14ac:dyDescent="0.2">
      <c r="A768" s="3" t="str">
        <f t="shared" si="11"/>
        <v xml:space="preserve">                                                  </v>
      </c>
      <c r="B768" s="24" t="s">
        <v>174</v>
      </c>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row>
    <row r="769" spans="1:52" ht="18" customHeight="1" x14ac:dyDescent="0.2">
      <c r="A769" s="3" t="str">
        <f t="shared" si="11"/>
        <v xml:space="preserve">                                                  </v>
      </c>
      <c r="B769" s="24" t="s">
        <v>174</v>
      </c>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row>
    <row r="770" spans="1:52" ht="18" customHeight="1" x14ac:dyDescent="0.2">
      <c r="A770" s="3" t="str">
        <f t="shared" si="11"/>
        <v xml:space="preserve">                                                  </v>
      </c>
      <c r="B770" s="24" t="s">
        <v>174</v>
      </c>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row>
    <row r="771" spans="1:52" ht="18" customHeight="1" x14ac:dyDescent="0.2">
      <c r="A771" s="3" t="str">
        <f t="shared" si="11"/>
        <v xml:space="preserve">                                                  </v>
      </c>
      <c r="B771" s="24" t="s">
        <v>174</v>
      </c>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row>
    <row r="772" spans="1:52" ht="18" customHeight="1" x14ac:dyDescent="0.2">
      <c r="A772" s="3" t="str">
        <f t="shared" ref="A772:A835" si="12">CONCATENATE(C772," ",D772," ",E772," ",F772," ",G772," ",H772," ",I772," ",J772," ",K772," ",L772," ",M772," ",N772," ",O772," ",P772," ",Q772," ",R772," ",S772," ",T772," ",U772," ",V772," ",W772," ",X772," ",Y772," ",Z772," ",AA772," ",AB772," ",AC772," ",AD772," ",AE772," ",AF772," ",AG772," ",AH772," ",AI772," ",AJ772," ",AK772," ",AL772," ",AM772," ",AN772," ",AO772," ",AP772," ",AQ772," ",AR772," ",AS772," ",AT772," ",AU772," ",AV772," ",AW772," ",AX772," ",AY772," ",AZ772," ",
)</f>
        <v xml:space="preserve">                                                  </v>
      </c>
      <c r="B772" s="24" t="s">
        <v>174</v>
      </c>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row>
    <row r="773" spans="1:52" ht="18" customHeight="1" x14ac:dyDescent="0.2">
      <c r="A773" s="3" t="str">
        <f t="shared" si="12"/>
        <v xml:space="preserve">                                                  </v>
      </c>
      <c r="B773" s="24" t="s">
        <v>174</v>
      </c>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row>
    <row r="774" spans="1:52" ht="18" customHeight="1" x14ac:dyDescent="0.2">
      <c r="A774" s="3" t="str">
        <f t="shared" si="12"/>
        <v xml:space="preserve">                                                  </v>
      </c>
      <c r="B774" s="24" t="s">
        <v>174</v>
      </c>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row>
    <row r="775" spans="1:52" ht="18" customHeight="1" x14ac:dyDescent="0.2">
      <c r="A775" s="3" t="str">
        <f t="shared" si="12"/>
        <v xml:space="preserve">                                                  </v>
      </c>
      <c r="B775" s="24" t="s">
        <v>174</v>
      </c>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row>
    <row r="776" spans="1:52" ht="18" customHeight="1" x14ac:dyDescent="0.2">
      <c r="A776" s="3" t="str">
        <f t="shared" si="12"/>
        <v xml:space="preserve">                                                  </v>
      </c>
      <c r="B776" s="24" t="s">
        <v>174</v>
      </c>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row>
    <row r="777" spans="1:52" ht="18" customHeight="1" x14ac:dyDescent="0.2">
      <c r="A777" s="3" t="str">
        <f t="shared" si="12"/>
        <v xml:space="preserve">                                                  </v>
      </c>
      <c r="B777" s="24" t="s">
        <v>174</v>
      </c>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row>
    <row r="778" spans="1:52" ht="18" customHeight="1" x14ac:dyDescent="0.2">
      <c r="A778" s="3" t="str">
        <f t="shared" si="12"/>
        <v xml:space="preserve">                                                  </v>
      </c>
      <c r="B778" s="24" t="s">
        <v>174</v>
      </c>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row>
    <row r="779" spans="1:52" ht="18" customHeight="1" x14ac:dyDescent="0.2">
      <c r="A779" s="3" t="str">
        <f t="shared" si="12"/>
        <v xml:space="preserve">                                                  </v>
      </c>
      <c r="B779" s="24" t="s">
        <v>174</v>
      </c>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row>
    <row r="780" spans="1:52" ht="18" customHeight="1" x14ac:dyDescent="0.2">
      <c r="A780" s="3" t="str">
        <f t="shared" si="12"/>
        <v xml:space="preserve">                                                  </v>
      </c>
      <c r="B780" s="24" t="s">
        <v>174</v>
      </c>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row>
    <row r="781" spans="1:52" ht="18" customHeight="1" x14ac:dyDescent="0.2">
      <c r="A781" s="3" t="str">
        <f t="shared" si="12"/>
        <v xml:space="preserve">                                                  </v>
      </c>
      <c r="B781" s="24" t="s">
        <v>174</v>
      </c>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row>
    <row r="782" spans="1:52" ht="18" customHeight="1" x14ac:dyDescent="0.2">
      <c r="A782" s="3" t="str">
        <f t="shared" si="12"/>
        <v xml:space="preserve">                                                  </v>
      </c>
      <c r="B782" s="24" t="s">
        <v>174</v>
      </c>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row>
    <row r="783" spans="1:52" ht="18" customHeight="1" x14ac:dyDescent="0.2">
      <c r="A783" s="3" t="str">
        <f t="shared" si="12"/>
        <v xml:space="preserve">                                                  </v>
      </c>
      <c r="B783" s="24" t="s">
        <v>174</v>
      </c>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row>
    <row r="784" spans="1:52" ht="18" customHeight="1" x14ac:dyDescent="0.2">
      <c r="A784" s="3" t="str">
        <f t="shared" si="12"/>
        <v xml:space="preserve">                                                  </v>
      </c>
      <c r="B784" s="24" t="s">
        <v>174</v>
      </c>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row>
    <row r="785" spans="1:52" ht="18" customHeight="1" x14ac:dyDescent="0.2">
      <c r="A785" s="3" t="str">
        <f t="shared" si="12"/>
        <v xml:space="preserve">                                                  </v>
      </c>
      <c r="B785" s="24" t="s">
        <v>174</v>
      </c>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row>
    <row r="786" spans="1:52" ht="18" customHeight="1" x14ac:dyDescent="0.2">
      <c r="A786" s="3" t="str">
        <f t="shared" si="12"/>
        <v xml:space="preserve">                                                  </v>
      </c>
      <c r="B786" s="24" t="s">
        <v>174</v>
      </c>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row>
    <row r="787" spans="1:52" ht="18" customHeight="1" x14ac:dyDescent="0.2">
      <c r="A787" s="3" t="str">
        <f t="shared" si="12"/>
        <v xml:space="preserve">                                                  </v>
      </c>
      <c r="B787" s="24" t="s">
        <v>174</v>
      </c>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row>
    <row r="788" spans="1:52" ht="18" customHeight="1" x14ac:dyDescent="0.2">
      <c r="A788" s="3" t="str">
        <f t="shared" si="12"/>
        <v xml:space="preserve">                                                  </v>
      </c>
      <c r="B788" s="24" t="s">
        <v>174</v>
      </c>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row>
    <row r="789" spans="1:52" ht="18" customHeight="1" x14ac:dyDescent="0.2">
      <c r="A789" s="3" t="str">
        <f t="shared" si="12"/>
        <v xml:space="preserve">                                                  </v>
      </c>
      <c r="B789" s="24" t="s">
        <v>174</v>
      </c>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row>
    <row r="790" spans="1:52" ht="18" customHeight="1" x14ac:dyDescent="0.2">
      <c r="A790" s="3" t="str">
        <f t="shared" si="12"/>
        <v xml:space="preserve">                                                  </v>
      </c>
      <c r="B790" s="24" t="s">
        <v>174</v>
      </c>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row>
    <row r="791" spans="1:52" ht="18" customHeight="1" x14ac:dyDescent="0.2">
      <c r="A791" s="3" t="str">
        <f t="shared" si="12"/>
        <v xml:space="preserve">                                                  </v>
      </c>
      <c r="B791" s="24" t="s">
        <v>174</v>
      </c>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row>
    <row r="792" spans="1:52" ht="18" customHeight="1" x14ac:dyDescent="0.2">
      <c r="A792" s="3" t="str">
        <f t="shared" si="12"/>
        <v xml:space="preserve">                                                  </v>
      </c>
      <c r="B792" s="24" t="s">
        <v>174</v>
      </c>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row>
    <row r="793" spans="1:52" ht="18" customHeight="1" x14ac:dyDescent="0.2">
      <c r="A793" s="3" t="str">
        <f t="shared" si="12"/>
        <v xml:space="preserve">                                                  </v>
      </c>
      <c r="B793" s="24" t="s">
        <v>174</v>
      </c>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row>
    <row r="794" spans="1:52" ht="18" customHeight="1" x14ac:dyDescent="0.2">
      <c r="A794" s="3" t="str">
        <f t="shared" si="12"/>
        <v xml:space="preserve">                                                  </v>
      </c>
      <c r="B794" s="24" t="s">
        <v>174</v>
      </c>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row>
    <row r="795" spans="1:52" ht="18" customHeight="1" x14ac:dyDescent="0.2">
      <c r="A795" s="3" t="str">
        <f t="shared" si="12"/>
        <v xml:space="preserve">                                                  </v>
      </c>
      <c r="B795" s="24" t="s">
        <v>174</v>
      </c>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row>
    <row r="796" spans="1:52" ht="18" customHeight="1" x14ac:dyDescent="0.2">
      <c r="A796" s="3" t="str">
        <f t="shared" si="12"/>
        <v xml:space="preserve">                                                  </v>
      </c>
      <c r="B796" s="24" t="s">
        <v>174</v>
      </c>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row>
    <row r="797" spans="1:52" ht="18" customHeight="1" x14ac:dyDescent="0.2">
      <c r="A797" s="3" t="str">
        <f t="shared" si="12"/>
        <v xml:space="preserve">                                                  </v>
      </c>
      <c r="B797" s="24" t="s">
        <v>174</v>
      </c>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row>
    <row r="798" spans="1:52" ht="18" customHeight="1" x14ac:dyDescent="0.2">
      <c r="A798" s="3" t="str">
        <f t="shared" si="12"/>
        <v xml:space="preserve">                                                  </v>
      </c>
      <c r="B798" s="24" t="s">
        <v>174</v>
      </c>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row>
    <row r="799" spans="1:52" ht="18" customHeight="1" x14ac:dyDescent="0.2">
      <c r="A799" s="3" t="str">
        <f t="shared" si="12"/>
        <v xml:space="preserve">                                                  </v>
      </c>
      <c r="B799" s="24" t="s">
        <v>174</v>
      </c>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row>
    <row r="800" spans="1:52" ht="18" customHeight="1" x14ac:dyDescent="0.2">
      <c r="A800" s="3" t="str">
        <f t="shared" si="12"/>
        <v xml:space="preserve">                                                  </v>
      </c>
      <c r="B800" s="24" t="s">
        <v>174</v>
      </c>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row>
    <row r="801" spans="1:52" ht="18" customHeight="1" x14ac:dyDescent="0.2">
      <c r="A801" s="3" t="str">
        <f t="shared" si="12"/>
        <v xml:space="preserve">                                                  </v>
      </c>
      <c r="B801" s="24" t="s">
        <v>174</v>
      </c>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row>
    <row r="802" spans="1:52" ht="18" customHeight="1" x14ac:dyDescent="0.2">
      <c r="A802" s="3" t="str">
        <f t="shared" si="12"/>
        <v xml:space="preserve">                                                  </v>
      </c>
      <c r="B802" s="24" t="s">
        <v>174</v>
      </c>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row>
    <row r="803" spans="1:52" ht="18" customHeight="1" x14ac:dyDescent="0.2">
      <c r="A803" s="3" t="str">
        <f t="shared" si="12"/>
        <v xml:space="preserve">                                                  </v>
      </c>
      <c r="B803" s="24" t="s">
        <v>174</v>
      </c>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row>
    <row r="804" spans="1:52" ht="18" customHeight="1" x14ac:dyDescent="0.2">
      <c r="A804" s="3" t="str">
        <f t="shared" si="12"/>
        <v xml:space="preserve">                                                  </v>
      </c>
      <c r="B804" s="24" t="s">
        <v>174</v>
      </c>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row>
    <row r="805" spans="1:52" ht="18" customHeight="1" x14ac:dyDescent="0.2">
      <c r="A805" s="3" t="str">
        <f t="shared" si="12"/>
        <v xml:space="preserve">                                                  </v>
      </c>
      <c r="B805" s="24" t="s">
        <v>174</v>
      </c>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row>
    <row r="806" spans="1:52" ht="18" customHeight="1" x14ac:dyDescent="0.2">
      <c r="A806" s="3" t="str">
        <f t="shared" si="12"/>
        <v xml:space="preserve">                                                  </v>
      </c>
      <c r="B806" s="24" t="s">
        <v>174</v>
      </c>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row>
    <row r="807" spans="1:52" ht="18" customHeight="1" x14ac:dyDescent="0.2">
      <c r="A807" s="3" t="str">
        <f t="shared" si="12"/>
        <v xml:space="preserve">                                                  </v>
      </c>
      <c r="B807" s="24" t="s">
        <v>174</v>
      </c>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row>
    <row r="808" spans="1:52" ht="18" customHeight="1" x14ac:dyDescent="0.2">
      <c r="A808" s="3" t="str">
        <f t="shared" si="12"/>
        <v xml:space="preserve">                                                  </v>
      </c>
      <c r="B808" s="24" t="s">
        <v>174</v>
      </c>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row>
    <row r="809" spans="1:52" ht="18" customHeight="1" x14ac:dyDescent="0.2">
      <c r="A809" s="3" t="str">
        <f t="shared" si="12"/>
        <v xml:space="preserve">                                                  </v>
      </c>
      <c r="B809" s="24" t="s">
        <v>174</v>
      </c>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row>
    <row r="810" spans="1:52" ht="18" customHeight="1" x14ac:dyDescent="0.2">
      <c r="A810" s="3" t="str">
        <f t="shared" si="12"/>
        <v xml:space="preserve">                                                  </v>
      </c>
      <c r="B810" s="24" t="s">
        <v>174</v>
      </c>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row>
    <row r="811" spans="1:52" ht="18" customHeight="1" x14ac:dyDescent="0.2">
      <c r="A811" s="3" t="str">
        <f t="shared" si="12"/>
        <v xml:space="preserve">                                                  </v>
      </c>
      <c r="B811" s="24" t="s">
        <v>174</v>
      </c>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row>
    <row r="812" spans="1:52" ht="18" customHeight="1" x14ac:dyDescent="0.2">
      <c r="A812" s="3" t="str">
        <f t="shared" si="12"/>
        <v xml:space="preserve">                                                  </v>
      </c>
      <c r="B812" s="24" t="s">
        <v>174</v>
      </c>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row>
    <row r="813" spans="1:52" ht="18" customHeight="1" x14ac:dyDescent="0.2">
      <c r="A813" s="3" t="str">
        <f t="shared" si="12"/>
        <v xml:space="preserve">                                                  </v>
      </c>
      <c r="B813" s="24" t="s">
        <v>174</v>
      </c>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row>
    <row r="814" spans="1:52" ht="18" customHeight="1" x14ac:dyDescent="0.2">
      <c r="A814" s="3" t="str">
        <f t="shared" si="12"/>
        <v xml:space="preserve">                                                  </v>
      </c>
      <c r="B814" s="24" t="s">
        <v>174</v>
      </c>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row>
    <row r="815" spans="1:52" ht="18" customHeight="1" x14ac:dyDescent="0.2">
      <c r="A815" s="3" t="str">
        <f t="shared" si="12"/>
        <v xml:space="preserve">                                                  </v>
      </c>
      <c r="B815" s="24" t="s">
        <v>174</v>
      </c>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row>
    <row r="816" spans="1:52" ht="18" customHeight="1" x14ac:dyDescent="0.2">
      <c r="A816" s="3" t="str">
        <f t="shared" si="12"/>
        <v xml:space="preserve">                                                  </v>
      </c>
      <c r="B816" s="24" t="s">
        <v>174</v>
      </c>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row>
    <row r="817" spans="1:52" ht="18" customHeight="1" x14ac:dyDescent="0.2">
      <c r="A817" s="3" t="str">
        <f t="shared" si="12"/>
        <v xml:space="preserve">                                                  </v>
      </c>
      <c r="B817" s="24" t="s">
        <v>174</v>
      </c>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row>
    <row r="818" spans="1:52" ht="18" customHeight="1" x14ac:dyDescent="0.2">
      <c r="A818" s="3" t="str">
        <f t="shared" si="12"/>
        <v xml:space="preserve">                                                  </v>
      </c>
      <c r="B818" s="24" t="s">
        <v>174</v>
      </c>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row>
    <row r="819" spans="1:52" ht="18" customHeight="1" x14ac:dyDescent="0.2">
      <c r="A819" s="3" t="str">
        <f t="shared" si="12"/>
        <v xml:space="preserve">                                                  </v>
      </c>
      <c r="B819" s="24" t="s">
        <v>174</v>
      </c>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row>
    <row r="820" spans="1:52" ht="18" customHeight="1" x14ac:dyDescent="0.2">
      <c r="A820" s="3" t="str">
        <f t="shared" si="12"/>
        <v xml:space="preserve">                                                  </v>
      </c>
      <c r="B820" s="24" t="s">
        <v>174</v>
      </c>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row>
    <row r="821" spans="1:52" ht="18" customHeight="1" x14ac:dyDescent="0.2">
      <c r="A821" s="3" t="str">
        <f t="shared" si="12"/>
        <v xml:space="preserve">                                                  </v>
      </c>
      <c r="B821" s="24" t="s">
        <v>174</v>
      </c>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row>
    <row r="822" spans="1:52" ht="18" customHeight="1" x14ac:dyDescent="0.2">
      <c r="A822" s="3" t="str">
        <f t="shared" si="12"/>
        <v xml:space="preserve">                                                  </v>
      </c>
      <c r="B822" s="24" t="s">
        <v>174</v>
      </c>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row>
    <row r="823" spans="1:52" ht="18" customHeight="1" x14ac:dyDescent="0.2">
      <c r="A823" s="3" t="str">
        <f t="shared" si="12"/>
        <v xml:space="preserve">                                                  </v>
      </c>
      <c r="B823" s="24" t="s">
        <v>174</v>
      </c>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row>
    <row r="824" spans="1:52" ht="18" customHeight="1" x14ac:dyDescent="0.2">
      <c r="A824" s="3" t="str">
        <f t="shared" si="12"/>
        <v xml:space="preserve">                                                  </v>
      </c>
      <c r="B824" s="24" t="s">
        <v>174</v>
      </c>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row>
    <row r="825" spans="1:52" ht="18" customHeight="1" x14ac:dyDescent="0.2">
      <c r="A825" s="3" t="str">
        <f t="shared" si="12"/>
        <v xml:space="preserve">                                                  </v>
      </c>
      <c r="B825" s="24" t="s">
        <v>174</v>
      </c>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row>
    <row r="826" spans="1:52" ht="18" customHeight="1" x14ac:dyDescent="0.2">
      <c r="A826" s="3" t="str">
        <f t="shared" si="12"/>
        <v xml:space="preserve">                                                  </v>
      </c>
      <c r="B826" s="24" t="s">
        <v>174</v>
      </c>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row>
    <row r="827" spans="1:52" ht="18" customHeight="1" x14ac:dyDescent="0.2">
      <c r="A827" s="3" t="str">
        <f t="shared" si="12"/>
        <v xml:space="preserve">                                                  </v>
      </c>
      <c r="B827" s="24" t="s">
        <v>174</v>
      </c>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row>
    <row r="828" spans="1:52" ht="18" customHeight="1" x14ac:dyDescent="0.2">
      <c r="A828" s="3" t="str">
        <f t="shared" si="12"/>
        <v xml:space="preserve">                                                  </v>
      </c>
      <c r="B828" s="24" t="s">
        <v>174</v>
      </c>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row>
    <row r="829" spans="1:52" ht="18" customHeight="1" x14ac:dyDescent="0.2">
      <c r="A829" s="3" t="str">
        <f t="shared" si="12"/>
        <v xml:space="preserve">                                                  </v>
      </c>
      <c r="B829" s="24" t="s">
        <v>174</v>
      </c>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row>
    <row r="830" spans="1:52" ht="18" customHeight="1" x14ac:dyDescent="0.2">
      <c r="A830" s="3" t="str">
        <f t="shared" si="12"/>
        <v xml:space="preserve">                                                  </v>
      </c>
      <c r="B830" s="24" t="s">
        <v>174</v>
      </c>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row>
    <row r="831" spans="1:52" ht="18" customHeight="1" x14ac:dyDescent="0.2">
      <c r="A831" s="3" t="str">
        <f t="shared" si="12"/>
        <v xml:space="preserve">                                                  </v>
      </c>
      <c r="B831" s="24" t="s">
        <v>174</v>
      </c>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row>
    <row r="832" spans="1:52" ht="18" customHeight="1" x14ac:dyDescent="0.2">
      <c r="A832" s="3" t="str">
        <f t="shared" si="12"/>
        <v xml:space="preserve">                                                  </v>
      </c>
      <c r="B832" s="24" t="s">
        <v>174</v>
      </c>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row>
    <row r="833" spans="1:52" ht="18" customHeight="1" x14ac:dyDescent="0.2">
      <c r="A833" s="3" t="str">
        <f t="shared" si="12"/>
        <v xml:space="preserve">                                                  </v>
      </c>
      <c r="B833" s="24" t="s">
        <v>174</v>
      </c>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row>
    <row r="834" spans="1:52" ht="18" customHeight="1" x14ac:dyDescent="0.2">
      <c r="A834" s="3" t="str">
        <f t="shared" si="12"/>
        <v xml:space="preserve">                                                  </v>
      </c>
      <c r="B834" s="24" t="s">
        <v>174</v>
      </c>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row>
    <row r="835" spans="1:52" ht="18" customHeight="1" x14ac:dyDescent="0.2">
      <c r="A835" s="3" t="str">
        <f t="shared" si="12"/>
        <v xml:space="preserve">                                                  </v>
      </c>
      <c r="B835" s="24" t="s">
        <v>174</v>
      </c>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row>
    <row r="836" spans="1:52" ht="18" customHeight="1" x14ac:dyDescent="0.2">
      <c r="A836" s="3" t="str">
        <f t="shared" ref="A836:A899" si="13">CONCATENATE(C836," ",D836," ",E836," ",F836," ",G836," ",H836," ",I836," ",J836," ",K836," ",L836," ",M836," ",N836," ",O836," ",P836," ",Q836," ",R836," ",S836," ",T836," ",U836," ",V836," ",W836," ",X836," ",Y836," ",Z836," ",AA836," ",AB836," ",AC836," ",AD836," ",AE836," ",AF836," ",AG836," ",AH836," ",AI836," ",AJ836," ",AK836," ",AL836," ",AM836," ",AN836," ",AO836," ",AP836," ",AQ836," ",AR836," ",AS836," ",AT836," ",AU836," ",AV836," ",AW836," ",AX836," ",AY836," ",AZ836," ",
)</f>
        <v xml:space="preserve">                                                  </v>
      </c>
      <c r="B836" s="24" t="s">
        <v>174</v>
      </c>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row>
    <row r="837" spans="1:52" ht="18" customHeight="1" x14ac:dyDescent="0.2">
      <c r="A837" s="3" t="str">
        <f t="shared" si="13"/>
        <v xml:space="preserve">                                                  </v>
      </c>
      <c r="B837" s="24" t="s">
        <v>174</v>
      </c>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row>
    <row r="838" spans="1:52" ht="18" customHeight="1" x14ac:dyDescent="0.2">
      <c r="A838" s="3" t="str">
        <f t="shared" si="13"/>
        <v xml:space="preserve">                                                  </v>
      </c>
      <c r="B838" s="24" t="s">
        <v>174</v>
      </c>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row>
    <row r="839" spans="1:52" ht="18" customHeight="1" x14ac:dyDescent="0.2">
      <c r="A839" s="3" t="str">
        <f t="shared" si="13"/>
        <v xml:space="preserve">                                                  </v>
      </c>
      <c r="B839" s="24" t="s">
        <v>174</v>
      </c>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row>
    <row r="840" spans="1:52" ht="18" customHeight="1" x14ac:dyDescent="0.2">
      <c r="A840" s="3" t="str">
        <f t="shared" si="13"/>
        <v xml:space="preserve">                                                  </v>
      </c>
      <c r="B840" s="24" t="s">
        <v>174</v>
      </c>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row>
    <row r="841" spans="1:52" ht="18" customHeight="1" x14ac:dyDescent="0.2">
      <c r="A841" s="3" t="str">
        <f t="shared" si="13"/>
        <v xml:space="preserve">                                                  </v>
      </c>
      <c r="B841" s="24" t="s">
        <v>174</v>
      </c>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row>
    <row r="842" spans="1:52" ht="18" customHeight="1" x14ac:dyDescent="0.2">
      <c r="A842" s="3" t="str">
        <f t="shared" si="13"/>
        <v xml:space="preserve">                                                  </v>
      </c>
      <c r="B842" s="24" t="s">
        <v>174</v>
      </c>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row>
    <row r="843" spans="1:52" ht="18" customHeight="1" x14ac:dyDescent="0.2">
      <c r="A843" s="3" t="str">
        <f t="shared" si="13"/>
        <v xml:space="preserve">                                                  </v>
      </c>
      <c r="B843" s="24" t="s">
        <v>174</v>
      </c>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row>
    <row r="844" spans="1:52" ht="18" customHeight="1" x14ac:dyDescent="0.2">
      <c r="A844" s="3" t="str">
        <f t="shared" si="13"/>
        <v xml:space="preserve">                                                  </v>
      </c>
      <c r="B844" s="24" t="s">
        <v>174</v>
      </c>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row>
    <row r="845" spans="1:52" ht="18" customHeight="1" x14ac:dyDescent="0.2">
      <c r="A845" s="3" t="str">
        <f t="shared" si="13"/>
        <v xml:space="preserve">                                                  </v>
      </c>
      <c r="B845" s="24" t="s">
        <v>174</v>
      </c>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row>
    <row r="846" spans="1:52" ht="18" customHeight="1" x14ac:dyDescent="0.2">
      <c r="A846" s="3" t="str">
        <f t="shared" si="13"/>
        <v xml:space="preserve">                                                  </v>
      </c>
      <c r="B846" s="24" t="s">
        <v>174</v>
      </c>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row>
    <row r="847" spans="1:52" ht="18" customHeight="1" x14ac:dyDescent="0.2">
      <c r="A847" s="3" t="str">
        <f t="shared" si="13"/>
        <v xml:space="preserve">                                                  </v>
      </c>
      <c r="B847" s="24" t="s">
        <v>174</v>
      </c>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row>
    <row r="848" spans="1:52" ht="18" customHeight="1" x14ac:dyDescent="0.2">
      <c r="A848" s="3" t="str">
        <f t="shared" si="13"/>
        <v xml:space="preserve">                                                  </v>
      </c>
      <c r="B848" s="24" t="s">
        <v>174</v>
      </c>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row>
    <row r="849" spans="1:52" ht="18" customHeight="1" x14ac:dyDescent="0.2">
      <c r="A849" s="3" t="str">
        <f t="shared" si="13"/>
        <v xml:space="preserve">                                                  </v>
      </c>
      <c r="B849" s="24" t="s">
        <v>174</v>
      </c>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row>
    <row r="850" spans="1:52" ht="18" customHeight="1" x14ac:dyDescent="0.2">
      <c r="A850" s="3" t="str">
        <f t="shared" si="13"/>
        <v xml:space="preserve">                                                  </v>
      </c>
      <c r="B850" s="24" t="s">
        <v>174</v>
      </c>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row>
    <row r="851" spans="1:52" ht="18" customHeight="1" x14ac:dyDescent="0.2">
      <c r="A851" s="3" t="str">
        <f t="shared" si="13"/>
        <v xml:space="preserve">                                                  </v>
      </c>
      <c r="B851" s="24" t="s">
        <v>174</v>
      </c>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row>
    <row r="852" spans="1:52" ht="18" customHeight="1" x14ac:dyDescent="0.2">
      <c r="A852" s="3" t="str">
        <f t="shared" si="13"/>
        <v xml:space="preserve">                                                  </v>
      </c>
      <c r="B852" s="24" t="s">
        <v>174</v>
      </c>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row>
    <row r="853" spans="1:52" ht="18" customHeight="1" x14ac:dyDescent="0.2">
      <c r="A853" s="3" t="str">
        <f t="shared" si="13"/>
        <v xml:space="preserve">                                                  </v>
      </c>
      <c r="B853" s="24" t="s">
        <v>174</v>
      </c>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row>
    <row r="854" spans="1:52" ht="18" customHeight="1" x14ac:dyDescent="0.2">
      <c r="A854" s="3" t="str">
        <f t="shared" si="13"/>
        <v xml:space="preserve">                                                  </v>
      </c>
      <c r="B854" s="24" t="s">
        <v>174</v>
      </c>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row>
    <row r="855" spans="1:52" ht="18" customHeight="1" x14ac:dyDescent="0.2">
      <c r="A855" s="3" t="str">
        <f t="shared" si="13"/>
        <v xml:space="preserve">                                                  </v>
      </c>
      <c r="B855" s="24" t="s">
        <v>174</v>
      </c>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row>
    <row r="856" spans="1:52" ht="18" customHeight="1" x14ac:dyDescent="0.2">
      <c r="A856" s="3" t="str">
        <f t="shared" si="13"/>
        <v xml:space="preserve">                                                  </v>
      </c>
      <c r="B856" s="24" t="s">
        <v>174</v>
      </c>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row>
    <row r="857" spans="1:52" ht="18" customHeight="1" x14ac:dyDescent="0.2">
      <c r="A857" s="3" t="str">
        <f t="shared" si="13"/>
        <v xml:space="preserve">                                                  </v>
      </c>
      <c r="B857" s="24" t="s">
        <v>174</v>
      </c>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row>
    <row r="858" spans="1:52" ht="18" customHeight="1" x14ac:dyDescent="0.2">
      <c r="A858" s="3" t="str">
        <f t="shared" si="13"/>
        <v xml:space="preserve">                                                  </v>
      </c>
      <c r="B858" s="24" t="s">
        <v>174</v>
      </c>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row>
    <row r="859" spans="1:52" ht="18" customHeight="1" x14ac:dyDescent="0.2">
      <c r="A859" s="3" t="str">
        <f t="shared" si="13"/>
        <v xml:space="preserve">                                                  </v>
      </c>
      <c r="B859" s="24" t="s">
        <v>174</v>
      </c>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row>
    <row r="860" spans="1:52" ht="18" customHeight="1" x14ac:dyDescent="0.2">
      <c r="A860" s="3" t="str">
        <f t="shared" si="13"/>
        <v xml:space="preserve">                                                  </v>
      </c>
      <c r="B860" s="24" t="s">
        <v>174</v>
      </c>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row>
    <row r="861" spans="1:52" ht="18" customHeight="1" x14ac:dyDescent="0.2">
      <c r="A861" s="3" t="str">
        <f t="shared" si="13"/>
        <v xml:space="preserve">                                                  </v>
      </c>
      <c r="B861" s="24" t="s">
        <v>174</v>
      </c>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row>
    <row r="862" spans="1:52" ht="18" customHeight="1" x14ac:dyDescent="0.2">
      <c r="A862" s="3" t="str">
        <f t="shared" si="13"/>
        <v xml:space="preserve">                                                  </v>
      </c>
      <c r="B862" s="24" t="s">
        <v>174</v>
      </c>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row>
    <row r="863" spans="1:52" ht="18" customHeight="1" x14ac:dyDescent="0.2">
      <c r="A863" s="3" t="str">
        <f t="shared" si="13"/>
        <v xml:space="preserve">                                                  </v>
      </c>
      <c r="B863" s="24" t="s">
        <v>174</v>
      </c>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row>
    <row r="864" spans="1:52" ht="18" customHeight="1" x14ac:dyDescent="0.2">
      <c r="A864" s="3" t="str">
        <f t="shared" si="13"/>
        <v xml:space="preserve">                                                  </v>
      </c>
      <c r="B864" s="24" t="s">
        <v>174</v>
      </c>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row>
    <row r="865" spans="1:52" ht="18" customHeight="1" x14ac:dyDescent="0.2">
      <c r="A865" s="3" t="str">
        <f t="shared" si="13"/>
        <v xml:space="preserve">                                                  </v>
      </c>
      <c r="B865" s="24" t="s">
        <v>174</v>
      </c>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row>
    <row r="866" spans="1:52" ht="18" customHeight="1" x14ac:dyDescent="0.2">
      <c r="A866" s="3" t="str">
        <f t="shared" si="13"/>
        <v xml:space="preserve">                                                  </v>
      </c>
      <c r="B866" s="24" t="s">
        <v>174</v>
      </c>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row>
    <row r="867" spans="1:52" ht="18" customHeight="1" x14ac:dyDescent="0.2">
      <c r="A867" s="3" t="str">
        <f t="shared" si="13"/>
        <v xml:space="preserve">                                                  </v>
      </c>
      <c r="B867" s="24" t="s">
        <v>174</v>
      </c>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row>
    <row r="868" spans="1:52" ht="18" customHeight="1" x14ac:dyDescent="0.2">
      <c r="A868" s="3" t="str">
        <f t="shared" si="13"/>
        <v xml:space="preserve">                                                  </v>
      </c>
      <c r="B868" s="24" t="s">
        <v>174</v>
      </c>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row>
    <row r="869" spans="1:52" ht="18" customHeight="1" x14ac:dyDescent="0.2">
      <c r="A869" s="3" t="str">
        <f t="shared" si="13"/>
        <v xml:space="preserve">                                                  </v>
      </c>
      <c r="B869" s="24" t="s">
        <v>174</v>
      </c>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row>
    <row r="870" spans="1:52" ht="18" customHeight="1" x14ac:dyDescent="0.2">
      <c r="A870" s="3" t="str">
        <f t="shared" si="13"/>
        <v xml:space="preserve">                                                  </v>
      </c>
      <c r="B870" s="24" t="s">
        <v>174</v>
      </c>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row>
    <row r="871" spans="1:52" ht="18" customHeight="1" x14ac:dyDescent="0.2">
      <c r="A871" s="3" t="str">
        <f t="shared" si="13"/>
        <v xml:space="preserve">                                                  </v>
      </c>
      <c r="B871" s="24" t="s">
        <v>174</v>
      </c>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row>
    <row r="872" spans="1:52" ht="18" customHeight="1" x14ac:dyDescent="0.2">
      <c r="A872" s="3" t="str">
        <f t="shared" si="13"/>
        <v xml:space="preserve">                                                  </v>
      </c>
      <c r="B872" s="24" t="s">
        <v>174</v>
      </c>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row>
    <row r="873" spans="1:52" ht="18" customHeight="1" x14ac:dyDescent="0.2">
      <c r="A873" s="3" t="str">
        <f t="shared" si="13"/>
        <v xml:space="preserve">                                                  </v>
      </c>
      <c r="B873" s="24" t="s">
        <v>174</v>
      </c>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row>
    <row r="874" spans="1:52" ht="18" customHeight="1" x14ac:dyDescent="0.2">
      <c r="A874" s="3" t="str">
        <f t="shared" si="13"/>
        <v xml:space="preserve">                                                  </v>
      </c>
      <c r="B874" s="24" t="s">
        <v>174</v>
      </c>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row>
    <row r="875" spans="1:52" ht="18" customHeight="1" x14ac:dyDescent="0.2">
      <c r="A875" s="3" t="str">
        <f t="shared" si="13"/>
        <v xml:space="preserve">                                                  </v>
      </c>
      <c r="B875" s="24" t="s">
        <v>174</v>
      </c>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row>
    <row r="876" spans="1:52" ht="18" customHeight="1" x14ac:dyDescent="0.2">
      <c r="A876" s="3" t="str">
        <f t="shared" si="13"/>
        <v xml:space="preserve">                                                  </v>
      </c>
      <c r="B876" s="24" t="s">
        <v>174</v>
      </c>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row>
    <row r="877" spans="1:52" ht="18" customHeight="1" x14ac:dyDescent="0.2">
      <c r="A877" s="3" t="str">
        <f t="shared" si="13"/>
        <v xml:space="preserve">                                                  </v>
      </c>
      <c r="B877" s="24" t="s">
        <v>174</v>
      </c>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row>
    <row r="878" spans="1:52" ht="18" customHeight="1" x14ac:dyDescent="0.2">
      <c r="A878" s="3" t="str">
        <f t="shared" si="13"/>
        <v xml:space="preserve">                                                  </v>
      </c>
      <c r="B878" s="24" t="s">
        <v>174</v>
      </c>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row>
    <row r="879" spans="1:52" ht="18" customHeight="1" x14ac:dyDescent="0.2">
      <c r="A879" s="3" t="str">
        <f t="shared" si="13"/>
        <v xml:space="preserve">                                                  </v>
      </c>
      <c r="B879" s="24" t="s">
        <v>174</v>
      </c>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row>
    <row r="880" spans="1:52" ht="18" customHeight="1" x14ac:dyDescent="0.2">
      <c r="A880" s="3" t="str">
        <f t="shared" si="13"/>
        <v xml:space="preserve">                                                  </v>
      </c>
      <c r="B880" s="24" t="s">
        <v>174</v>
      </c>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row>
    <row r="881" spans="1:52" ht="18" customHeight="1" x14ac:dyDescent="0.2">
      <c r="A881" s="3" t="str">
        <f t="shared" si="13"/>
        <v xml:space="preserve">                                                  </v>
      </c>
      <c r="B881" s="24" t="s">
        <v>174</v>
      </c>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row>
    <row r="882" spans="1:52" ht="18" customHeight="1" x14ac:dyDescent="0.2">
      <c r="A882" s="3" t="str">
        <f t="shared" si="13"/>
        <v xml:space="preserve">                                                  </v>
      </c>
      <c r="B882" s="24" t="s">
        <v>174</v>
      </c>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row>
    <row r="883" spans="1:52" ht="18" customHeight="1" x14ac:dyDescent="0.2">
      <c r="A883" s="3" t="str">
        <f t="shared" si="13"/>
        <v xml:space="preserve">                                                  </v>
      </c>
      <c r="B883" s="24" t="s">
        <v>174</v>
      </c>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row>
    <row r="884" spans="1:52" ht="18" customHeight="1" x14ac:dyDescent="0.2">
      <c r="A884" s="3" t="str">
        <f t="shared" si="13"/>
        <v xml:space="preserve">                                                  </v>
      </c>
      <c r="B884" s="24" t="s">
        <v>174</v>
      </c>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row>
    <row r="885" spans="1:52" ht="18" customHeight="1" x14ac:dyDescent="0.2">
      <c r="A885" s="3" t="str">
        <f t="shared" si="13"/>
        <v xml:space="preserve">                                                  </v>
      </c>
      <c r="B885" s="24" t="s">
        <v>174</v>
      </c>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row>
    <row r="886" spans="1:52" ht="18" customHeight="1" x14ac:dyDescent="0.2">
      <c r="A886" s="3" t="str">
        <f t="shared" si="13"/>
        <v xml:space="preserve">                                                  </v>
      </c>
      <c r="B886" s="24" t="s">
        <v>174</v>
      </c>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row>
    <row r="887" spans="1:52" ht="18" customHeight="1" x14ac:dyDescent="0.2">
      <c r="A887" s="3" t="str">
        <f t="shared" si="13"/>
        <v xml:space="preserve">                                                  </v>
      </c>
      <c r="B887" s="24" t="s">
        <v>174</v>
      </c>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row>
    <row r="888" spans="1:52" ht="18" customHeight="1" x14ac:dyDescent="0.2">
      <c r="A888" s="3" t="str">
        <f t="shared" si="13"/>
        <v xml:space="preserve">                                                  </v>
      </c>
      <c r="B888" s="24" t="s">
        <v>174</v>
      </c>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row>
    <row r="889" spans="1:52" ht="18" customHeight="1" x14ac:dyDescent="0.2">
      <c r="A889" s="3" t="str">
        <f t="shared" si="13"/>
        <v xml:space="preserve">                                                  </v>
      </c>
      <c r="B889" s="24" t="s">
        <v>174</v>
      </c>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row>
    <row r="890" spans="1:52" ht="18" customHeight="1" x14ac:dyDescent="0.2">
      <c r="A890" s="3" t="str">
        <f t="shared" si="13"/>
        <v xml:space="preserve">                                                  </v>
      </c>
      <c r="B890" s="24" t="s">
        <v>174</v>
      </c>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row>
    <row r="891" spans="1:52" ht="18" customHeight="1" x14ac:dyDescent="0.2">
      <c r="A891" s="3" t="str">
        <f t="shared" si="13"/>
        <v xml:space="preserve">                                                  </v>
      </c>
      <c r="B891" s="24" t="s">
        <v>174</v>
      </c>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row>
    <row r="892" spans="1:52" ht="18" customHeight="1" x14ac:dyDescent="0.2">
      <c r="A892" s="3" t="str">
        <f t="shared" si="13"/>
        <v xml:space="preserve">                                                  </v>
      </c>
      <c r="B892" s="24" t="s">
        <v>174</v>
      </c>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row>
    <row r="893" spans="1:52" ht="18" customHeight="1" x14ac:dyDescent="0.2">
      <c r="A893" s="3" t="str">
        <f t="shared" si="13"/>
        <v xml:space="preserve">                                                  </v>
      </c>
      <c r="B893" s="24" t="s">
        <v>174</v>
      </c>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row>
    <row r="894" spans="1:52" ht="18" customHeight="1" x14ac:dyDescent="0.2">
      <c r="A894" s="3" t="str">
        <f t="shared" si="13"/>
        <v xml:space="preserve">                                                  </v>
      </c>
      <c r="B894" s="24" t="s">
        <v>174</v>
      </c>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row>
    <row r="895" spans="1:52" ht="18" customHeight="1" x14ac:dyDescent="0.2">
      <c r="A895" s="3" t="str">
        <f t="shared" si="13"/>
        <v xml:space="preserve">                                                  </v>
      </c>
      <c r="B895" s="24" t="s">
        <v>174</v>
      </c>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row>
    <row r="896" spans="1:52" ht="18" customHeight="1" x14ac:dyDescent="0.2">
      <c r="A896" s="3" t="str">
        <f t="shared" si="13"/>
        <v xml:space="preserve">                                                  </v>
      </c>
      <c r="B896" s="24" t="s">
        <v>174</v>
      </c>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row>
    <row r="897" spans="1:52" ht="18" customHeight="1" x14ac:dyDescent="0.2">
      <c r="A897" s="3" t="str">
        <f t="shared" si="13"/>
        <v xml:space="preserve">                                                  </v>
      </c>
      <c r="B897" s="24" t="s">
        <v>174</v>
      </c>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row>
    <row r="898" spans="1:52" ht="18" customHeight="1" x14ac:dyDescent="0.2">
      <c r="A898" s="3" t="str">
        <f t="shared" si="13"/>
        <v xml:space="preserve">                                                  </v>
      </c>
      <c r="B898" s="24" t="s">
        <v>174</v>
      </c>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row>
    <row r="899" spans="1:52" ht="18" customHeight="1" x14ac:dyDescent="0.2">
      <c r="A899" s="3" t="str">
        <f t="shared" si="13"/>
        <v xml:space="preserve">                                                  </v>
      </c>
      <c r="B899" s="24" t="s">
        <v>174</v>
      </c>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row>
    <row r="900" spans="1:52" ht="18" customHeight="1" x14ac:dyDescent="0.2">
      <c r="A900" s="3" t="str">
        <f t="shared" ref="A900:A963" si="14">CONCATENATE(C900," ",D900," ",E900," ",F900," ",G900," ",H900," ",I900," ",J900," ",K900," ",L900," ",M900," ",N900," ",O900," ",P900," ",Q900," ",R900," ",S900," ",T900," ",U900," ",V900," ",W900," ",X900," ",Y900," ",Z900," ",AA900," ",AB900," ",AC900," ",AD900," ",AE900," ",AF900," ",AG900," ",AH900," ",AI900," ",AJ900," ",AK900," ",AL900," ",AM900," ",AN900," ",AO900," ",AP900," ",AQ900," ",AR900," ",AS900," ",AT900," ",AU900," ",AV900," ",AW900," ",AX900," ",AY900," ",AZ900," ",
)</f>
        <v xml:space="preserve">                                                  </v>
      </c>
      <c r="B900" s="24" t="s">
        <v>174</v>
      </c>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row>
    <row r="901" spans="1:52" ht="18" customHeight="1" x14ac:dyDescent="0.2">
      <c r="A901" s="3" t="str">
        <f t="shared" si="14"/>
        <v xml:space="preserve">                                                  </v>
      </c>
      <c r="B901" s="24" t="s">
        <v>174</v>
      </c>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row>
    <row r="902" spans="1:52" ht="18" customHeight="1" x14ac:dyDescent="0.2">
      <c r="A902" s="3" t="str">
        <f t="shared" si="14"/>
        <v xml:space="preserve">                                                  </v>
      </c>
      <c r="B902" s="24" t="s">
        <v>174</v>
      </c>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row>
    <row r="903" spans="1:52" ht="18" customHeight="1" x14ac:dyDescent="0.2">
      <c r="A903" s="3" t="str">
        <f t="shared" si="14"/>
        <v xml:space="preserve">                                                  </v>
      </c>
      <c r="B903" s="24" t="s">
        <v>174</v>
      </c>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row>
    <row r="904" spans="1:52" ht="18" customHeight="1" x14ac:dyDescent="0.2">
      <c r="A904" s="3" t="str">
        <f t="shared" si="14"/>
        <v xml:space="preserve">                                                  </v>
      </c>
      <c r="B904" s="24" t="s">
        <v>174</v>
      </c>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row>
    <row r="905" spans="1:52" ht="18" customHeight="1" x14ac:dyDescent="0.2">
      <c r="A905" s="3" t="str">
        <f t="shared" si="14"/>
        <v xml:space="preserve">                                                  </v>
      </c>
      <c r="B905" s="24" t="s">
        <v>174</v>
      </c>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row>
    <row r="906" spans="1:52" ht="18" customHeight="1" x14ac:dyDescent="0.2">
      <c r="A906" s="3" t="str">
        <f t="shared" si="14"/>
        <v xml:space="preserve">                                                  </v>
      </c>
      <c r="B906" s="24" t="s">
        <v>174</v>
      </c>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row>
    <row r="907" spans="1:52" ht="18" customHeight="1" x14ac:dyDescent="0.2">
      <c r="A907" s="3" t="str">
        <f t="shared" si="14"/>
        <v xml:space="preserve">                                                  </v>
      </c>
      <c r="B907" s="24" t="s">
        <v>174</v>
      </c>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row>
    <row r="908" spans="1:52" ht="18" customHeight="1" x14ac:dyDescent="0.2">
      <c r="A908" s="3" t="str">
        <f t="shared" si="14"/>
        <v xml:space="preserve">                                                  </v>
      </c>
      <c r="B908" s="24" t="s">
        <v>174</v>
      </c>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row>
    <row r="909" spans="1:52" ht="18" customHeight="1" x14ac:dyDescent="0.2">
      <c r="A909" s="3" t="str">
        <f t="shared" si="14"/>
        <v xml:space="preserve">                                                  </v>
      </c>
      <c r="B909" s="24" t="s">
        <v>174</v>
      </c>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row>
    <row r="910" spans="1:52" ht="18" customHeight="1" x14ac:dyDescent="0.2">
      <c r="A910" s="3" t="str">
        <f t="shared" si="14"/>
        <v xml:space="preserve">                                                  </v>
      </c>
      <c r="B910" s="24" t="s">
        <v>174</v>
      </c>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row>
    <row r="911" spans="1:52" ht="18" customHeight="1" x14ac:dyDescent="0.2">
      <c r="A911" s="3" t="str">
        <f t="shared" si="14"/>
        <v xml:space="preserve">                                                  </v>
      </c>
      <c r="B911" s="24" t="s">
        <v>174</v>
      </c>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row>
    <row r="912" spans="1:52" ht="18" customHeight="1" x14ac:dyDescent="0.2">
      <c r="A912" s="3" t="str">
        <f t="shared" si="14"/>
        <v xml:space="preserve">                                                  </v>
      </c>
      <c r="B912" s="24" t="s">
        <v>174</v>
      </c>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row>
    <row r="913" spans="1:52" ht="18" customHeight="1" x14ac:dyDescent="0.2">
      <c r="A913" s="3" t="str">
        <f t="shared" si="14"/>
        <v xml:space="preserve">                                                  </v>
      </c>
      <c r="B913" s="24" t="s">
        <v>174</v>
      </c>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row>
    <row r="914" spans="1:52" ht="18" customHeight="1" x14ac:dyDescent="0.2">
      <c r="A914" s="3" t="str">
        <f t="shared" si="14"/>
        <v xml:space="preserve">                                                  </v>
      </c>
      <c r="B914" s="24" t="s">
        <v>174</v>
      </c>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row>
    <row r="915" spans="1:52" ht="18" customHeight="1" x14ac:dyDescent="0.2">
      <c r="A915" s="3" t="str">
        <f t="shared" si="14"/>
        <v xml:space="preserve">                                                  </v>
      </c>
      <c r="B915" s="24" t="s">
        <v>174</v>
      </c>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row>
    <row r="916" spans="1:52" ht="18" customHeight="1" x14ac:dyDescent="0.2">
      <c r="A916" s="3" t="str">
        <f t="shared" si="14"/>
        <v xml:space="preserve">                                                  </v>
      </c>
      <c r="B916" s="24" t="s">
        <v>174</v>
      </c>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row>
    <row r="917" spans="1:52" ht="18" customHeight="1" x14ac:dyDescent="0.2">
      <c r="A917" s="3" t="str">
        <f t="shared" si="14"/>
        <v xml:space="preserve">                                                  </v>
      </c>
      <c r="B917" s="24" t="s">
        <v>174</v>
      </c>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row>
    <row r="918" spans="1:52" ht="18" customHeight="1" x14ac:dyDescent="0.2">
      <c r="A918" s="3" t="str">
        <f t="shared" si="14"/>
        <v xml:space="preserve">                                                  </v>
      </c>
      <c r="B918" s="24" t="s">
        <v>174</v>
      </c>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row>
    <row r="919" spans="1:52" ht="18" customHeight="1" x14ac:dyDescent="0.2">
      <c r="A919" s="3" t="str">
        <f t="shared" si="14"/>
        <v xml:space="preserve">                                                  </v>
      </c>
      <c r="B919" s="24" t="s">
        <v>174</v>
      </c>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row>
    <row r="920" spans="1:52" ht="18" customHeight="1" x14ac:dyDescent="0.2">
      <c r="A920" s="3" t="str">
        <f t="shared" si="14"/>
        <v xml:space="preserve">                                                  </v>
      </c>
      <c r="B920" s="24" t="s">
        <v>174</v>
      </c>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row>
    <row r="921" spans="1:52" ht="18" customHeight="1" x14ac:dyDescent="0.2">
      <c r="A921" s="3" t="str">
        <f t="shared" si="14"/>
        <v xml:space="preserve">                                                  </v>
      </c>
      <c r="B921" s="24" t="s">
        <v>174</v>
      </c>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row>
    <row r="922" spans="1:52" ht="18" customHeight="1" x14ac:dyDescent="0.2">
      <c r="A922" s="3" t="str">
        <f t="shared" si="14"/>
        <v xml:space="preserve">                                                  </v>
      </c>
      <c r="B922" s="24" t="s">
        <v>174</v>
      </c>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row>
    <row r="923" spans="1:52" ht="18" customHeight="1" x14ac:dyDescent="0.2">
      <c r="A923" s="3" t="str">
        <f t="shared" si="14"/>
        <v xml:space="preserve">                                                  </v>
      </c>
      <c r="B923" s="24" t="s">
        <v>174</v>
      </c>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row>
    <row r="924" spans="1:52" ht="18" customHeight="1" x14ac:dyDescent="0.2">
      <c r="A924" s="3" t="str">
        <f t="shared" si="14"/>
        <v xml:space="preserve">                                                  </v>
      </c>
      <c r="B924" s="24" t="s">
        <v>174</v>
      </c>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row>
    <row r="925" spans="1:52" ht="18" customHeight="1" x14ac:dyDescent="0.2">
      <c r="A925" s="3" t="str">
        <f t="shared" si="14"/>
        <v xml:space="preserve">                                                  </v>
      </c>
      <c r="B925" s="24" t="s">
        <v>174</v>
      </c>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row>
    <row r="926" spans="1:52" ht="18" customHeight="1" x14ac:dyDescent="0.2">
      <c r="A926" s="3" t="str">
        <f t="shared" si="14"/>
        <v xml:space="preserve">                                                  </v>
      </c>
      <c r="B926" s="24" t="s">
        <v>174</v>
      </c>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row>
    <row r="927" spans="1:52" ht="18" customHeight="1" x14ac:dyDescent="0.2">
      <c r="A927" s="3" t="str">
        <f t="shared" si="14"/>
        <v xml:space="preserve">                                                  </v>
      </c>
      <c r="B927" s="24" t="s">
        <v>174</v>
      </c>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row>
    <row r="928" spans="1:52" ht="18" customHeight="1" x14ac:dyDescent="0.2">
      <c r="A928" s="3" t="str">
        <f t="shared" si="14"/>
        <v xml:space="preserve">                                                  </v>
      </c>
      <c r="B928" s="24" t="s">
        <v>174</v>
      </c>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row>
    <row r="929" spans="1:52" ht="18" customHeight="1" x14ac:dyDescent="0.2">
      <c r="A929" s="3" t="str">
        <f t="shared" si="14"/>
        <v xml:space="preserve">                                                  </v>
      </c>
      <c r="B929" s="24" t="s">
        <v>174</v>
      </c>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row>
    <row r="930" spans="1:52" ht="18" customHeight="1" x14ac:dyDescent="0.2">
      <c r="A930" s="3" t="str">
        <f t="shared" si="14"/>
        <v xml:space="preserve">                                                  </v>
      </c>
      <c r="B930" s="24" t="s">
        <v>174</v>
      </c>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row>
    <row r="931" spans="1:52" ht="18" customHeight="1" x14ac:dyDescent="0.2">
      <c r="A931" s="3" t="str">
        <f t="shared" si="14"/>
        <v xml:space="preserve">                                                  </v>
      </c>
      <c r="B931" s="24" t="s">
        <v>174</v>
      </c>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row>
    <row r="932" spans="1:52" ht="18" customHeight="1" x14ac:dyDescent="0.2">
      <c r="A932" s="3" t="str">
        <f t="shared" si="14"/>
        <v xml:space="preserve">                                                  </v>
      </c>
      <c r="B932" s="24" t="s">
        <v>174</v>
      </c>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row>
    <row r="933" spans="1:52" ht="18" customHeight="1" x14ac:dyDescent="0.2">
      <c r="A933" s="3" t="str">
        <f t="shared" si="14"/>
        <v xml:space="preserve">                                                  </v>
      </c>
      <c r="B933" s="24" t="s">
        <v>174</v>
      </c>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row>
    <row r="934" spans="1:52" ht="18" customHeight="1" x14ac:dyDescent="0.2">
      <c r="A934" s="3" t="str">
        <f t="shared" si="14"/>
        <v xml:space="preserve">                                                  </v>
      </c>
      <c r="B934" s="24" t="s">
        <v>174</v>
      </c>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row>
    <row r="935" spans="1:52" ht="18" customHeight="1" x14ac:dyDescent="0.2">
      <c r="A935" s="3" t="str">
        <f t="shared" si="14"/>
        <v xml:space="preserve">                                                  </v>
      </c>
      <c r="B935" s="24" t="s">
        <v>174</v>
      </c>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row>
    <row r="936" spans="1:52" ht="18" customHeight="1" x14ac:dyDescent="0.2">
      <c r="A936" s="3" t="str">
        <f t="shared" si="14"/>
        <v xml:space="preserve">                                                  </v>
      </c>
      <c r="B936" s="24" t="s">
        <v>174</v>
      </c>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row>
    <row r="937" spans="1:52" ht="18" customHeight="1" x14ac:dyDescent="0.2">
      <c r="A937" s="3" t="str">
        <f t="shared" si="14"/>
        <v xml:space="preserve">                                                  </v>
      </c>
      <c r="B937" s="24" t="s">
        <v>174</v>
      </c>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row>
    <row r="938" spans="1:52" ht="18" customHeight="1" x14ac:dyDescent="0.2">
      <c r="A938" s="3" t="str">
        <f t="shared" si="14"/>
        <v xml:space="preserve">                                                  </v>
      </c>
      <c r="B938" s="24" t="s">
        <v>174</v>
      </c>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row>
    <row r="939" spans="1:52" ht="18" customHeight="1" x14ac:dyDescent="0.2">
      <c r="A939" s="3" t="str">
        <f t="shared" si="14"/>
        <v xml:space="preserve">                                                  </v>
      </c>
      <c r="B939" s="24" t="s">
        <v>174</v>
      </c>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row>
    <row r="940" spans="1:52" ht="18" customHeight="1" x14ac:dyDescent="0.2">
      <c r="A940" s="3" t="str">
        <f t="shared" si="14"/>
        <v xml:space="preserve">                                                  </v>
      </c>
      <c r="B940" s="24" t="s">
        <v>174</v>
      </c>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row>
    <row r="941" spans="1:52" ht="18" customHeight="1" x14ac:dyDescent="0.2">
      <c r="A941" s="3" t="str">
        <f t="shared" si="14"/>
        <v xml:space="preserve">                                                  </v>
      </c>
      <c r="B941" s="24" t="s">
        <v>174</v>
      </c>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row>
    <row r="942" spans="1:52" ht="18" customHeight="1" x14ac:dyDescent="0.2">
      <c r="A942" s="3" t="str">
        <f t="shared" si="14"/>
        <v xml:space="preserve">                                                  </v>
      </c>
      <c r="B942" s="24" t="s">
        <v>174</v>
      </c>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row>
    <row r="943" spans="1:52" ht="18" customHeight="1" x14ac:dyDescent="0.2">
      <c r="A943" s="3" t="str">
        <f t="shared" si="14"/>
        <v xml:space="preserve">                                                  </v>
      </c>
      <c r="B943" s="24" t="s">
        <v>174</v>
      </c>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row>
    <row r="944" spans="1:52" ht="18" customHeight="1" x14ac:dyDescent="0.2">
      <c r="A944" s="3" t="str">
        <f t="shared" si="14"/>
        <v xml:space="preserve">                                                  </v>
      </c>
      <c r="B944" s="24" t="s">
        <v>174</v>
      </c>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row>
    <row r="945" spans="1:52" ht="18" customHeight="1" x14ac:dyDescent="0.2">
      <c r="A945" s="3" t="str">
        <f t="shared" si="14"/>
        <v xml:space="preserve">                                                  </v>
      </c>
      <c r="B945" s="24" t="s">
        <v>174</v>
      </c>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row>
    <row r="946" spans="1:52" ht="18" customHeight="1" x14ac:dyDescent="0.2">
      <c r="A946" s="3" t="str">
        <f t="shared" si="14"/>
        <v xml:space="preserve">                                                  </v>
      </c>
      <c r="B946" s="24" t="s">
        <v>174</v>
      </c>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row>
    <row r="947" spans="1:52" ht="18" customHeight="1" x14ac:dyDescent="0.2">
      <c r="A947" s="3" t="str">
        <f t="shared" si="14"/>
        <v xml:space="preserve">                                                  </v>
      </c>
      <c r="B947" s="24" t="s">
        <v>174</v>
      </c>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row>
    <row r="948" spans="1:52" ht="18" customHeight="1" x14ac:dyDescent="0.2">
      <c r="A948" s="3" t="str">
        <f t="shared" si="14"/>
        <v xml:space="preserve">                                                  </v>
      </c>
      <c r="B948" s="24" t="s">
        <v>174</v>
      </c>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row>
    <row r="949" spans="1:52" ht="18" customHeight="1" x14ac:dyDescent="0.2">
      <c r="A949" s="3" t="str">
        <f t="shared" si="14"/>
        <v xml:space="preserve">                                                  </v>
      </c>
      <c r="B949" s="24" t="s">
        <v>174</v>
      </c>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row>
    <row r="950" spans="1:52" ht="18" customHeight="1" x14ac:dyDescent="0.2">
      <c r="A950" s="3" t="str">
        <f t="shared" si="14"/>
        <v xml:space="preserve">                                                  </v>
      </c>
      <c r="B950" s="24" t="s">
        <v>174</v>
      </c>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row>
    <row r="951" spans="1:52" ht="18" customHeight="1" x14ac:dyDescent="0.2">
      <c r="A951" s="3" t="str">
        <f t="shared" si="14"/>
        <v xml:space="preserve">                                                  </v>
      </c>
      <c r="B951" s="24" t="s">
        <v>174</v>
      </c>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row>
    <row r="952" spans="1:52" ht="18" customHeight="1" x14ac:dyDescent="0.2">
      <c r="A952" s="3" t="str">
        <f t="shared" si="14"/>
        <v xml:space="preserve">                                                  </v>
      </c>
      <c r="B952" s="24" t="s">
        <v>174</v>
      </c>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row>
    <row r="953" spans="1:52" ht="18" customHeight="1" x14ac:dyDescent="0.2">
      <c r="A953" s="3" t="str">
        <f t="shared" si="14"/>
        <v xml:space="preserve">                                                  </v>
      </c>
      <c r="B953" s="24" t="s">
        <v>174</v>
      </c>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row>
    <row r="954" spans="1:52" ht="18" customHeight="1" x14ac:dyDescent="0.2">
      <c r="A954" s="3" t="str">
        <f t="shared" si="14"/>
        <v xml:space="preserve">                                                  </v>
      </c>
      <c r="B954" s="24" t="s">
        <v>174</v>
      </c>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row>
    <row r="955" spans="1:52" ht="18" customHeight="1" x14ac:dyDescent="0.2">
      <c r="A955" s="3" t="str">
        <f t="shared" si="14"/>
        <v xml:space="preserve">                                                  </v>
      </c>
      <c r="B955" s="24" t="s">
        <v>174</v>
      </c>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row>
    <row r="956" spans="1:52" ht="18" customHeight="1" x14ac:dyDescent="0.2">
      <c r="A956" s="3" t="str">
        <f t="shared" si="14"/>
        <v xml:space="preserve">                                                  </v>
      </c>
      <c r="B956" s="24" t="s">
        <v>174</v>
      </c>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row>
    <row r="957" spans="1:52" ht="18" customHeight="1" x14ac:dyDescent="0.2">
      <c r="A957" s="3" t="str">
        <f t="shared" si="14"/>
        <v xml:space="preserve">                                                  </v>
      </c>
      <c r="B957" s="24" t="s">
        <v>174</v>
      </c>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row>
    <row r="958" spans="1:52" ht="18" customHeight="1" x14ac:dyDescent="0.2">
      <c r="A958" s="3" t="str">
        <f t="shared" si="14"/>
        <v xml:space="preserve">                                                  </v>
      </c>
      <c r="B958" s="24" t="s">
        <v>174</v>
      </c>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row>
    <row r="959" spans="1:52" ht="18" customHeight="1" x14ac:dyDescent="0.2">
      <c r="A959" s="3" t="str">
        <f t="shared" si="14"/>
        <v xml:space="preserve">                                                  </v>
      </c>
      <c r="B959" s="24" t="s">
        <v>174</v>
      </c>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row>
    <row r="960" spans="1:52" ht="18" customHeight="1" x14ac:dyDescent="0.2">
      <c r="A960" s="3" t="str">
        <f t="shared" si="14"/>
        <v xml:space="preserve">                                                  </v>
      </c>
      <c r="B960" s="24" t="s">
        <v>174</v>
      </c>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row>
    <row r="961" spans="1:52" ht="18" customHeight="1" x14ac:dyDescent="0.2">
      <c r="A961" s="3" t="str">
        <f t="shared" si="14"/>
        <v xml:space="preserve">                                                  </v>
      </c>
      <c r="B961" s="24" t="s">
        <v>174</v>
      </c>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row>
    <row r="962" spans="1:52" ht="18" customHeight="1" x14ac:dyDescent="0.2">
      <c r="A962" s="3" t="str">
        <f t="shared" si="14"/>
        <v xml:space="preserve">                                                  </v>
      </c>
      <c r="B962" s="24" t="s">
        <v>174</v>
      </c>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row>
    <row r="963" spans="1:52" ht="18" customHeight="1" x14ac:dyDescent="0.2">
      <c r="A963" s="3" t="str">
        <f t="shared" si="14"/>
        <v xml:space="preserve">                                                  </v>
      </c>
      <c r="B963" s="24" t="s">
        <v>174</v>
      </c>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row>
    <row r="964" spans="1:52" ht="18" customHeight="1" x14ac:dyDescent="0.2">
      <c r="A964" s="3" t="str">
        <f t="shared" ref="A964:A1000" si="15">CONCATENATE(C964," ",D964," ",E964," ",F964," ",G964," ",H964," ",I964," ",J964," ",K964," ",L964," ",M964," ",N964," ",O964," ",P964," ",Q964," ",R964," ",S964," ",T964," ",U964," ",V964," ",W964," ",X964," ",Y964," ",Z964," ",AA964," ",AB964," ",AC964," ",AD964," ",AE964," ",AF964," ",AG964," ",AH964," ",AI964," ",AJ964," ",AK964," ",AL964," ",AM964," ",AN964," ",AO964," ",AP964," ",AQ964," ",AR964," ",AS964," ",AT964," ",AU964," ",AV964," ",AW964," ",AX964," ",AY964," ",AZ964," ",
)</f>
        <v xml:space="preserve">                                                  </v>
      </c>
      <c r="B964" s="24" t="s">
        <v>174</v>
      </c>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row>
    <row r="965" spans="1:52" ht="18" customHeight="1" x14ac:dyDescent="0.2">
      <c r="A965" s="3" t="str">
        <f t="shared" si="15"/>
        <v xml:space="preserve">                                                  </v>
      </c>
      <c r="B965" s="24" t="s">
        <v>174</v>
      </c>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row>
    <row r="966" spans="1:52" ht="18" customHeight="1" x14ac:dyDescent="0.2">
      <c r="A966" s="3" t="str">
        <f t="shared" si="15"/>
        <v xml:space="preserve">                                                  </v>
      </c>
      <c r="B966" s="24" t="s">
        <v>174</v>
      </c>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row>
    <row r="967" spans="1:52" ht="18" customHeight="1" x14ac:dyDescent="0.2">
      <c r="A967" s="3" t="str">
        <f t="shared" si="15"/>
        <v xml:space="preserve">                                                  </v>
      </c>
      <c r="B967" s="24" t="s">
        <v>174</v>
      </c>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row>
    <row r="968" spans="1:52" ht="18" customHeight="1" x14ac:dyDescent="0.2">
      <c r="A968" s="3" t="str">
        <f t="shared" si="15"/>
        <v xml:space="preserve">                                                  </v>
      </c>
      <c r="B968" s="24" t="s">
        <v>174</v>
      </c>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row>
    <row r="969" spans="1:52" ht="18" customHeight="1" x14ac:dyDescent="0.2">
      <c r="A969" s="3" t="str">
        <f t="shared" si="15"/>
        <v xml:space="preserve">                                                  </v>
      </c>
      <c r="B969" s="24" t="s">
        <v>174</v>
      </c>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row>
    <row r="970" spans="1:52" ht="18" customHeight="1" x14ac:dyDescent="0.2">
      <c r="A970" s="3" t="str">
        <f t="shared" si="15"/>
        <v xml:space="preserve">                                                  </v>
      </c>
      <c r="B970" s="24" t="s">
        <v>174</v>
      </c>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row>
    <row r="971" spans="1:52" ht="18" customHeight="1" x14ac:dyDescent="0.2">
      <c r="A971" s="3" t="str">
        <f t="shared" si="15"/>
        <v xml:space="preserve">                                                  </v>
      </c>
      <c r="B971" s="24" t="s">
        <v>174</v>
      </c>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row>
    <row r="972" spans="1:52" ht="18" customHeight="1" x14ac:dyDescent="0.2">
      <c r="A972" s="3" t="str">
        <f t="shared" si="15"/>
        <v xml:space="preserve">                                                  </v>
      </c>
      <c r="B972" s="24" t="s">
        <v>174</v>
      </c>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row>
    <row r="973" spans="1:52" ht="18" customHeight="1" x14ac:dyDescent="0.2">
      <c r="A973" s="3" t="str">
        <f t="shared" si="15"/>
        <v xml:space="preserve">                                                  </v>
      </c>
      <c r="B973" s="24" t="s">
        <v>174</v>
      </c>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row>
    <row r="974" spans="1:52" ht="18" customHeight="1" x14ac:dyDescent="0.2">
      <c r="A974" s="3" t="str">
        <f t="shared" si="15"/>
        <v xml:space="preserve">                                                  </v>
      </c>
      <c r="B974" s="24" t="s">
        <v>174</v>
      </c>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row>
    <row r="975" spans="1:52" ht="18" customHeight="1" x14ac:dyDescent="0.2">
      <c r="A975" s="3" t="str">
        <f t="shared" si="15"/>
        <v xml:space="preserve">                                                  </v>
      </c>
      <c r="B975" s="24" t="s">
        <v>174</v>
      </c>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row>
    <row r="976" spans="1:52" ht="18" customHeight="1" x14ac:dyDescent="0.2">
      <c r="A976" s="3" t="str">
        <f t="shared" si="15"/>
        <v xml:space="preserve">                                                  </v>
      </c>
      <c r="B976" s="24" t="s">
        <v>174</v>
      </c>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row>
    <row r="977" spans="1:52" ht="18" customHeight="1" x14ac:dyDescent="0.2">
      <c r="A977" s="3" t="str">
        <f t="shared" si="15"/>
        <v xml:space="preserve">                                                  </v>
      </c>
      <c r="B977" s="24" t="s">
        <v>174</v>
      </c>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row>
    <row r="978" spans="1:52" ht="18" customHeight="1" x14ac:dyDescent="0.2">
      <c r="A978" s="3" t="str">
        <f t="shared" si="15"/>
        <v xml:space="preserve">                                                  </v>
      </c>
      <c r="B978" s="24" t="s">
        <v>174</v>
      </c>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row>
    <row r="979" spans="1:52" ht="18" customHeight="1" x14ac:dyDescent="0.2">
      <c r="A979" s="3" t="str">
        <f t="shared" si="15"/>
        <v xml:space="preserve">                                                  </v>
      </c>
      <c r="B979" s="24" t="s">
        <v>174</v>
      </c>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row>
    <row r="980" spans="1:52" ht="18" customHeight="1" x14ac:dyDescent="0.2">
      <c r="A980" s="3" t="str">
        <f t="shared" si="15"/>
        <v xml:space="preserve">                                                  </v>
      </c>
      <c r="B980" s="24" t="s">
        <v>174</v>
      </c>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row>
    <row r="981" spans="1:52" ht="18" customHeight="1" x14ac:dyDescent="0.2">
      <c r="A981" s="3" t="str">
        <f t="shared" si="15"/>
        <v xml:space="preserve">                                                  </v>
      </c>
      <c r="B981" s="24" t="s">
        <v>174</v>
      </c>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row>
    <row r="982" spans="1:52" ht="18" customHeight="1" x14ac:dyDescent="0.2">
      <c r="A982" s="3" t="str">
        <f t="shared" si="15"/>
        <v xml:space="preserve">                                                  </v>
      </c>
      <c r="B982" s="24" t="s">
        <v>174</v>
      </c>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row>
    <row r="983" spans="1:52" ht="18" customHeight="1" x14ac:dyDescent="0.2">
      <c r="A983" s="3" t="str">
        <f t="shared" si="15"/>
        <v xml:space="preserve">                                                  </v>
      </c>
      <c r="B983" s="24" t="s">
        <v>174</v>
      </c>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row>
    <row r="984" spans="1:52" ht="18" customHeight="1" x14ac:dyDescent="0.2">
      <c r="A984" s="3" t="str">
        <f t="shared" si="15"/>
        <v xml:space="preserve">                                                  </v>
      </c>
      <c r="B984" s="24" t="s">
        <v>174</v>
      </c>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row>
    <row r="985" spans="1:52" ht="18" customHeight="1" x14ac:dyDescent="0.2">
      <c r="A985" s="3" t="str">
        <f t="shared" si="15"/>
        <v xml:space="preserve">                                                  </v>
      </c>
      <c r="B985" s="24" t="s">
        <v>174</v>
      </c>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row>
    <row r="986" spans="1:52" ht="18" customHeight="1" x14ac:dyDescent="0.2">
      <c r="A986" s="3" t="str">
        <f t="shared" si="15"/>
        <v xml:space="preserve">                                                  </v>
      </c>
      <c r="B986" s="24" t="s">
        <v>174</v>
      </c>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row>
    <row r="987" spans="1:52" ht="18" customHeight="1" x14ac:dyDescent="0.2">
      <c r="A987" s="3" t="str">
        <f t="shared" si="15"/>
        <v xml:space="preserve">                                                  </v>
      </c>
      <c r="B987" s="24" t="s">
        <v>174</v>
      </c>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row>
    <row r="988" spans="1:52" ht="18" customHeight="1" x14ac:dyDescent="0.2">
      <c r="A988" s="3" t="str">
        <f t="shared" si="15"/>
        <v xml:space="preserve">                                                  </v>
      </c>
      <c r="B988" s="24" t="s">
        <v>174</v>
      </c>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row>
    <row r="989" spans="1:52" ht="18" customHeight="1" x14ac:dyDescent="0.2">
      <c r="A989" s="3" t="str">
        <f t="shared" si="15"/>
        <v xml:space="preserve">                                                  </v>
      </c>
      <c r="B989" s="24" t="s">
        <v>174</v>
      </c>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row>
    <row r="990" spans="1:52" ht="18" customHeight="1" x14ac:dyDescent="0.2">
      <c r="A990" s="3" t="str">
        <f t="shared" si="15"/>
        <v xml:space="preserve">                                                  </v>
      </c>
      <c r="B990" s="24" t="s">
        <v>174</v>
      </c>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row>
    <row r="991" spans="1:52" ht="18" customHeight="1" x14ac:dyDescent="0.2">
      <c r="A991" s="3" t="str">
        <f t="shared" si="15"/>
        <v xml:space="preserve">                                                  </v>
      </c>
      <c r="B991" s="24" t="s">
        <v>174</v>
      </c>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row>
    <row r="992" spans="1:52" ht="18" customHeight="1" x14ac:dyDescent="0.2">
      <c r="A992" s="3" t="str">
        <f t="shared" si="15"/>
        <v xml:space="preserve">                                                  </v>
      </c>
      <c r="B992" s="24" t="s">
        <v>174</v>
      </c>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row>
    <row r="993" spans="1:52" ht="18" customHeight="1" x14ac:dyDescent="0.2">
      <c r="A993" s="3" t="str">
        <f t="shared" si="15"/>
        <v xml:space="preserve">                                                  </v>
      </c>
      <c r="B993" s="24" t="s">
        <v>174</v>
      </c>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row>
    <row r="994" spans="1:52" ht="18" customHeight="1" x14ac:dyDescent="0.2">
      <c r="A994" s="3" t="str">
        <f t="shared" si="15"/>
        <v xml:space="preserve">                                                  </v>
      </c>
      <c r="B994" s="24" t="s">
        <v>174</v>
      </c>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row>
    <row r="995" spans="1:52" ht="18" customHeight="1" x14ac:dyDescent="0.2">
      <c r="A995" s="3" t="str">
        <f t="shared" si="15"/>
        <v xml:space="preserve">                                                  </v>
      </c>
      <c r="B995" s="24" t="s">
        <v>174</v>
      </c>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row>
    <row r="996" spans="1:52" ht="18" customHeight="1" x14ac:dyDescent="0.2">
      <c r="A996" s="3" t="str">
        <f t="shared" si="15"/>
        <v xml:space="preserve">                                                  </v>
      </c>
      <c r="B996" s="24" t="s">
        <v>174</v>
      </c>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row>
    <row r="997" spans="1:52" ht="18" customHeight="1" x14ac:dyDescent="0.2">
      <c r="A997" s="3" t="str">
        <f t="shared" si="15"/>
        <v xml:space="preserve">                                                  </v>
      </c>
      <c r="B997" s="24" t="s">
        <v>174</v>
      </c>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row>
    <row r="998" spans="1:52" ht="18" customHeight="1" x14ac:dyDescent="0.2">
      <c r="A998" s="3" t="str">
        <f t="shared" si="15"/>
        <v xml:space="preserve">                                                  </v>
      </c>
      <c r="B998" s="24" t="s">
        <v>174</v>
      </c>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row>
    <row r="999" spans="1:52" ht="18" customHeight="1" x14ac:dyDescent="0.2">
      <c r="A999" s="3" t="str">
        <f t="shared" si="15"/>
        <v xml:space="preserve">                                                  </v>
      </c>
      <c r="B999" s="24" t="s">
        <v>174</v>
      </c>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row>
    <row r="1000" spans="1:52" ht="18" customHeight="1" x14ac:dyDescent="0.2">
      <c r="A1000" s="3" t="str">
        <f t="shared" si="15"/>
        <v xml:space="preserve">                                                  </v>
      </c>
      <c r="B1000" s="24" t="s">
        <v>174</v>
      </c>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row>
  </sheetData>
  <mergeCells count="12">
    <mergeCell ref="C20:N20"/>
    <mergeCell ref="C2:N2"/>
    <mergeCell ref="C3:N3"/>
    <mergeCell ref="C9:N9"/>
    <mergeCell ref="C10:N10"/>
    <mergeCell ref="C11:N11"/>
    <mergeCell ref="C12:N12"/>
    <mergeCell ref="C13:N13"/>
    <mergeCell ref="C16:N16"/>
    <mergeCell ref="C17:N17"/>
    <mergeCell ref="C18:N18"/>
    <mergeCell ref="C19:N19"/>
  </mergeCells>
  <hyperlinks>
    <hyperlink ref="C5" r:id="rId1" tooltip="Vis tidsserie, kræver SVG-læser" display="http://jupiter.geus.dk/cgi-bin/analysisTimeSeries.dll/svg?anlaegid=103487&amp;stofnr=41&amp;mac=&amp;extrasampleid=1401964"/>
    <hyperlink ref="C6" r:id="rId2" tooltip="Vis tidsserie, kræver SVG-læser" display="http://jupiter.geus.dk/cgi-bin/analysisTimeSeries.dll/svg?anlaegid=103487&amp;stofnr=46&amp;mac=&amp;extrasampleid=1401964"/>
    <hyperlink ref="C7" r:id="rId3" tooltip="Vis tidsserie, kræver SVG-læser" display="http://jupiter.geus.dk/cgi-bin/analysisTimeSeries.dll/svg?anlaegid=103487&amp;stofnr=61&amp;mac=&amp;extrasampleid=1401964"/>
    <hyperlink ref="C8" r:id="rId4" tooltip="Vis tidsserie, kræver SVG-læser" display="http://jupiter.geus.dk/cgi-bin/analysisTimeSeries.dll/svg?anlaegid=103487&amp;stofnr=11&amp;mac=&amp;extrasampleid=1401964"/>
    <hyperlink ref="C15" r:id="rId5" tooltip="Vis tidsserie, kræver SVG-læser" display="http://jupiter.geus.dk/cgi-bin/analysisTimeSeries.dll/svg?anlaegid=103487&amp;stofnr=2041&amp;mac=&amp;extrasampleid=1401964"/>
    <hyperlink ref="C22" r:id="rId6" tooltip="Vis tidsserie, kræver SVG-læser" display="http://jupiter.geus.dk/cgi-bin/analysisTimeSeries.dll/svg?anlaegid=103487&amp;stofnr=9051&amp;mac=&amp;extrasampleid=1401964"/>
    <hyperlink ref="C23" r:id="rId7" tooltip="Vis tidsserie, kræver SVG-læser" display="http://jupiter.geus.dk/cgi-bin/analysisTimeSeries.dll/svg?anlaegid=103487&amp;stofnr=9186&amp;mac=&amp;extrasampleid=1401964"/>
    <hyperlink ref="C24" r:id="rId8" tooltip="Vis tidsserie, kræver SVG-læser" display="http://jupiter.geus.dk/cgi-bin/analysisTimeSeries.dll/svg?anlaegid=103487&amp;stofnr=9037&amp;mac=&amp;extrasampleid=140196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Analysepakker</vt:lpstr>
      <vt:lpstr>Rådata</vt:lpstr>
      <vt:lpstr>GEUS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Mads Schmidt Christensen</dc:creator>
  <cp:lastModifiedBy>Mads Schmidt Christensen</cp:lastModifiedBy>
  <dcterms:created xsi:type="dcterms:W3CDTF">2011-09-15T05:42:10Z</dcterms:created>
  <dcterms:modified xsi:type="dcterms:W3CDTF">2018-09-04T07:43:40Z</dcterms:modified>
</cp:coreProperties>
</file>