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029" codeName="{22E68647-3C60-695B-3CA0-4895CD717B8A}"/>
  <workbookPr codeName="Denne_projektmappe"/>
  <mc:AlternateContent xmlns:mc="http://schemas.openxmlformats.org/markup-compatibility/2006">
    <mc:Choice Requires="x15">
      <x15ac:absPath xmlns:x15ac="http://schemas.microsoft.com/office/spreadsheetml/2010/11/ac" url="\\Kk.intern.dk\dfs\Afdeling\DET_TEKNISKE_OMRAADE\Plan_Byg_Miljoe\Natur_og_Miljø\02_Grundvand\Data\Jupiterdata\Jupiter_udvikling\"/>
    </mc:Choice>
  </mc:AlternateContent>
  <xr:revisionPtr revIDLastSave="0" documentId="13_ncr:1_{2E28C5A3-CA43-48C2-A21C-BD0D0D23FEEB}" xr6:coauthVersionLast="40" xr6:coauthVersionMax="40" xr10:uidLastSave="{00000000-0000-0000-0000-000000000000}"/>
  <bookViews>
    <workbookView xWindow="120" yWindow="45" windowWidth="12240" windowHeight="7170" xr2:uid="{00000000-000D-0000-FFFF-FFFF00000000}"/>
  </bookViews>
  <sheets>
    <sheet name="Analysepakker" sheetId="1" r:id="rId1"/>
    <sheet name="Rådata" sheetId="2" r:id="rId2"/>
    <sheet name="GEUS data" sheetId="3" r:id="rId3"/>
  </sheets>
  <functionGroups builtInGroupCount="19"/>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224" i="1" l="1"/>
  <c r="M224" i="1"/>
  <c r="N224" i="1"/>
  <c r="O224" i="1"/>
  <c r="K224" i="1"/>
  <c r="L246" i="1"/>
  <c r="M246" i="1"/>
  <c r="N246" i="1"/>
  <c r="O246" i="1"/>
  <c r="K246" i="1"/>
  <c r="L304" i="1"/>
  <c r="M304" i="1"/>
  <c r="N304" i="1"/>
  <c r="O304" i="1"/>
  <c r="K304" i="1"/>
  <c r="L326" i="1"/>
  <c r="M326" i="1"/>
  <c r="N326" i="1"/>
  <c r="O326" i="1"/>
  <c r="K326" i="1"/>
  <c r="F326" i="1"/>
  <c r="F304" i="1"/>
  <c r="F246" i="1"/>
  <c r="F224" i="1"/>
  <c r="K125" i="1"/>
  <c r="L211" i="1" l="1"/>
  <c r="M211" i="1"/>
  <c r="N211" i="1"/>
  <c r="O211" i="1"/>
  <c r="L284" i="1"/>
  <c r="M284" i="1"/>
  <c r="N284" i="1"/>
  <c r="O284" i="1"/>
  <c r="K207" i="1"/>
  <c r="K206" i="1"/>
  <c r="K284" i="1" s="1"/>
  <c r="K273" i="1"/>
  <c r="O145" i="1" l="1"/>
  <c r="O147" i="1"/>
  <c r="O148" i="1"/>
  <c r="O149" i="1"/>
  <c r="O150" i="1"/>
  <c r="O152" i="1"/>
  <c r="O153" i="1"/>
  <c r="O154" i="1"/>
  <c r="O155" i="1"/>
  <c r="O156" i="1"/>
  <c r="O157" i="1"/>
  <c r="O158" i="1"/>
  <c r="O159" i="1"/>
  <c r="O161" i="1"/>
  <c r="O162" i="1"/>
  <c r="O163" i="1"/>
  <c r="O165" i="1"/>
  <c r="O166" i="1"/>
  <c r="O167" i="1"/>
  <c r="O168" i="1"/>
  <c r="O169" i="1"/>
  <c r="O170" i="1"/>
  <c r="O171" i="1"/>
  <c r="O172" i="1"/>
  <c r="O173" i="1"/>
  <c r="O174" i="1"/>
  <c r="O175" i="1"/>
  <c r="O176" i="1"/>
  <c r="O178" i="1"/>
  <c r="O180" i="1"/>
  <c r="O181" i="1"/>
  <c r="O182" i="1"/>
  <c r="O183" i="1"/>
  <c r="O184" i="1"/>
  <c r="O185" i="1"/>
  <c r="O190" i="1"/>
  <c r="O191" i="1"/>
  <c r="O192" i="1"/>
  <c r="O193" i="1"/>
  <c r="O196" i="1"/>
  <c r="O197" i="1"/>
  <c r="O198" i="1"/>
  <c r="O199" i="1"/>
  <c r="O200" i="1"/>
  <c r="O201" i="1"/>
  <c r="O202" i="1"/>
  <c r="O203" i="1"/>
  <c r="O204" i="1"/>
  <c r="O212" i="1"/>
  <c r="O213" i="1"/>
  <c r="O216" i="1"/>
  <c r="O217" i="1"/>
  <c r="O218" i="1"/>
  <c r="O219" i="1"/>
  <c r="O220" i="1"/>
  <c r="O221" i="1"/>
  <c r="O222" i="1"/>
  <c r="O223" i="1"/>
  <c r="O225" i="1"/>
  <c r="O226" i="1"/>
  <c r="O227" i="1"/>
  <c r="O228" i="1"/>
  <c r="O229" i="1"/>
  <c r="O230" i="1"/>
  <c r="O231" i="1"/>
  <c r="O232" i="1"/>
  <c r="O233" i="1"/>
  <c r="O235" i="1"/>
  <c r="O236" i="1"/>
  <c r="O237" i="1"/>
  <c r="O238" i="1"/>
  <c r="O239" i="1"/>
  <c r="O240" i="1"/>
  <c r="O241" i="1"/>
  <c r="O242" i="1"/>
  <c r="O243" i="1"/>
  <c r="O244" i="1"/>
  <c r="O245" i="1"/>
  <c r="O247" i="1"/>
  <c r="O248" i="1"/>
  <c r="O249" i="1"/>
  <c r="O250" i="1"/>
  <c r="O251" i="1"/>
  <c r="O252" i="1"/>
  <c r="O253" i="1"/>
  <c r="O254" i="1"/>
  <c r="O255" i="1"/>
  <c r="O256" i="1"/>
  <c r="O257" i="1"/>
  <c r="O258" i="1"/>
  <c r="O259" i="1"/>
  <c r="O260" i="1"/>
  <c r="O261" i="1"/>
  <c r="O266" i="1"/>
  <c r="O267" i="1"/>
  <c r="O268" i="1"/>
  <c r="O269" i="1"/>
  <c r="O272" i="1"/>
  <c r="O274" i="1"/>
  <c r="O275" i="1"/>
  <c r="O276" i="1"/>
  <c r="O278" i="1"/>
  <c r="O279" i="1"/>
  <c r="O280" i="1"/>
  <c r="O281" i="1"/>
  <c r="O282" i="1"/>
  <c r="O283" i="1"/>
  <c r="O286" i="1"/>
  <c r="O287" i="1"/>
  <c r="O289" i="1"/>
  <c r="O290" i="1"/>
  <c r="O292" i="1"/>
  <c r="O293" i="1"/>
  <c r="O296" i="1"/>
  <c r="O297" i="1"/>
  <c r="O298" i="1"/>
  <c r="O299" i="1"/>
  <c r="O300" i="1"/>
  <c r="O301" i="1"/>
  <c r="O302" i="1"/>
  <c r="O303" i="1"/>
  <c r="O305" i="1"/>
  <c r="O306" i="1"/>
  <c r="O307" i="1"/>
  <c r="O308" i="1"/>
  <c r="O309" i="1"/>
  <c r="O310" i="1"/>
  <c r="O311" i="1"/>
  <c r="O312" i="1"/>
  <c r="O313" i="1"/>
  <c r="O315" i="1"/>
  <c r="O316" i="1"/>
  <c r="O317" i="1"/>
  <c r="O318" i="1"/>
  <c r="O319" i="1"/>
  <c r="O320" i="1"/>
  <c r="O321" i="1"/>
  <c r="O322" i="1"/>
  <c r="O323" i="1"/>
  <c r="O324" i="1"/>
  <c r="O325" i="1"/>
  <c r="O327" i="1"/>
  <c r="O328" i="1"/>
  <c r="O329" i="1"/>
  <c r="O330" i="1"/>
  <c r="O331" i="1"/>
  <c r="O332" i="1"/>
  <c r="O333" i="1"/>
  <c r="O334" i="1"/>
  <c r="O335" i="1"/>
  <c r="O336" i="1"/>
  <c r="O337" i="1"/>
  <c r="O338" i="1"/>
  <c r="O339" i="1"/>
  <c r="O340" i="1"/>
  <c r="O341" i="1"/>
  <c r="O343" i="1"/>
  <c r="O349" i="1"/>
  <c r="O350" i="1"/>
  <c r="O351" i="1"/>
  <c r="O353" i="1"/>
  <c r="O354" i="1"/>
  <c r="O355" i="1"/>
  <c r="O356" i="1"/>
  <c r="O357" i="1"/>
  <c r="O358" i="1"/>
  <c r="O359" i="1"/>
  <c r="O360" i="1"/>
  <c r="O361" i="1"/>
  <c r="O362" i="1"/>
  <c r="O363" i="1"/>
  <c r="O364" i="1"/>
  <c r="O366" i="1"/>
  <c r="O367" i="1"/>
  <c r="O368" i="1"/>
  <c r="O369" i="1"/>
  <c r="O370" i="1"/>
  <c r="O371" i="1"/>
  <c r="N145" i="1"/>
  <c r="N147" i="1"/>
  <c r="N148" i="1"/>
  <c r="N149" i="1"/>
  <c r="N150" i="1"/>
  <c r="N152" i="1"/>
  <c r="N153" i="1"/>
  <c r="N154" i="1"/>
  <c r="N155" i="1"/>
  <c r="N156" i="1"/>
  <c r="N157" i="1"/>
  <c r="N158" i="1"/>
  <c r="N159" i="1"/>
  <c r="N161" i="1"/>
  <c r="N162" i="1"/>
  <c r="N163" i="1"/>
  <c r="N165" i="1"/>
  <c r="N166" i="1"/>
  <c r="N167" i="1"/>
  <c r="N168" i="1"/>
  <c r="N169" i="1"/>
  <c r="N170" i="1"/>
  <c r="N171" i="1"/>
  <c r="N172" i="1"/>
  <c r="N173" i="1"/>
  <c r="N174" i="1"/>
  <c r="N175" i="1"/>
  <c r="N176" i="1"/>
  <c r="N178" i="1"/>
  <c r="N180" i="1"/>
  <c r="N181" i="1"/>
  <c r="N182" i="1"/>
  <c r="N183" i="1"/>
  <c r="N184" i="1"/>
  <c r="N185" i="1"/>
  <c r="N190" i="1"/>
  <c r="N191" i="1"/>
  <c r="N192" i="1"/>
  <c r="N193" i="1"/>
  <c r="N196" i="1"/>
  <c r="N197" i="1"/>
  <c r="N198" i="1"/>
  <c r="N199" i="1"/>
  <c r="N200" i="1"/>
  <c r="N201" i="1"/>
  <c r="N202" i="1"/>
  <c r="N203" i="1"/>
  <c r="N204" i="1"/>
  <c r="N212" i="1"/>
  <c r="N213" i="1"/>
  <c r="N216" i="1"/>
  <c r="N217" i="1"/>
  <c r="N218" i="1"/>
  <c r="N219" i="1"/>
  <c r="N220" i="1"/>
  <c r="N221" i="1"/>
  <c r="N222" i="1"/>
  <c r="N223" i="1"/>
  <c r="N225" i="1"/>
  <c r="N226" i="1"/>
  <c r="N227" i="1"/>
  <c r="N228" i="1"/>
  <c r="N229" i="1"/>
  <c r="N230" i="1"/>
  <c r="N231" i="1"/>
  <c r="N232" i="1"/>
  <c r="N233" i="1"/>
  <c r="N235" i="1"/>
  <c r="N236" i="1"/>
  <c r="N237" i="1"/>
  <c r="N238" i="1"/>
  <c r="N239" i="1"/>
  <c r="N240" i="1"/>
  <c r="N241" i="1"/>
  <c r="N242" i="1"/>
  <c r="N243" i="1"/>
  <c r="N244" i="1"/>
  <c r="N245" i="1"/>
  <c r="N247" i="1"/>
  <c r="N248" i="1"/>
  <c r="N249" i="1"/>
  <c r="N250" i="1"/>
  <c r="N251" i="1"/>
  <c r="N252" i="1"/>
  <c r="N253" i="1"/>
  <c r="N254" i="1"/>
  <c r="N255" i="1"/>
  <c r="N256" i="1"/>
  <c r="N257" i="1"/>
  <c r="N258" i="1"/>
  <c r="N259" i="1"/>
  <c r="N260" i="1"/>
  <c r="N261" i="1"/>
  <c r="N266" i="1"/>
  <c r="N267" i="1"/>
  <c r="N268" i="1"/>
  <c r="N269" i="1"/>
  <c r="N272" i="1"/>
  <c r="N274" i="1"/>
  <c r="N275" i="1"/>
  <c r="N276" i="1"/>
  <c r="N278" i="1"/>
  <c r="N279" i="1"/>
  <c r="N280" i="1"/>
  <c r="N281" i="1"/>
  <c r="N282" i="1"/>
  <c r="N283" i="1"/>
  <c r="N286" i="1"/>
  <c r="N287" i="1"/>
  <c r="N289" i="1"/>
  <c r="N290" i="1"/>
  <c r="N292" i="1"/>
  <c r="N293" i="1"/>
  <c r="N296" i="1"/>
  <c r="N297" i="1"/>
  <c r="N298" i="1"/>
  <c r="N299" i="1"/>
  <c r="N300" i="1"/>
  <c r="N301" i="1"/>
  <c r="N302" i="1"/>
  <c r="N303" i="1"/>
  <c r="N305" i="1"/>
  <c r="N306" i="1"/>
  <c r="N307" i="1"/>
  <c r="N308" i="1"/>
  <c r="N309" i="1"/>
  <c r="N310" i="1"/>
  <c r="N311" i="1"/>
  <c r="N312" i="1"/>
  <c r="N313" i="1"/>
  <c r="N315" i="1"/>
  <c r="N316" i="1"/>
  <c r="N317" i="1"/>
  <c r="N318" i="1"/>
  <c r="N319" i="1"/>
  <c r="N320" i="1"/>
  <c r="N321" i="1"/>
  <c r="N322" i="1"/>
  <c r="N323" i="1"/>
  <c r="N324" i="1"/>
  <c r="N325" i="1"/>
  <c r="N327" i="1"/>
  <c r="N328" i="1"/>
  <c r="N329" i="1"/>
  <c r="N330" i="1"/>
  <c r="N331" i="1"/>
  <c r="N332" i="1"/>
  <c r="N333" i="1"/>
  <c r="N334" i="1"/>
  <c r="N335" i="1"/>
  <c r="N336" i="1"/>
  <c r="N337" i="1"/>
  <c r="N338" i="1"/>
  <c r="N339" i="1"/>
  <c r="N340" i="1"/>
  <c r="N341" i="1"/>
  <c r="N343" i="1"/>
  <c r="N349" i="1"/>
  <c r="N350" i="1"/>
  <c r="N351" i="1"/>
  <c r="N353" i="1"/>
  <c r="N354" i="1"/>
  <c r="N355" i="1"/>
  <c r="N356" i="1"/>
  <c r="N357" i="1"/>
  <c r="N358" i="1"/>
  <c r="N359" i="1"/>
  <c r="N360" i="1"/>
  <c r="N361" i="1"/>
  <c r="N362" i="1"/>
  <c r="N363" i="1"/>
  <c r="N364" i="1"/>
  <c r="N366" i="1"/>
  <c r="N367" i="1"/>
  <c r="N368" i="1"/>
  <c r="N369" i="1"/>
  <c r="N370" i="1"/>
  <c r="N371" i="1"/>
  <c r="K103" i="1" l="1"/>
  <c r="M148" i="1" l="1"/>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3" i="3"/>
  <c r="A2" i="3"/>
  <c r="S186" i="1" l="1"/>
  <c r="L286" i="1" l="1"/>
  <c r="M286" i="1"/>
  <c r="L287" i="1"/>
  <c r="M287" i="1"/>
  <c r="L283" i="1"/>
  <c r="M283" i="1"/>
  <c r="L276" i="1"/>
  <c r="M276" i="1"/>
  <c r="L202" i="1"/>
  <c r="M202" i="1"/>
  <c r="L282" i="1"/>
  <c r="M282" i="1"/>
  <c r="L278" i="1"/>
  <c r="M278" i="1"/>
  <c r="L279" i="1"/>
  <c r="M279" i="1"/>
  <c r="L280" i="1"/>
  <c r="M280" i="1"/>
  <c r="L212" i="1"/>
  <c r="M212" i="1"/>
  <c r="L213" i="1"/>
  <c r="M213" i="1"/>
  <c r="L204" i="1"/>
  <c r="M204" i="1"/>
  <c r="L293" i="1"/>
  <c r="M293" i="1"/>
  <c r="L289" i="1"/>
  <c r="M289" i="1"/>
  <c r="L156" i="1"/>
  <c r="M156" i="1"/>
  <c r="L157" i="1"/>
  <c r="M157" i="1"/>
  <c r="L158" i="1"/>
  <c r="M158" i="1"/>
  <c r="L159" i="1"/>
  <c r="M159" i="1"/>
  <c r="K25" i="1"/>
  <c r="L266" i="1"/>
  <c r="M266" i="1"/>
  <c r="L292" i="1"/>
  <c r="M292" i="1"/>
  <c r="L290" i="1"/>
  <c r="M290" i="1"/>
  <c r="K291" i="1"/>
  <c r="L153" i="1"/>
  <c r="M153" i="1"/>
  <c r="L154" i="1"/>
  <c r="M154" i="1"/>
  <c r="L155" i="1"/>
  <c r="M155" i="1"/>
  <c r="L203" i="1"/>
  <c r="M203" i="1"/>
  <c r="K203" i="1"/>
  <c r="L272" i="1"/>
  <c r="M272" i="1"/>
  <c r="L199" i="1"/>
  <c r="M199" i="1"/>
  <c r="L193" i="1"/>
  <c r="M193" i="1"/>
  <c r="L150" i="1"/>
  <c r="M150" i="1"/>
  <c r="L281" i="1"/>
  <c r="M281" i="1"/>
  <c r="K281" i="1"/>
  <c r="L145" i="1"/>
  <c r="M145" i="1"/>
  <c r="K145" i="1"/>
  <c r="L349" i="1"/>
  <c r="M349" i="1"/>
  <c r="L350" i="1"/>
  <c r="M350" i="1"/>
  <c r="L351" i="1"/>
  <c r="M351" i="1"/>
  <c r="L161" i="1"/>
  <c r="M161" i="1"/>
  <c r="L162" i="1"/>
  <c r="M162" i="1"/>
  <c r="L163" i="1"/>
  <c r="M163" i="1"/>
  <c r="L353" i="1"/>
  <c r="M353" i="1"/>
  <c r="L354" i="1"/>
  <c r="M354" i="1"/>
  <c r="L355" i="1"/>
  <c r="M355" i="1"/>
  <c r="L356" i="1"/>
  <c r="M356" i="1"/>
  <c r="L357" i="1"/>
  <c r="M357" i="1"/>
  <c r="L358" i="1"/>
  <c r="M358" i="1"/>
  <c r="L359" i="1"/>
  <c r="M359" i="1"/>
  <c r="L360" i="1"/>
  <c r="M360" i="1"/>
  <c r="L361" i="1"/>
  <c r="M361" i="1"/>
  <c r="L362" i="1"/>
  <c r="M362" i="1"/>
  <c r="L363" i="1"/>
  <c r="M363" i="1"/>
  <c r="L364" i="1"/>
  <c r="M364" i="1"/>
  <c r="L165" i="1"/>
  <c r="M165" i="1"/>
  <c r="L166" i="1"/>
  <c r="M166" i="1"/>
  <c r="L167" i="1"/>
  <c r="M167" i="1"/>
  <c r="L168" i="1"/>
  <c r="M168" i="1"/>
  <c r="L169" i="1"/>
  <c r="M169" i="1"/>
  <c r="L170" i="1"/>
  <c r="M170" i="1"/>
  <c r="L171" i="1"/>
  <c r="M171" i="1"/>
  <c r="L172" i="1"/>
  <c r="M172" i="1"/>
  <c r="L173" i="1"/>
  <c r="M173" i="1"/>
  <c r="L174" i="1"/>
  <c r="M174" i="1"/>
  <c r="L175" i="1"/>
  <c r="M175" i="1"/>
  <c r="L176" i="1"/>
  <c r="M176" i="1"/>
  <c r="L343" i="1"/>
  <c r="M343" i="1"/>
  <c r="L178" i="1"/>
  <c r="M178" i="1"/>
  <c r="L180" i="1"/>
  <c r="M180" i="1"/>
  <c r="L181" i="1"/>
  <c r="M181" i="1"/>
  <c r="L182" i="1"/>
  <c r="M182" i="1"/>
  <c r="L183" i="1"/>
  <c r="M183" i="1"/>
  <c r="L184" i="1"/>
  <c r="M184" i="1"/>
  <c r="L185" i="1"/>
  <c r="M185" i="1"/>
  <c r="K184" i="1"/>
  <c r="L366" i="1"/>
  <c r="M366" i="1"/>
  <c r="L367" i="1"/>
  <c r="M367" i="1"/>
  <c r="L368" i="1"/>
  <c r="M368" i="1"/>
  <c r="L369" i="1"/>
  <c r="M369" i="1"/>
  <c r="L370" i="1"/>
  <c r="M370" i="1"/>
  <c r="L371" i="1"/>
  <c r="M371" i="1"/>
  <c r="K370" i="1"/>
  <c r="L216" i="1"/>
  <c r="M216" i="1"/>
  <c r="L217" i="1"/>
  <c r="M217" i="1"/>
  <c r="L218" i="1"/>
  <c r="M218" i="1"/>
  <c r="L219" i="1"/>
  <c r="M219" i="1"/>
  <c r="L220" i="1"/>
  <c r="M220" i="1"/>
  <c r="L221" i="1"/>
  <c r="M221" i="1"/>
  <c r="L222" i="1"/>
  <c r="M222" i="1"/>
  <c r="L223" i="1"/>
  <c r="M223" i="1"/>
  <c r="L225" i="1"/>
  <c r="M225" i="1"/>
  <c r="L226" i="1"/>
  <c r="M226" i="1"/>
  <c r="L227" i="1"/>
  <c r="M227" i="1"/>
  <c r="L228" i="1"/>
  <c r="M228" i="1"/>
  <c r="L229" i="1"/>
  <c r="M229" i="1"/>
  <c r="L230" i="1"/>
  <c r="M230" i="1"/>
  <c r="L231" i="1"/>
  <c r="M231" i="1"/>
  <c r="L232" i="1"/>
  <c r="M232" i="1"/>
  <c r="L233" i="1"/>
  <c r="M233" i="1"/>
  <c r="K226" i="1"/>
  <c r="K231" i="1"/>
  <c r="L296" i="1"/>
  <c r="M296" i="1"/>
  <c r="L297" i="1"/>
  <c r="M297" i="1"/>
  <c r="L298" i="1"/>
  <c r="M298" i="1"/>
  <c r="L299" i="1"/>
  <c r="M299" i="1"/>
  <c r="L300" i="1"/>
  <c r="M300" i="1"/>
  <c r="L301" i="1"/>
  <c r="M301" i="1"/>
  <c r="L302" i="1"/>
  <c r="M302" i="1"/>
  <c r="L303" i="1"/>
  <c r="M303" i="1"/>
  <c r="L305" i="1"/>
  <c r="M305" i="1"/>
  <c r="L306" i="1"/>
  <c r="M306" i="1"/>
  <c r="L307" i="1"/>
  <c r="M307" i="1"/>
  <c r="L308" i="1"/>
  <c r="M308" i="1"/>
  <c r="L309" i="1"/>
  <c r="M309" i="1"/>
  <c r="L310" i="1"/>
  <c r="M310" i="1"/>
  <c r="L311" i="1"/>
  <c r="M311" i="1"/>
  <c r="L312" i="1"/>
  <c r="M312" i="1"/>
  <c r="L313" i="1"/>
  <c r="M313" i="1"/>
  <c r="K306" i="1"/>
  <c r="K311" i="1"/>
  <c r="L235" i="1"/>
  <c r="M235" i="1"/>
  <c r="L236" i="1"/>
  <c r="M236" i="1"/>
  <c r="L237" i="1"/>
  <c r="M237" i="1"/>
  <c r="L238" i="1"/>
  <c r="M238" i="1"/>
  <c r="L239" i="1"/>
  <c r="M239" i="1"/>
  <c r="L240" i="1"/>
  <c r="M240" i="1"/>
  <c r="L241" i="1"/>
  <c r="M241" i="1"/>
  <c r="L242" i="1"/>
  <c r="M242" i="1"/>
  <c r="L243" i="1"/>
  <c r="M243" i="1"/>
  <c r="L244" i="1"/>
  <c r="M244" i="1"/>
  <c r="L245" i="1"/>
  <c r="M245"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M260" i="1"/>
  <c r="L261" i="1"/>
  <c r="M261" i="1"/>
  <c r="K243" i="1"/>
  <c r="K244" i="1"/>
  <c r="K245" i="1"/>
  <c r="K247" i="1"/>
  <c r="K253" i="1"/>
  <c r="K257" i="1"/>
  <c r="K235" i="1"/>
  <c r="K239" i="1"/>
  <c r="K240" i="1"/>
  <c r="L315" i="1"/>
  <c r="M315" i="1"/>
  <c r="L316" i="1"/>
  <c r="M316" i="1"/>
  <c r="L317" i="1"/>
  <c r="M317" i="1"/>
  <c r="L318" i="1"/>
  <c r="M318" i="1"/>
  <c r="L319" i="1"/>
  <c r="M319" i="1"/>
  <c r="L320" i="1"/>
  <c r="M320" i="1"/>
  <c r="L321" i="1"/>
  <c r="M321" i="1"/>
  <c r="L322" i="1"/>
  <c r="M322" i="1"/>
  <c r="L323" i="1"/>
  <c r="M323" i="1"/>
  <c r="L324" i="1"/>
  <c r="M324" i="1"/>
  <c r="L325" i="1"/>
  <c r="M325"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M340" i="1"/>
  <c r="L341" i="1"/>
  <c r="M341" i="1"/>
  <c r="K337" i="1"/>
  <c r="K333" i="1"/>
  <c r="K327" i="1"/>
  <c r="K325" i="1"/>
  <c r="K324" i="1"/>
  <c r="K323" i="1"/>
  <c r="K315" i="1"/>
  <c r="K319" i="1"/>
  <c r="K320" i="1"/>
  <c r="K322" i="1"/>
  <c r="K242" i="1"/>
  <c r="L274" i="1"/>
  <c r="M274" i="1"/>
  <c r="L200" i="1"/>
  <c r="M200" i="1"/>
  <c r="L152" i="1"/>
  <c r="M152" i="1"/>
  <c r="L275" i="1"/>
  <c r="M275" i="1"/>
  <c r="L201" i="1"/>
  <c r="M201" i="1"/>
  <c r="L190" i="1"/>
  <c r="M190" i="1"/>
  <c r="L191" i="1"/>
  <c r="M191" i="1"/>
  <c r="K191" i="1"/>
  <c r="L147" i="1"/>
  <c r="M147" i="1"/>
  <c r="L148" i="1"/>
  <c r="K148" i="1"/>
  <c r="L192" i="1"/>
  <c r="M192" i="1"/>
  <c r="K192" i="1"/>
  <c r="L149" i="1"/>
  <c r="M149" i="1"/>
  <c r="K149" i="1"/>
  <c r="L269" i="1"/>
  <c r="M269" i="1"/>
  <c r="L198" i="1"/>
  <c r="M198" i="1"/>
  <c r="L268" i="1"/>
  <c r="M268" i="1"/>
  <c r="L197" i="1"/>
  <c r="M197" i="1"/>
  <c r="L267" i="1"/>
  <c r="M267" i="1"/>
  <c r="L196" i="1"/>
  <c r="M196" i="1"/>
  <c r="B2" i="2" l="1"/>
  <c r="B3" i="2" s="1"/>
  <c r="B4" i="2" s="1"/>
  <c r="B5" i="2" s="1"/>
  <c r="B6" i="2" s="1"/>
  <c r="B7" i="2" s="1"/>
  <c r="B8" i="2" s="1"/>
  <c r="B9" i="2" s="1"/>
  <c r="B10" i="2" s="1"/>
  <c r="B11" i="2" s="1"/>
  <c r="B12" i="2" s="1"/>
  <c r="B13" i="2" s="1"/>
  <c r="B14" i="2" s="1"/>
  <c r="B15" i="2" s="1"/>
  <c r="B16" i="2" s="1"/>
  <c r="B17" i="2" s="1"/>
  <c r="B18" i="2" s="1"/>
  <c r="B19" i="2" s="1"/>
  <c r="B20" i="2" s="1"/>
  <c r="B21" i="2" s="1"/>
  <c r="B22" i="2" s="1"/>
  <c r="B23" i="2" s="1"/>
  <c r="B24" i="2" s="1"/>
  <c r="B25" i="2" s="1"/>
  <c r="B26" i="2" s="1"/>
  <c r="B27" i="2" s="1"/>
  <c r="B28" i="2" s="1"/>
  <c r="B29" i="2" s="1"/>
  <c r="B30" i="2" s="1"/>
  <c r="B31" i="2" s="1"/>
  <c r="B32" i="2" s="1"/>
  <c r="B33" i="2" s="1"/>
  <c r="B34" i="2" s="1"/>
  <c r="B35" i="2" s="1"/>
  <c r="B36" i="2" s="1"/>
  <c r="B37" i="2" s="1"/>
  <c r="B38" i="2" s="1"/>
  <c r="B39" i="2" s="1"/>
  <c r="B40" i="2" s="1"/>
  <c r="B41" i="2" s="1"/>
  <c r="B42" i="2" s="1"/>
  <c r="B43" i="2" s="1"/>
  <c r="B44" i="2" s="1"/>
  <c r="B45" i="2" s="1"/>
  <c r="B46" i="2" s="1"/>
  <c r="B47" i="2" s="1"/>
  <c r="B48" i="2" s="1"/>
  <c r="B49" i="2" s="1"/>
  <c r="B50" i="2" s="1"/>
  <c r="B51" i="2" s="1"/>
  <c r="B52" i="2" s="1"/>
  <c r="B53" i="2" s="1"/>
  <c r="B54" i="2" s="1"/>
  <c r="B55" i="2" s="1"/>
  <c r="B56" i="2" s="1"/>
  <c r="B57" i="2" s="1"/>
  <c r="B58" i="2" s="1"/>
  <c r="B59" i="2" s="1"/>
  <c r="B60" i="2" s="1"/>
  <c r="B61" i="2" s="1"/>
  <c r="B62" i="2" s="1"/>
  <c r="B63" i="2" s="1"/>
  <c r="B64" i="2" s="1"/>
  <c r="B65" i="2" s="1"/>
  <c r="B66" i="2" s="1"/>
  <c r="B67" i="2" s="1"/>
  <c r="B68" i="2" s="1"/>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B158" i="2" s="1"/>
  <c r="B159" i="2" s="1"/>
  <c r="B160" i="2" s="1"/>
  <c r="B161" i="2" s="1"/>
  <c r="B162" i="2" s="1"/>
  <c r="B163" i="2" s="1"/>
  <c r="B164" i="2" s="1"/>
  <c r="B165" i="2" s="1"/>
  <c r="B166" i="2" s="1"/>
  <c r="B167" i="2" s="1"/>
  <c r="B168" i="2" s="1"/>
  <c r="B169" i="2" s="1"/>
  <c r="B170" i="2" s="1"/>
  <c r="B171" i="2" s="1"/>
  <c r="B172" i="2" s="1"/>
  <c r="B173" i="2" s="1"/>
  <c r="B174" i="2" s="1"/>
  <c r="B175" i="2" s="1"/>
  <c r="B176" i="2" s="1"/>
  <c r="B177" i="2" s="1"/>
  <c r="B178" i="2" s="1"/>
  <c r="B179" i="2" s="1"/>
  <c r="B180" i="2" s="1"/>
  <c r="B181" i="2" s="1"/>
  <c r="B182" i="2" s="1"/>
  <c r="B183" i="2" s="1"/>
  <c r="B184" i="2" s="1"/>
  <c r="B185" i="2" s="1"/>
  <c r="B186" i="2" s="1"/>
  <c r="B187" i="2" s="1"/>
  <c r="B188" i="2" s="1"/>
  <c r="B189" i="2" s="1"/>
  <c r="B190" i="2" s="1"/>
  <c r="B191" i="2" s="1"/>
  <c r="B192" i="2" s="1"/>
  <c r="B193" i="2" s="1"/>
  <c r="B194" i="2" s="1"/>
  <c r="B195" i="2" s="1"/>
  <c r="B196" i="2" s="1"/>
  <c r="B197" i="2" s="1"/>
  <c r="B198" i="2" s="1"/>
  <c r="B199" i="2" s="1"/>
  <c r="B200" i="2" s="1"/>
  <c r="B201" i="2" s="1"/>
  <c r="B202" i="2" s="1"/>
  <c r="B203" i="2" s="1"/>
  <c r="B204" i="2" s="1"/>
  <c r="B205" i="2" s="1"/>
  <c r="B206" i="2" s="1"/>
  <c r="B207" i="2" s="1"/>
  <c r="B208" i="2" s="1"/>
  <c r="B209" i="2" s="1"/>
  <c r="B210" i="2" s="1"/>
  <c r="B211" i="2" s="1"/>
  <c r="B212" i="2" s="1"/>
  <c r="B213" i="2" s="1"/>
  <c r="B214" i="2" s="1"/>
  <c r="B215" i="2" s="1"/>
  <c r="B216" i="2" s="1"/>
  <c r="B217" i="2" s="1"/>
  <c r="B218" i="2" s="1"/>
  <c r="B219" i="2" s="1"/>
  <c r="B220" i="2" s="1"/>
  <c r="B221" i="2" s="1"/>
  <c r="B222" i="2" s="1"/>
  <c r="B223" i="2" s="1"/>
  <c r="B224" i="2" s="1"/>
  <c r="B225" i="2" s="1"/>
  <c r="B226" i="2" s="1"/>
  <c r="B227" i="2" s="1"/>
  <c r="B228" i="2" s="1"/>
  <c r="B229" i="2" s="1"/>
  <c r="B230" i="2" s="1"/>
  <c r="B231" i="2" s="1"/>
  <c r="B232" i="2" s="1"/>
  <c r="B233" i="2" s="1"/>
  <c r="B234" i="2" s="1"/>
  <c r="B235" i="2" s="1"/>
  <c r="B236" i="2" s="1"/>
  <c r="B237" i="2" s="1"/>
  <c r="B238" i="2" s="1"/>
  <c r="B239" i="2" s="1"/>
  <c r="B240" i="2" s="1"/>
  <c r="B241" i="2" s="1"/>
  <c r="B242" i="2" s="1"/>
  <c r="B243" i="2" s="1"/>
  <c r="B244" i="2" s="1"/>
  <c r="B245" i="2" s="1"/>
  <c r="B246" i="2" s="1"/>
  <c r="B247" i="2" s="1"/>
  <c r="B248" i="2" s="1"/>
  <c r="B249" i="2" s="1"/>
  <c r="B250" i="2" s="1"/>
  <c r="B251" i="2" s="1"/>
  <c r="B252" i="2" s="1"/>
  <c r="B253" i="2" s="1"/>
  <c r="B254" i="2" s="1"/>
  <c r="B255" i="2" s="1"/>
  <c r="B256" i="2" s="1"/>
  <c r="B257" i="2" s="1"/>
  <c r="B258" i="2" s="1"/>
  <c r="B259" i="2" s="1"/>
  <c r="B260" i="2" s="1"/>
  <c r="B261" i="2" s="1"/>
  <c r="B262" i="2" s="1"/>
  <c r="B263" i="2" s="1"/>
  <c r="B264" i="2" s="1"/>
  <c r="B265" i="2" s="1"/>
  <c r="B266" i="2" s="1"/>
  <c r="B267" i="2" s="1"/>
  <c r="B268" i="2" s="1"/>
  <c r="B269" i="2" s="1"/>
  <c r="B270" i="2" s="1"/>
  <c r="B271" i="2" s="1"/>
  <c r="B272" i="2" s="1"/>
  <c r="B273" i="2" s="1"/>
  <c r="B274" i="2" s="1"/>
  <c r="B275" i="2" s="1"/>
  <c r="B276" i="2" s="1"/>
  <c r="B277" i="2" s="1"/>
  <c r="B278" i="2" s="1"/>
  <c r="B279" i="2" s="1"/>
  <c r="B280" i="2" s="1"/>
  <c r="B281" i="2" s="1"/>
  <c r="B282" i="2" s="1"/>
  <c r="B283" i="2" s="1"/>
  <c r="B284" i="2" s="1"/>
  <c r="B285" i="2" s="1"/>
  <c r="B286" i="2" s="1"/>
  <c r="B287" i="2" s="1"/>
  <c r="B288" i="2" s="1"/>
  <c r="B289" i="2" s="1"/>
  <c r="B290" i="2" s="1"/>
  <c r="B291" i="2" s="1"/>
  <c r="B292" i="2" s="1"/>
  <c r="B293" i="2" s="1"/>
  <c r="B294" i="2" s="1"/>
  <c r="B295" i="2" s="1"/>
  <c r="B296" i="2" s="1"/>
  <c r="B297" i="2" s="1"/>
  <c r="B298" i="2" s="1"/>
  <c r="B299" i="2" s="1"/>
  <c r="B300" i="2" s="1"/>
  <c r="B301" i="2" s="1"/>
  <c r="B302" i="2" s="1"/>
  <c r="B303" i="2" s="1"/>
  <c r="B304" i="2" s="1"/>
  <c r="B305" i="2" s="1"/>
  <c r="B306" i="2" s="1"/>
  <c r="B307" i="2" s="1"/>
  <c r="B308" i="2" s="1"/>
  <c r="B309" i="2" s="1"/>
  <c r="B310" i="2" s="1"/>
  <c r="B311" i="2" s="1"/>
  <c r="B312" i="2" s="1"/>
  <c r="B313" i="2" s="1"/>
  <c r="B314" i="2" s="1"/>
  <c r="B315" i="2" s="1"/>
  <c r="B316" i="2" s="1"/>
  <c r="B317" i="2" s="1"/>
  <c r="B318" i="2" s="1"/>
  <c r="B319" i="2" s="1"/>
  <c r="B320" i="2" s="1"/>
  <c r="B321" i="2" s="1"/>
  <c r="B322" i="2" s="1"/>
  <c r="B323" i="2" s="1"/>
  <c r="B324" i="2" s="1"/>
  <c r="B325" i="2" s="1"/>
  <c r="B326" i="2" s="1"/>
  <c r="B327" i="2" s="1"/>
  <c r="B328" i="2" s="1"/>
  <c r="B329" i="2" s="1"/>
  <c r="B330" i="2" s="1"/>
  <c r="B331" i="2" s="1"/>
  <c r="B332" i="2" s="1"/>
  <c r="B333" i="2" s="1"/>
  <c r="B334" i="2" s="1"/>
  <c r="B335" i="2" s="1"/>
  <c r="B336" i="2" s="1"/>
  <c r="B337" i="2" s="1"/>
  <c r="B338" i="2" s="1"/>
  <c r="B339" i="2" s="1"/>
  <c r="B340" i="2" s="1"/>
  <c r="B341" i="2" s="1"/>
  <c r="B342" i="2" s="1"/>
  <c r="B343" i="2" s="1"/>
  <c r="B344" i="2" s="1"/>
  <c r="B345" i="2" s="1"/>
  <c r="B346" i="2" s="1"/>
  <c r="B347" i="2" s="1"/>
  <c r="B348" i="2" s="1"/>
  <c r="B349" i="2" s="1"/>
  <c r="B350" i="2" s="1"/>
  <c r="B351" i="2" s="1"/>
  <c r="B352" i="2" s="1"/>
  <c r="B353" i="2" s="1"/>
  <c r="B354" i="2" s="1"/>
  <c r="B355" i="2" s="1"/>
  <c r="B356" i="2" s="1"/>
  <c r="B357" i="2" s="1"/>
  <c r="B358" i="2" s="1"/>
  <c r="B359" i="2" s="1"/>
  <c r="B360" i="2" s="1"/>
  <c r="B361" i="2" s="1"/>
  <c r="B362" i="2" s="1"/>
  <c r="B363" i="2" s="1"/>
  <c r="B364" i="2" s="1"/>
  <c r="B365" i="2" s="1"/>
  <c r="B366" i="2" s="1"/>
  <c r="B367" i="2" s="1"/>
  <c r="B368" i="2" s="1"/>
  <c r="B369" i="2" s="1"/>
  <c r="B370" i="2" s="1"/>
  <c r="B371" i="2" s="1"/>
  <c r="B372" i="2" s="1"/>
  <c r="B373" i="2" s="1"/>
  <c r="B374" i="2" s="1"/>
  <c r="B375" i="2" s="1"/>
  <c r="B376" i="2" s="1"/>
  <c r="B377" i="2" s="1"/>
  <c r="B378" i="2" s="1"/>
  <c r="B379" i="2" s="1"/>
  <c r="B380" i="2" s="1"/>
  <c r="B381" i="2" s="1"/>
  <c r="B382" i="2" s="1"/>
  <c r="B383" i="2" s="1"/>
  <c r="B384" i="2" s="1"/>
  <c r="B385" i="2" s="1"/>
  <c r="B386" i="2" s="1"/>
  <c r="B387" i="2" s="1"/>
  <c r="B388" i="2" s="1"/>
  <c r="B389" i="2" s="1"/>
  <c r="B390" i="2" s="1"/>
  <c r="B391" i="2" s="1"/>
  <c r="B392" i="2" s="1"/>
  <c r="B393" i="2" s="1"/>
  <c r="B394" i="2" s="1"/>
  <c r="B395" i="2" s="1"/>
  <c r="B396" i="2" s="1"/>
  <c r="B397" i="2" s="1"/>
  <c r="B398" i="2" s="1"/>
  <c r="B399" i="2" s="1"/>
  <c r="B400" i="2" s="1"/>
  <c r="B401" i="2" s="1"/>
  <c r="B402" i="2" s="1"/>
  <c r="B403" i="2" s="1"/>
  <c r="B404" i="2" s="1"/>
  <c r="B405" i="2" s="1"/>
  <c r="B406" i="2" s="1"/>
  <c r="B407" i="2" s="1"/>
  <c r="B408" i="2" s="1"/>
  <c r="B409" i="2" s="1"/>
  <c r="B410" i="2" s="1"/>
  <c r="B411" i="2" s="1"/>
  <c r="B412" i="2" s="1"/>
  <c r="B413" i="2" s="1"/>
  <c r="B414" i="2" s="1"/>
  <c r="B415" i="2" s="1"/>
  <c r="B416" i="2" s="1"/>
  <c r="B417" i="2" s="1"/>
  <c r="B418" i="2" s="1"/>
  <c r="B419" i="2" s="1"/>
  <c r="B420" i="2" s="1"/>
  <c r="B421" i="2" s="1"/>
  <c r="B422" i="2" s="1"/>
  <c r="B423" i="2" s="1"/>
  <c r="B424" i="2" s="1"/>
  <c r="B425" i="2" s="1"/>
  <c r="B426" i="2" s="1"/>
  <c r="B427" i="2" s="1"/>
  <c r="B428" i="2" s="1"/>
  <c r="B429" i="2" s="1"/>
  <c r="B430" i="2" s="1"/>
  <c r="B431" i="2" s="1"/>
  <c r="B432" i="2" s="1"/>
  <c r="B433" i="2" s="1"/>
  <c r="B434" i="2" s="1"/>
  <c r="B435" i="2" s="1"/>
  <c r="B436" i="2" s="1"/>
  <c r="B437" i="2" s="1"/>
  <c r="B438" i="2" s="1"/>
  <c r="B439" i="2" s="1"/>
  <c r="B440" i="2" s="1"/>
  <c r="B441" i="2" s="1"/>
  <c r="B442" i="2" s="1"/>
  <c r="B443" i="2" s="1"/>
  <c r="B444" i="2" s="1"/>
  <c r="B445" i="2" s="1"/>
  <c r="B446" i="2" s="1"/>
  <c r="B447" i="2" s="1"/>
  <c r="B448" i="2" s="1"/>
  <c r="B449" i="2" s="1"/>
  <c r="B450" i="2" s="1"/>
  <c r="B451" i="2" s="1"/>
  <c r="B452" i="2" s="1"/>
  <c r="B453" i="2" s="1"/>
  <c r="B454" i="2" s="1"/>
  <c r="B455" i="2" s="1"/>
  <c r="B456" i="2" s="1"/>
  <c r="B457" i="2" s="1"/>
  <c r="B458" i="2" s="1"/>
  <c r="B459" i="2" s="1"/>
  <c r="B460" i="2" s="1"/>
  <c r="B461" i="2" s="1"/>
  <c r="B462" i="2" s="1"/>
  <c r="B463" i="2" s="1"/>
  <c r="B464" i="2" s="1"/>
  <c r="B465" i="2" s="1"/>
  <c r="B466" i="2" s="1"/>
  <c r="B467" i="2" s="1"/>
  <c r="B468" i="2" s="1"/>
  <c r="B469" i="2" s="1"/>
  <c r="B470" i="2" s="1"/>
  <c r="B471" i="2" s="1"/>
  <c r="B472" i="2" s="1"/>
  <c r="B473" i="2" s="1"/>
  <c r="B474" i="2" s="1"/>
  <c r="B475" i="2" s="1"/>
  <c r="B476" i="2" s="1"/>
  <c r="B477" i="2" s="1"/>
  <c r="B478" i="2" s="1"/>
  <c r="B479" i="2" s="1"/>
  <c r="B480" i="2" s="1"/>
  <c r="B481" i="2" s="1"/>
  <c r="B482" i="2" s="1"/>
  <c r="B483" i="2" s="1"/>
  <c r="B484" i="2" s="1"/>
  <c r="B485" i="2" s="1"/>
  <c r="B486" i="2" s="1"/>
  <c r="B487" i="2" s="1"/>
  <c r="B488" i="2" s="1"/>
  <c r="B489" i="2" s="1"/>
  <c r="B490" i="2" s="1"/>
  <c r="B491" i="2" s="1"/>
  <c r="B492" i="2" s="1"/>
  <c r="B493" i="2" s="1"/>
  <c r="B494" i="2" s="1"/>
  <c r="B495" i="2" s="1"/>
  <c r="B496" i="2" s="1"/>
  <c r="B497" i="2" s="1"/>
  <c r="B498" i="2" s="1"/>
  <c r="B499" i="2" s="1"/>
  <c r="B500" i="2" s="1"/>
  <c r="B501" i="2" s="1"/>
  <c r="B502" i="2" s="1"/>
  <c r="B503" i="2" s="1"/>
  <c r="B504" i="2" s="1"/>
  <c r="B505" i="2" s="1"/>
  <c r="B506" i="2" s="1"/>
  <c r="B507" i="2" s="1"/>
  <c r="B508" i="2" s="1"/>
  <c r="B509" i="2" s="1"/>
  <c r="B510" i="2" s="1"/>
  <c r="B511" i="2" s="1"/>
  <c r="B512" i="2" s="1"/>
  <c r="B513" i="2" s="1"/>
  <c r="B514" i="2" s="1"/>
  <c r="B515" i="2" s="1"/>
  <c r="B516" i="2" s="1"/>
  <c r="B517" i="2" s="1"/>
  <c r="B518" i="2" s="1"/>
  <c r="B519" i="2" s="1"/>
  <c r="B520" i="2" s="1"/>
  <c r="B521" i="2" s="1"/>
  <c r="B522" i="2" s="1"/>
  <c r="B523" i="2" s="1"/>
  <c r="B524" i="2" s="1"/>
  <c r="B525" i="2" s="1"/>
  <c r="B526" i="2" s="1"/>
  <c r="B527" i="2" s="1"/>
  <c r="B528" i="2" s="1"/>
  <c r="B529" i="2" s="1"/>
  <c r="B530" i="2" s="1"/>
  <c r="B531" i="2" s="1"/>
  <c r="B532" i="2" s="1"/>
  <c r="B533" i="2" s="1"/>
  <c r="B534" i="2" s="1"/>
  <c r="B535" i="2" s="1"/>
  <c r="B536" i="2" s="1"/>
  <c r="B537" i="2" s="1"/>
  <c r="B538" i="2" s="1"/>
  <c r="B539" i="2" s="1"/>
  <c r="B540" i="2" s="1"/>
  <c r="B541" i="2" s="1"/>
  <c r="B542" i="2" s="1"/>
  <c r="B543" i="2" s="1"/>
  <c r="B544" i="2" s="1"/>
  <c r="B545" i="2" s="1"/>
  <c r="B546" i="2" s="1"/>
  <c r="B547" i="2" s="1"/>
  <c r="B548" i="2" s="1"/>
  <c r="B549" i="2" s="1"/>
  <c r="B550" i="2" s="1"/>
  <c r="B551" i="2" s="1"/>
  <c r="B552" i="2" s="1"/>
  <c r="B553" i="2" s="1"/>
  <c r="B554" i="2" s="1"/>
  <c r="B555" i="2" s="1"/>
  <c r="B556" i="2" s="1"/>
  <c r="B557" i="2" s="1"/>
  <c r="B558" i="2" s="1"/>
  <c r="B559" i="2" s="1"/>
  <c r="B560" i="2" s="1"/>
  <c r="B561" i="2" s="1"/>
  <c r="B562" i="2" s="1"/>
  <c r="B563" i="2" s="1"/>
  <c r="B564" i="2" s="1"/>
  <c r="B565" i="2" s="1"/>
  <c r="B566" i="2" s="1"/>
  <c r="B567" i="2" s="1"/>
  <c r="B568" i="2" s="1"/>
  <c r="B569" i="2" s="1"/>
  <c r="B570" i="2" s="1"/>
  <c r="B571" i="2" s="1"/>
  <c r="B572" i="2" s="1"/>
  <c r="B573" i="2" s="1"/>
  <c r="B574" i="2" s="1"/>
  <c r="B575" i="2" s="1"/>
  <c r="B576" i="2" s="1"/>
  <c r="B577" i="2" s="1"/>
  <c r="B578" i="2" s="1"/>
  <c r="B579" i="2" s="1"/>
  <c r="B580" i="2" s="1"/>
  <c r="B581" i="2" s="1"/>
  <c r="B582" i="2" s="1"/>
  <c r="B583" i="2" s="1"/>
  <c r="B584" i="2" s="1"/>
  <c r="B585" i="2" s="1"/>
  <c r="B586" i="2" s="1"/>
  <c r="B587" i="2" s="1"/>
  <c r="B588" i="2" s="1"/>
  <c r="B589" i="2" s="1"/>
  <c r="B590" i="2" s="1"/>
  <c r="B591" i="2" s="1"/>
  <c r="B592" i="2" s="1"/>
  <c r="B593" i="2" s="1"/>
  <c r="B594" i="2" s="1"/>
  <c r="B595" i="2" s="1"/>
  <c r="B596" i="2" s="1"/>
  <c r="B597" i="2" s="1"/>
  <c r="B598" i="2" s="1"/>
  <c r="B599" i="2" s="1"/>
  <c r="B600" i="2" s="1"/>
  <c r="B601" i="2" s="1"/>
  <c r="B602" i="2" s="1"/>
  <c r="B603" i="2" s="1"/>
  <c r="B604" i="2" s="1"/>
  <c r="B605" i="2" s="1"/>
  <c r="B606" i="2" s="1"/>
  <c r="B607" i="2" s="1"/>
  <c r="B608" i="2" s="1"/>
  <c r="B609" i="2" s="1"/>
  <c r="B610" i="2" s="1"/>
  <c r="B611" i="2" s="1"/>
  <c r="B612" i="2" s="1"/>
  <c r="B613" i="2" s="1"/>
  <c r="B614" i="2" s="1"/>
  <c r="B615" i="2" s="1"/>
  <c r="B616" i="2" s="1"/>
  <c r="B617" i="2" s="1"/>
  <c r="B618" i="2" s="1"/>
  <c r="B619" i="2" s="1"/>
  <c r="B620" i="2" s="1"/>
  <c r="B621" i="2" s="1"/>
  <c r="B622" i="2" s="1"/>
  <c r="B623" i="2" s="1"/>
  <c r="B624" i="2" s="1"/>
  <c r="B625" i="2" s="1"/>
  <c r="B626" i="2" s="1"/>
  <c r="B627" i="2" s="1"/>
  <c r="B628" i="2" s="1"/>
  <c r="B629" i="2" s="1"/>
  <c r="B630" i="2" s="1"/>
  <c r="B631" i="2" s="1"/>
  <c r="B632" i="2" s="1"/>
  <c r="B633" i="2" s="1"/>
  <c r="B634" i="2" s="1"/>
  <c r="B635" i="2" s="1"/>
  <c r="B636" i="2" s="1"/>
  <c r="B637" i="2" s="1"/>
  <c r="B638" i="2" s="1"/>
  <c r="B639" i="2" s="1"/>
  <c r="B640" i="2" s="1"/>
  <c r="B641" i="2" s="1"/>
  <c r="B642" i="2" s="1"/>
  <c r="B643" i="2" s="1"/>
  <c r="B644" i="2" s="1"/>
  <c r="B645" i="2" s="1"/>
  <c r="B646" i="2" s="1"/>
  <c r="B647" i="2" s="1"/>
  <c r="B648" i="2" s="1"/>
  <c r="B649" i="2" s="1"/>
  <c r="B650" i="2" s="1"/>
  <c r="B651" i="2" s="1"/>
  <c r="B652" i="2" s="1"/>
  <c r="B653" i="2" s="1"/>
  <c r="B654" i="2" s="1"/>
  <c r="B655" i="2" s="1"/>
  <c r="B656" i="2" s="1"/>
  <c r="B657" i="2" s="1"/>
  <c r="B658" i="2" s="1"/>
  <c r="B659" i="2" s="1"/>
  <c r="B660" i="2" s="1"/>
  <c r="B661" i="2" s="1"/>
  <c r="B662" i="2" s="1"/>
  <c r="B663" i="2" s="1"/>
  <c r="B664" i="2" s="1"/>
  <c r="B665" i="2" s="1"/>
  <c r="B666" i="2" s="1"/>
  <c r="B667" i="2" s="1"/>
  <c r="B668" i="2" s="1"/>
  <c r="B669" i="2" s="1"/>
  <c r="B670" i="2" s="1"/>
  <c r="B671" i="2" s="1"/>
  <c r="B672" i="2" s="1"/>
  <c r="B673" i="2" s="1"/>
  <c r="B674" i="2" s="1"/>
  <c r="B675" i="2" s="1"/>
  <c r="B676" i="2" s="1"/>
  <c r="B677" i="2" s="1"/>
  <c r="B678" i="2" s="1"/>
  <c r="B679" i="2" s="1"/>
  <c r="B680" i="2" s="1"/>
  <c r="B681" i="2" s="1"/>
  <c r="B682" i="2" s="1"/>
  <c r="B683" i="2" s="1"/>
  <c r="B684" i="2" s="1"/>
  <c r="B685" i="2" s="1"/>
  <c r="B686" i="2" s="1"/>
  <c r="B687" i="2" s="1"/>
  <c r="B688" i="2" s="1"/>
  <c r="B689" i="2" s="1"/>
  <c r="B690" i="2" s="1"/>
  <c r="B691" i="2" s="1"/>
  <c r="B692" i="2" s="1"/>
  <c r="B693" i="2" s="1"/>
  <c r="B694" i="2" s="1"/>
  <c r="B695" i="2" s="1"/>
  <c r="B696" i="2" s="1"/>
  <c r="B697" i="2" s="1"/>
  <c r="B698" i="2" s="1"/>
  <c r="B699" i="2" s="1"/>
  <c r="B700" i="2" s="1"/>
  <c r="B701" i="2" s="1"/>
  <c r="B702" i="2" s="1"/>
  <c r="B703" i="2" s="1"/>
  <c r="B704" i="2" s="1"/>
  <c r="B705" i="2" s="1"/>
  <c r="B706" i="2" s="1"/>
  <c r="B707" i="2" s="1"/>
  <c r="B708" i="2" s="1"/>
  <c r="B709" i="2" s="1"/>
  <c r="B710" i="2" s="1"/>
  <c r="B711" i="2" s="1"/>
  <c r="B712" i="2" s="1"/>
  <c r="B713" i="2" s="1"/>
  <c r="B714" i="2" s="1"/>
  <c r="B715" i="2" s="1"/>
  <c r="B716" i="2" s="1"/>
  <c r="B717" i="2" s="1"/>
  <c r="B718" i="2" s="1"/>
  <c r="B719" i="2" s="1"/>
  <c r="B720" i="2" s="1"/>
  <c r="B721" i="2" s="1"/>
  <c r="B722" i="2" s="1"/>
  <c r="B723" i="2" s="1"/>
  <c r="B724" i="2" s="1"/>
  <c r="B725" i="2" s="1"/>
  <c r="B726" i="2" s="1"/>
  <c r="B727" i="2" s="1"/>
  <c r="B728" i="2" s="1"/>
  <c r="B729" i="2" s="1"/>
  <c r="B730" i="2" s="1"/>
  <c r="B731" i="2" s="1"/>
  <c r="B732" i="2" s="1"/>
  <c r="B733" i="2" s="1"/>
  <c r="B734" i="2" s="1"/>
  <c r="B735" i="2" s="1"/>
  <c r="B736" i="2" s="1"/>
  <c r="B737" i="2" s="1"/>
  <c r="B738" i="2" s="1"/>
  <c r="B739" i="2" s="1"/>
  <c r="B740" i="2" s="1"/>
  <c r="B741" i="2" s="1"/>
  <c r="B742" i="2" s="1"/>
  <c r="B743" i="2" s="1"/>
  <c r="B744" i="2" s="1"/>
  <c r="B745" i="2" s="1"/>
  <c r="B746" i="2" s="1"/>
  <c r="B747" i="2" s="1"/>
  <c r="B748" i="2" s="1"/>
  <c r="B749" i="2" s="1"/>
  <c r="B750" i="2" s="1"/>
  <c r="B751" i="2" s="1"/>
  <c r="B752" i="2" s="1"/>
  <c r="B753" i="2" s="1"/>
  <c r="B754" i="2" s="1"/>
  <c r="B755" i="2" s="1"/>
  <c r="B756" i="2" s="1"/>
  <c r="B757" i="2" s="1"/>
  <c r="B758" i="2" s="1"/>
  <c r="B759" i="2" s="1"/>
  <c r="B760" i="2" s="1"/>
  <c r="B761" i="2" s="1"/>
  <c r="B762" i="2" s="1"/>
  <c r="B763" i="2" s="1"/>
  <c r="B764" i="2" s="1"/>
  <c r="B765" i="2" s="1"/>
  <c r="B766" i="2" s="1"/>
  <c r="B767" i="2" s="1"/>
  <c r="B768" i="2" s="1"/>
  <c r="B769" i="2" s="1"/>
  <c r="B770" i="2" s="1"/>
  <c r="B771" i="2" s="1"/>
  <c r="B772" i="2" s="1"/>
  <c r="B773" i="2" s="1"/>
  <c r="B774" i="2" s="1"/>
  <c r="B775" i="2" s="1"/>
  <c r="B776" i="2" s="1"/>
  <c r="B777" i="2" s="1"/>
  <c r="B778" i="2" s="1"/>
  <c r="B779" i="2" s="1"/>
  <c r="B780" i="2" s="1"/>
  <c r="B781" i="2" s="1"/>
  <c r="B782" i="2" s="1"/>
  <c r="B783" i="2" s="1"/>
  <c r="B784" i="2" s="1"/>
  <c r="B785" i="2" s="1"/>
  <c r="B786" i="2" s="1"/>
  <c r="B787" i="2" s="1"/>
  <c r="B788" i="2" s="1"/>
  <c r="B789" i="2" s="1"/>
  <c r="B790" i="2" s="1"/>
  <c r="B791" i="2" s="1"/>
  <c r="B792" i="2" s="1"/>
  <c r="B793" i="2" s="1"/>
  <c r="B794" i="2" s="1"/>
  <c r="B795" i="2" s="1"/>
  <c r="B796" i="2" s="1"/>
  <c r="B797" i="2" s="1"/>
  <c r="B798" i="2" s="1"/>
  <c r="B799" i="2" s="1"/>
  <c r="B800" i="2" s="1"/>
  <c r="B801" i="2" s="1"/>
  <c r="B802" i="2" s="1"/>
  <c r="B803" i="2" s="1"/>
  <c r="B804" i="2" s="1"/>
  <c r="B805" i="2" s="1"/>
  <c r="B806" i="2" s="1"/>
  <c r="B807" i="2" s="1"/>
  <c r="B808" i="2" s="1"/>
  <c r="B809" i="2" s="1"/>
  <c r="B810" i="2" s="1"/>
  <c r="B811" i="2" s="1"/>
  <c r="B812" i="2" s="1"/>
  <c r="B813" i="2" s="1"/>
  <c r="B814" i="2" s="1"/>
  <c r="B815" i="2" s="1"/>
  <c r="B816" i="2" s="1"/>
  <c r="B817" i="2" s="1"/>
  <c r="B818" i="2" s="1"/>
  <c r="B819" i="2" s="1"/>
  <c r="B820" i="2" s="1"/>
  <c r="B821" i="2" s="1"/>
  <c r="B822" i="2" s="1"/>
  <c r="B823" i="2" s="1"/>
  <c r="B824" i="2" s="1"/>
  <c r="B825" i="2" s="1"/>
  <c r="B826" i="2" s="1"/>
  <c r="B827" i="2" s="1"/>
  <c r="B828" i="2" s="1"/>
  <c r="B829" i="2" s="1"/>
  <c r="B830" i="2" s="1"/>
  <c r="B831" i="2" s="1"/>
  <c r="B832" i="2" s="1"/>
  <c r="B833" i="2" s="1"/>
  <c r="B834" i="2" s="1"/>
  <c r="B835" i="2" s="1"/>
  <c r="B836" i="2" s="1"/>
  <c r="B837" i="2" s="1"/>
  <c r="B838" i="2" s="1"/>
  <c r="B839" i="2" s="1"/>
  <c r="B840" i="2" s="1"/>
  <c r="B841" i="2" s="1"/>
  <c r="B842" i="2" s="1"/>
  <c r="B843" i="2" s="1"/>
  <c r="B844" i="2" s="1"/>
  <c r="B845" i="2" s="1"/>
  <c r="B846" i="2" s="1"/>
  <c r="B847" i="2" s="1"/>
  <c r="B848" i="2" s="1"/>
  <c r="B849" i="2" s="1"/>
  <c r="B850" i="2" s="1"/>
  <c r="B851" i="2" s="1"/>
  <c r="B852" i="2" s="1"/>
  <c r="B853" i="2" s="1"/>
  <c r="B854" i="2" s="1"/>
  <c r="B855" i="2" s="1"/>
  <c r="B856" i="2" s="1"/>
  <c r="B857" i="2" s="1"/>
  <c r="B858" i="2" s="1"/>
  <c r="B859" i="2" s="1"/>
  <c r="B860" i="2" s="1"/>
  <c r="B861" i="2" s="1"/>
  <c r="B862" i="2" s="1"/>
  <c r="B863" i="2" s="1"/>
  <c r="B864" i="2" s="1"/>
  <c r="B865" i="2" s="1"/>
  <c r="B866" i="2" s="1"/>
  <c r="B867" i="2" s="1"/>
  <c r="B868" i="2" s="1"/>
  <c r="B869" i="2" s="1"/>
  <c r="B870" i="2" s="1"/>
  <c r="B871" i="2" s="1"/>
  <c r="B872" i="2" s="1"/>
  <c r="B873" i="2" s="1"/>
  <c r="B874" i="2" s="1"/>
  <c r="B875" i="2" s="1"/>
  <c r="B876" i="2" s="1"/>
  <c r="B877" i="2" s="1"/>
  <c r="B878" i="2" s="1"/>
  <c r="B879" i="2" s="1"/>
  <c r="B880" i="2" s="1"/>
  <c r="B881" i="2" s="1"/>
  <c r="B882" i="2" s="1"/>
  <c r="B883" i="2" s="1"/>
  <c r="B884" i="2" s="1"/>
  <c r="B885" i="2" s="1"/>
  <c r="B886" i="2" s="1"/>
  <c r="B887" i="2" s="1"/>
  <c r="B888" i="2" s="1"/>
  <c r="B889" i="2" s="1"/>
  <c r="B890" i="2" s="1"/>
  <c r="B891" i="2" s="1"/>
  <c r="B892" i="2" s="1"/>
  <c r="B893" i="2" s="1"/>
  <c r="B894" i="2" s="1"/>
  <c r="B895" i="2" s="1"/>
  <c r="B896" i="2" s="1"/>
  <c r="B897" i="2" s="1"/>
  <c r="B898" i="2" s="1"/>
  <c r="B899" i="2" s="1"/>
  <c r="B900" i="2" s="1"/>
  <c r="B901" i="2" s="1"/>
  <c r="B902" i="2" s="1"/>
  <c r="B903" i="2" s="1"/>
  <c r="B904" i="2" s="1"/>
  <c r="B905" i="2" s="1"/>
  <c r="B906" i="2" s="1"/>
  <c r="B907" i="2" s="1"/>
  <c r="B908" i="2" s="1"/>
  <c r="B909" i="2" s="1"/>
  <c r="B910" i="2" s="1"/>
  <c r="B911" i="2" s="1"/>
  <c r="B912" i="2" s="1"/>
  <c r="B913" i="2" s="1"/>
  <c r="B914" i="2" s="1"/>
  <c r="B915" i="2" s="1"/>
  <c r="B916" i="2" s="1"/>
  <c r="B917" i="2" s="1"/>
  <c r="B918" i="2" s="1"/>
  <c r="B919" i="2" s="1"/>
  <c r="B920" i="2" s="1"/>
  <c r="B921" i="2" s="1"/>
  <c r="B922" i="2" s="1"/>
  <c r="B923" i="2" s="1"/>
  <c r="B924" i="2" s="1"/>
  <c r="B925" i="2" s="1"/>
  <c r="B926" i="2" s="1"/>
  <c r="B927" i="2" s="1"/>
  <c r="B928" i="2" s="1"/>
  <c r="B929" i="2" s="1"/>
  <c r="B930" i="2" s="1"/>
  <c r="B931" i="2" s="1"/>
  <c r="B932" i="2" s="1"/>
  <c r="B933" i="2" s="1"/>
  <c r="B934" i="2" s="1"/>
  <c r="B935" i="2" s="1"/>
  <c r="B936" i="2" s="1"/>
  <c r="B937" i="2" s="1"/>
  <c r="B938" i="2" s="1"/>
  <c r="B939" i="2" s="1"/>
  <c r="B940" i="2" s="1"/>
  <c r="B941" i="2" s="1"/>
  <c r="B942" i="2" s="1"/>
  <c r="B943" i="2" s="1"/>
  <c r="B944" i="2" s="1"/>
  <c r="B945" i="2" s="1"/>
  <c r="B946" i="2" s="1"/>
  <c r="B947" i="2" s="1"/>
  <c r="B948" i="2" s="1"/>
  <c r="B949" i="2" s="1"/>
  <c r="B950" i="2" s="1"/>
  <c r="B951" i="2" s="1"/>
  <c r="B952" i="2" s="1"/>
  <c r="B953" i="2" s="1"/>
  <c r="B954" i="2" s="1"/>
  <c r="B955" i="2" s="1"/>
  <c r="B956" i="2" s="1"/>
  <c r="B957" i="2" s="1"/>
  <c r="B958" i="2" s="1"/>
  <c r="B959" i="2" s="1"/>
  <c r="B960" i="2" s="1"/>
  <c r="B961" i="2" s="1"/>
  <c r="B962" i="2" s="1"/>
  <c r="B963" i="2" s="1"/>
  <c r="B964" i="2" s="1"/>
  <c r="B965" i="2" s="1"/>
  <c r="B966" i="2" s="1"/>
  <c r="B967" i="2" s="1"/>
  <c r="B968" i="2" s="1"/>
  <c r="B969" i="2" s="1"/>
  <c r="B970" i="2" s="1"/>
  <c r="B971" i="2" s="1"/>
  <c r="B972" i="2" s="1"/>
  <c r="B973" i="2" s="1"/>
  <c r="B974" i="2" s="1"/>
  <c r="B975" i="2" s="1"/>
  <c r="B976" i="2" s="1"/>
  <c r="B977" i="2" s="1"/>
  <c r="B978" i="2" s="1"/>
  <c r="B979" i="2" s="1"/>
  <c r="B980" i="2" s="1"/>
  <c r="B981" i="2" s="1"/>
  <c r="B982" i="2" s="1"/>
  <c r="B983" i="2" s="1"/>
  <c r="B984" i="2" s="1"/>
  <c r="B985" i="2" s="1"/>
  <c r="B986" i="2" s="1"/>
  <c r="B987" i="2" s="1"/>
  <c r="B988" i="2" s="1"/>
  <c r="B989" i="2" s="1"/>
  <c r="B990" i="2" s="1"/>
  <c r="B991" i="2" s="1"/>
  <c r="B992" i="2" s="1"/>
  <c r="B993" i="2" s="1"/>
  <c r="B994" i="2" s="1"/>
  <c r="B995" i="2" s="1"/>
  <c r="B996" i="2" s="1"/>
  <c r="B997" i="2" s="1"/>
  <c r="B998" i="2" s="1"/>
  <c r="B999" i="2" s="1"/>
  <c r="B1000" i="2" s="1"/>
  <c r="G326" i="1" l="1"/>
  <c r="S326" i="1" s="1"/>
  <c r="G304" i="1"/>
  <c r="S304" i="1" s="1"/>
  <c r="G125" i="1"/>
  <c r="S125" i="1" s="1"/>
  <c r="G246" i="1"/>
  <c r="S246" i="1" s="1"/>
  <c r="G247" i="1"/>
  <c r="S247" i="1" s="1"/>
  <c r="G224" i="1"/>
  <c r="S224" i="1" s="1"/>
  <c r="G305" i="1"/>
  <c r="S305" i="1" s="1"/>
  <c r="G225" i="1"/>
  <c r="S225" i="1" s="1"/>
  <c r="G206" i="1"/>
  <c r="G207" i="1"/>
  <c r="G273" i="1"/>
  <c r="S273" i="1" s="1"/>
  <c r="G284" i="1"/>
  <c r="G244" i="1"/>
  <c r="S244" i="1" s="1"/>
  <c r="G257" i="1"/>
  <c r="S257" i="1" s="1"/>
  <c r="G121" i="1"/>
  <c r="S121" i="1" s="1"/>
  <c r="G84" i="1"/>
  <c r="S84" i="1" s="1"/>
  <c r="G90" i="1"/>
  <c r="S90" i="1" s="1"/>
  <c r="G77" i="1"/>
  <c r="S77" i="1" s="1"/>
  <c r="G16" i="1"/>
  <c r="S16" i="1" s="1"/>
  <c r="G25" i="1"/>
  <c r="S25" i="1" s="1"/>
  <c r="G18" i="1"/>
  <c r="G322" i="1"/>
  <c r="S322" i="1" s="1"/>
  <c r="G239" i="1"/>
  <c r="S239" i="1" s="1"/>
  <c r="G245" i="1"/>
  <c r="S245" i="1" s="1"/>
  <c r="G231" i="1"/>
  <c r="S231" i="1" s="1"/>
  <c r="G148" i="1"/>
  <c r="S148" i="1" s="1"/>
  <c r="G122" i="1"/>
  <c r="S122" i="1" s="1"/>
  <c r="G114" i="1"/>
  <c r="S114" i="1" s="1"/>
  <c r="G85" i="1"/>
  <c r="S85" i="1" s="1"/>
  <c r="G91" i="1"/>
  <c r="S91" i="1" s="1"/>
  <c r="G323" i="1"/>
  <c r="S323" i="1" s="1"/>
  <c r="G315" i="1"/>
  <c r="S315" i="1" s="1"/>
  <c r="G281" i="1"/>
  <c r="S281" i="1" s="1"/>
  <c r="G240" i="1"/>
  <c r="S240" i="1" s="1"/>
  <c r="G253" i="1"/>
  <c r="S253" i="1" s="1"/>
  <c r="G226" i="1"/>
  <c r="S226" i="1" s="1"/>
  <c r="G203" i="1"/>
  <c r="S203" i="1" s="1"/>
  <c r="G149" i="1"/>
  <c r="S149" i="1" s="1"/>
  <c r="G123" i="1"/>
  <c r="S123" i="1" s="1"/>
  <c r="G136" i="1"/>
  <c r="S136" i="1" s="1"/>
  <c r="G92" i="1"/>
  <c r="S92" i="1" s="1"/>
  <c r="G86" i="1"/>
  <c r="S86" i="1" s="1"/>
  <c r="G80" i="1"/>
  <c r="S80" i="1" s="1"/>
  <c r="G370" i="1"/>
  <c r="G324" i="1"/>
  <c r="S324" i="1" s="1"/>
  <c r="G337" i="1"/>
  <c r="S337" i="1" s="1"/>
  <c r="G291" i="1"/>
  <c r="S291" i="1" s="1"/>
  <c r="G191" i="1"/>
  <c r="S191" i="1" s="1"/>
  <c r="G118" i="1"/>
  <c r="S118" i="1" s="1"/>
  <c r="G124" i="1"/>
  <c r="S124" i="1" s="1"/>
  <c r="G103" i="1"/>
  <c r="S103" i="1" s="1"/>
  <c r="G81" i="1"/>
  <c r="S81" i="1" s="1"/>
  <c r="G87" i="1"/>
  <c r="S87" i="1" s="1"/>
  <c r="G319" i="1"/>
  <c r="S319" i="1" s="1"/>
  <c r="G325" i="1"/>
  <c r="S325" i="1" s="1"/>
  <c r="G311" i="1"/>
  <c r="S311" i="1" s="1"/>
  <c r="G242" i="1"/>
  <c r="S242" i="1" s="1"/>
  <c r="G192" i="1"/>
  <c r="S192" i="1" s="1"/>
  <c r="G184" i="1"/>
  <c r="G119" i="1"/>
  <c r="S119" i="1" s="1"/>
  <c r="G126" i="1"/>
  <c r="S126" i="1" s="1"/>
  <c r="G132" i="1"/>
  <c r="S132" i="1" s="1"/>
  <c r="G110" i="1"/>
  <c r="S110" i="1" s="1"/>
  <c r="G82" i="1"/>
  <c r="S82" i="1" s="1"/>
  <c r="G88" i="1"/>
  <c r="S88" i="1" s="1"/>
  <c r="G320" i="1"/>
  <c r="S320" i="1" s="1"/>
  <c r="G327" i="1"/>
  <c r="S327" i="1" s="1"/>
  <c r="G333" i="1"/>
  <c r="S333" i="1" s="1"/>
  <c r="G306" i="1"/>
  <c r="S306" i="1" s="1"/>
  <c r="G243" i="1"/>
  <c r="S243" i="1" s="1"/>
  <c r="G235" i="1"/>
  <c r="S235" i="1" s="1"/>
  <c r="G145" i="1"/>
  <c r="S145" i="1" s="1"/>
  <c r="T145" i="1" s="1"/>
  <c r="G105" i="1"/>
  <c r="S105" i="1" s="1"/>
  <c r="G83" i="1"/>
  <c r="S83" i="1" s="1"/>
  <c r="G89" i="1"/>
  <c r="S89" i="1" s="1"/>
  <c r="G14" i="1"/>
  <c r="S14" i="1" s="1"/>
  <c r="Q3" i="1"/>
  <c r="R3" i="1"/>
  <c r="R4" i="1"/>
  <c r="Q4" i="1"/>
  <c r="P3" i="1" l="1"/>
  <c r="F3" i="1" s="1"/>
  <c r="K346" i="1" l="1"/>
  <c r="G346" i="1" s="1"/>
  <c r="K347" i="1"/>
  <c r="G347" i="1" s="1"/>
  <c r="K345" i="1"/>
  <c r="G345" i="1" s="1"/>
  <c r="K270" i="1"/>
  <c r="G270" i="1" s="1"/>
  <c r="S270" i="1" s="1"/>
  <c r="K271" i="1"/>
  <c r="G271" i="1" s="1"/>
  <c r="S271" i="1" s="1"/>
  <c r="K277" i="1"/>
  <c r="G277" i="1" s="1"/>
  <c r="S277" i="1" s="1"/>
  <c r="S284" i="1"/>
  <c r="K285" i="1"/>
  <c r="K205" i="1"/>
  <c r="K208" i="1"/>
  <c r="K209" i="1"/>
  <c r="G209" i="1" s="1"/>
  <c r="S209" i="1" s="1"/>
  <c r="K195" i="1"/>
  <c r="G195" i="1" s="1"/>
  <c r="S195" i="1" s="1"/>
  <c r="G285" i="1" l="1"/>
  <c r="S285" i="1" s="1"/>
  <c r="K283" i="1"/>
  <c r="G283" i="1" s="1"/>
  <c r="S283" i="1" s="1"/>
  <c r="G205" i="1"/>
  <c r="S205" i="1" s="1"/>
  <c r="K287" i="1"/>
  <c r="G287" i="1" s="1"/>
  <c r="S287" i="1" s="1"/>
  <c r="G208" i="1"/>
  <c r="K286" i="1"/>
  <c r="G286" i="1" s="1"/>
  <c r="S286" i="1" s="1"/>
  <c r="K76" i="1"/>
  <c r="G76" i="1" s="1"/>
  <c r="K75" i="1"/>
  <c r="G75" i="1" s="1"/>
  <c r="K369" i="1" l="1"/>
  <c r="G369" i="1" s="1"/>
  <c r="K183" i="1"/>
  <c r="G183" i="1" s="1"/>
  <c r="S76" i="1"/>
  <c r="K368" i="1"/>
  <c r="G368" i="1" s="1"/>
  <c r="K182" i="1"/>
  <c r="G182" i="1" s="1"/>
  <c r="S75" i="1"/>
  <c r="K115" i="1"/>
  <c r="K116" i="1"/>
  <c r="K117" i="1"/>
  <c r="K120" i="1"/>
  <c r="K127" i="1"/>
  <c r="K128" i="1"/>
  <c r="K129" i="1"/>
  <c r="K130" i="1"/>
  <c r="K131" i="1"/>
  <c r="K133" i="1"/>
  <c r="K134" i="1"/>
  <c r="K135" i="1"/>
  <c r="K137" i="1"/>
  <c r="G137" i="1" s="1"/>
  <c r="K138" i="1"/>
  <c r="K139" i="1"/>
  <c r="K140" i="1"/>
  <c r="K96" i="1"/>
  <c r="G96" i="1" s="1"/>
  <c r="K97" i="1"/>
  <c r="G97" i="1" s="1"/>
  <c r="K98" i="1"/>
  <c r="G98" i="1" s="1"/>
  <c r="K99" i="1"/>
  <c r="G99" i="1" s="1"/>
  <c r="K100" i="1"/>
  <c r="G100" i="1" s="1"/>
  <c r="K101" i="1"/>
  <c r="G101" i="1" s="1"/>
  <c r="K102" i="1"/>
  <c r="G102" i="1" s="1"/>
  <c r="K104" i="1"/>
  <c r="G104" i="1" s="1"/>
  <c r="K106" i="1"/>
  <c r="K107" i="1"/>
  <c r="K108" i="1"/>
  <c r="K109" i="1"/>
  <c r="K111" i="1"/>
  <c r="K112" i="1"/>
  <c r="K95" i="1"/>
  <c r="G95" i="1" s="1"/>
  <c r="K74" i="1"/>
  <c r="K78" i="1"/>
  <c r="G78" i="1" s="1"/>
  <c r="K73" i="1"/>
  <c r="K71" i="1"/>
  <c r="K59" i="1"/>
  <c r="G59" i="1" s="1"/>
  <c r="K60" i="1"/>
  <c r="G60" i="1" s="1"/>
  <c r="K61" i="1"/>
  <c r="G61" i="1" s="1"/>
  <c r="K62" i="1"/>
  <c r="G62" i="1" s="1"/>
  <c r="K63" i="1"/>
  <c r="G63" i="1" s="1"/>
  <c r="K64" i="1"/>
  <c r="G64" i="1" s="1"/>
  <c r="K65" i="1"/>
  <c r="G65" i="1" s="1"/>
  <c r="K66" i="1"/>
  <c r="G66" i="1" s="1"/>
  <c r="K67" i="1"/>
  <c r="G67" i="1" s="1"/>
  <c r="K68" i="1"/>
  <c r="G68" i="1" s="1"/>
  <c r="K69" i="1"/>
  <c r="G69" i="1" s="1"/>
  <c r="K58" i="1"/>
  <c r="G58" i="1" s="1"/>
  <c r="K56" i="1"/>
  <c r="G56" i="1" s="1"/>
  <c r="S56" i="1" s="1"/>
  <c r="K53" i="1"/>
  <c r="K54" i="1"/>
  <c r="K52" i="1"/>
  <c r="K37" i="1"/>
  <c r="K38" i="1"/>
  <c r="G38" i="1" s="1"/>
  <c r="K39" i="1"/>
  <c r="G39" i="1" s="1"/>
  <c r="K40" i="1"/>
  <c r="G40" i="1" s="1"/>
  <c r="K41" i="1"/>
  <c r="G41" i="1" s="1"/>
  <c r="K42" i="1"/>
  <c r="G42" i="1" s="1"/>
  <c r="K43" i="1"/>
  <c r="G43" i="1" s="1"/>
  <c r="K44" i="1"/>
  <c r="K45" i="1"/>
  <c r="G45" i="1" s="1"/>
  <c r="K46" i="1"/>
  <c r="K47" i="1"/>
  <c r="G47" i="1" s="1"/>
  <c r="K48" i="1"/>
  <c r="K49" i="1"/>
  <c r="K50" i="1"/>
  <c r="G50" i="1" s="1"/>
  <c r="K36" i="1"/>
  <c r="K26" i="1"/>
  <c r="G26" i="1" s="1"/>
  <c r="K27" i="1"/>
  <c r="G27" i="1" s="1"/>
  <c r="K28" i="1"/>
  <c r="G28" i="1" s="1"/>
  <c r="K29" i="1"/>
  <c r="G29" i="1" s="1"/>
  <c r="K30" i="1"/>
  <c r="G30" i="1" s="1"/>
  <c r="K31" i="1"/>
  <c r="G31" i="1" s="1"/>
  <c r="K32" i="1"/>
  <c r="G32" i="1" s="1"/>
  <c r="K33" i="1"/>
  <c r="K34" i="1"/>
  <c r="G34" i="1" s="1"/>
  <c r="K23" i="1"/>
  <c r="K9" i="1"/>
  <c r="K10" i="1"/>
  <c r="K11" i="1"/>
  <c r="K12" i="1"/>
  <c r="G12" i="1" s="1"/>
  <c r="K13" i="1"/>
  <c r="G13" i="1" s="1"/>
  <c r="K15" i="1"/>
  <c r="K17" i="1"/>
  <c r="K8" i="1"/>
  <c r="G36" i="1" l="1"/>
  <c r="K211" i="1"/>
  <c r="G211" i="1" s="1"/>
  <c r="K152" i="1"/>
  <c r="G11" i="1"/>
  <c r="S11" i="1" s="1"/>
  <c r="G8" i="1"/>
  <c r="S8" i="1" s="1"/>
  <c r="T8" i="1" s="1"/>
  <c r="G10" i="1"/>
  <c r="S10" i="1" s="1"/>
  <c r="K233" i="1"/>
  <c r="G233" i="1" s="1"/>
  <c r="S233" i="1" s="1"/>
  <c r="K313" i="1"/>
  <c r="G313" i="1" s="1"/>
  <c r="S313" i="1" s="1"/>
  <c r="G112" i="1"/>
  <c r="S112" i="1" s="1"/>
  <c r="K256" i="1"/>
  <c r="G256" i="1" s="1"/>
  <c r="S256" i="1" s="1"/>
  <c r="K336" i="1"/>
  <c r="G336" i="1" s="1"/>
  <c r="S336" i="1" s="1"/>
  <c r="G135" i="1"/>
  <c r="S135" i="1" s="1"/>
  <c r="K329" i="1"/>
  <c r="G329" i="1" s="1"/>
  <c r="S329" i="1" s="1"/>
  <c r="K249" i="1"/>
  <c r="G249" i="1" s="1"/>
  <c r="S249" i="1" s="1"/>
  <c r="G128" i="1"/>
  <c r="S128" i="1" s="1"/>
  <c r="K201" i="1"/>
  <c r="G201" i="1" s="1"/>
  <c r="S201" i="1" s="1"/>
  <c r="K275" i="1"/>
  <c r="G275" i="1" s="1"/>
  <c r="S275" i="1" s="1"/>
  <c r="G17" i="1"/>
  <c r="S17" i="1" s="1"/>
  <c r="K343" i="1"/>
  <c r="G343" i="1" s="1"/>
  <c r="H342" i="1" s="1"/>
  <c r="K178" i="1"/>
  <c r="G178" i="1" s="1"/>
  <c r="H177" i="1" s="1"/>
  <c r="G71" i="1"/>
  <c r="S71" i="1" s="1"/>
  <c r="K232" i="1"/>
  <c r="G232" i="1" s="1"/>
  <c r="S232" i="1" s="1"/>
  <c r="K312" i="1"/>
  <c r="G312" i="1" s="1"/>
  <c r="S312" i="1" s="1"/>
  <c r="G111" i="1"/>
  <c r="S111" i="1" s="1"/>
  <c r="K335" i="1"/>
  <c r="G335" i="1" s="1"/>
  <c r="S335" i="1" s="1"/>
  <c r="K255" i="1"/>
  <c r="G255" i="1" s="1"/>
  <c r="S255" i="1" s="1"/>
  <c r="G134" i="1"/>
  <c r="S134" i="1" s="1"/>
  <c r="K328" i="1"/>
  <c r="G328" i="1" s="1"/>
  <c r="S328" i="1" s="1"/>
  <c r="K248" i="1"/>
  <c r="G248" i="1" s="1"/>
  <c r="S248" i="1" s="1"/>
  <c r="G127" i="1"/>
  <c r="S127" i="1" s="1"/>
  <c r="G9" i="1"/>
  <c r="S9" i="1" s="1"/>
  <c r="G44" i="1"/>
  <c r="S44" i="1" s="1"/>
  <c r="K147" i="1"/>
  <c r="G147" i="1" s="1"/>
  <c r="S147" i="1" s="1"/>
  <c r="K190" i="1"/>
  <c r="G190" i="1" s="1"/>
  <c r="S190" i="1" s="1"/>
  <c r="T190" i="1" s="1"/>
  <c r="G15" i="1"/>
  <c r="S15" i="1" s="1"/>
  <c r="K150" i="1"/>
  <c r="G150" i="1" s="1"/>
  <c r="S150" i="1" s="1"/>
  <c r="K193" i="1"/>
  <c r="G193" i="1" s="1"/>
  <c r="S193" i="1" s="1"/>
  <c r="G23" i="1"/>
  <c r="S23" i="1" s="1"/>
  <c r="T23" i="1" s="1"/>
  <c r="T24" i="1" s="1"/>
  <c r="T25" i="1" s="1"/>
  <c r="G49" i="1"/>
  <c r="S49" i="1" s="1"/>
  <c r="G37" i="1"/>
  <c r="S37" i="1" s="1"/>
  <c r="K180" i="1"/>
  <c r="G180" i="1" s="1"/>
  <c r="K366" i="1"/>
  <c r="G366" i="1" s="1"/>
  <c r="G73" i="1"/>
  <c r="S73" i="1" s="1"/>
  <c r="K230" i="1"/>
  <c r="G230" i="1" s="1"/>
  <c r="S230" i="1" s="1"/>
  <c r="K310" i="1"/>
  <c r="G310" i="1" s="1"/>
  <c r="S310" i="1" s="1"/>
  <c r="G109" i="1"/>
  <c r="S109" i="1" s="1"/>
  <c r="K261" i="1"/>
  <c r="G261" i="1" s="1"/>
  <c r="S261" i="1" s="1"/>
  <c r="K341" i="1"/>
  <c r="G341" i="1" s="1"/>
  <c r="S341" i="1" s="1"/>
  <c r="G140" i="1"/>
  <c r="S140" i="1" s="1"/>
  <c r="K254" i="1"/>
  <c r="G254" i="1" s="1"/>
  <c r="S254" i="1" s="1"/>
  <c r="K334" i="1"/>
  <c r="G334" i="1" s="1"/>
  <c r="S334" i="1" s="1"/>
  <c r="G133" i="1"/>
  <c r="S133" i="1" s="1"/>
  <c r="K321" i="1"/>
  <c r="G321" i="1" s="1"/>
  <c r="S321" i="1" s="1"/>
  <c r="K241" i="1"/>
  <c r="G241" i="1" s="1"/>
  <c r="S241" i="1" s="1"/>
  <c r="G120" i="1"/>
  <c r="S120" i="1" s="1"/>
  <c r="G48" i="1"/>
  <c r="S48" i="1" s="1"/>
  <c r="K349" i="1"/>
  <c r="G349" i="1" s="1"/>
  <c r="K161" i="1"/>
  <c r="G161" i="1" s="1"/>
  <c r="G52" i="1"/>
  <c r="S52" i="1" s="1"/>
  <c r="K229" i="1"/>
  <c r="G229" i="1" s="1"/>
  <c r="S229" i="1" s="1"/>
  <c r="K309" i="1"/>
  <c r="G309" i="1" s="1"/>
  <c r="S309" i="1" s="1"/>
  <c r="G108" i="1"/>
  <c r="S108" i="1" s="1"/>
  <c r="K260" i="1"/>
  <c r="K340" i="1"/>
  <c r="K332" i="1"/>
  <c r="G332" i="1" s="1"/>
  <c r="S332" i="1" s="1"/>
  <c r="K252" i="1"/>
  <c r="G252" i="1" s="1"/>
  <c r="S252" i="1" s="1"/>
  <c r="G131" i="1"/>
  <c r="S131" i="1" s="1"/>
  <c r="K318" i="1"/>
  <c r="G318" i="1" s="1"/>
  <c r="S318" i="1" s="1"/>
  <c r="K238" i="1"/>
  <c r="G238" i="1" s="1"/>
  <c r="S238" i="1" s="1"/>
  <c r="G117" i="1"/>
  <c r="S117" i="1" s="1"/>
  <c r="G33" i="1"/>
  <c r="S33" i="1" s="1"/>
  <c r="K163" i="1"/>
  <c r="G163" i="1" s="1"/>
  <c r="K351" i="1"/>
  <c r="G351" i="1" s="1"/>
  <c r="G54" i="1"/>
  <c r="S54" i="1" s="1"/>
  <c r="K181" i="1"/>
  <c r="G181" i="1" s="1"/>
  <c r="K367" i="1"/>
  <c r="G367" i="1" s="1"/>
  <c r="G74" i="1"/>
  <c r="S74" i="1" s="1"/>
  <c r="K228" i="1"/>
  <c r="G228" i="1" s="1"/>
  <c r="S228" i="1" s="1"/>
  <c r="K308" i="1"/>
  <c r="G308" i="1" s="1"/>
  <c r="S308" i="1" s="1"/>
  <c r="G107" i="1"/>
  <c r="S107" i="1" s="1"/>
  <c r="K339" i="1"/>
  <c r="G339" i="1" s="1"/>
  <c r="S339" i="1" s="1"/>
  <c r="K259" i="1"/>
  <c r="G259" i="1" s="1"/>
  <c r="S259" i="1" s="1"/>
  <c r="G138" i="1"/>
  <c r="S138" i="1" s="1"/>
  <c r="K251" i="1"/>
  <c r="G251" i="1" s="1"/>
  <c r="S251" i="1" s="1"/>
  <c r="K331" i="1"/>
  <c r="G331" i="1" s="1"/>
  <c r="S331" i="1" s="1"/>
  <c r="G130" i="1"/>
  <c r="S130" i="1" s="1"/>
  <c r="K237" i="1"/>
  <c r="G237" i="1" s="1"/>
  <c r="S237" i="1" s="1"/>
  <c r="K317" i="1"/>
  <c r="G317" i="1" s="1"/>
  <c r="S317" i="1" s="1"/>
  <c r="G116" i="1"/>
  <c r="S116" i="1" s="1"/>
  <c r="G46" i="1"/>
  <c r="S46" i="1" s="1"/>
  <c r="K350" i="1"/>
  <c r="G350" i="1" s="1"/>
  <c r="K162" i="1"/>
  <c r="G162" i="1" s="1"/>
  <c r="G53" i="1"/>
  <c r="S53" i="1" s="1"/>
  <c r="K227" i="1"/>
  <c r="G227" i="1" s="1"/>
  <c r="S227" i="1" s="1"/>
  <c r="K307" i="1"/>
  <c r="G307" i="1" s="1"/>
  <c r="S307" i="1" s="1"/>
  <c r="G106" i="1"/>
  <c r="S106" i="1" s="1"/>
  <c r="K250" i="1"/>
  <c r="G250" i="1" s="1"/>
  <c r="S250" i="1" s="1"/>
  <c r="K330" i="1"/>
  <c r="G330" i="1" s="1"/>
  <c r="S330" i="1" s="1"/>
  <c r="G129" i="1"/>
  <c r="S129" i="1" s="1"/>
  <c r="K236" i="1"/>
  <c r="G236" i="1" s="1"/>
  <c r="S236" i="1" s="1"/>
  <c r="K316" i="1"/>
  <c r="G316" i="1" s="1"/>
  <c r="S316" i="1" s="1"/>
  <c r="G115" i="1"/>
  <c r="S115" i="1" s="1"/>
  <c r="K258" i="1"/>
  <c r="K338" i="1"/>
  <c r="S137" i="1"/>
  <c r="K279" i="1"/>
  <c r="S31" i="1"/>
  <c r="S36" i="1"/>
  <c r="K157" i="1"/>
  <c r="S45" i="1"/>
  <c r="K154" i="1"/>
  <c r="S39" i="1"/>
  <c r="K172" i="1"/>
  <c r="G172" i="1" s="1"/>
  <c r="K360" i="1"/>
  <c r="G360" i="1" s="1"/>
  <c r="S65" i="1"/>
  <c r="K354" i="1"/>
  <c r="G354" i="1" s="1"/>
  <c r="K166" i="1"/>
  <c r="G166" i="1" s="1"/>
  <c r="S59" i="1"/>
  <c r="K225" i="1"/>
  <c r="K305" i="1"/>
  <c r="S104" i="1"/>
  <c r="K278" i="1"/>
  <c r="S30" i="1"/>
  <c r="K159" i="1"/>
  <c r="S50" i="1"/>
  <c r="K153" i="1"/>
  <c r="K212" i="1"/>
  <c r="K290" i="1"/>
  <c r="S38" i="1"/>
  <c r="K165" i="1"/>
  <c r="G165" i="1" s="1"/>
  <c r="K353" i="1"/>
  <c r="G353" i="1" s="1"/>
  <c r="S58" i="1"/>
  <c r="K303" i="1"/>
  <c r="K223" i="1"/>
  <c r="S102" i="1"/>
  <c r="K276" i="1"/>
  <c r="K202" i="1"/>
  <c r="S29" i="1"/>
  <c r="K176" i="1"/>
  <c r="G176" i="1" s="1"/>
  <c r="K364" i="1"/>
  <c r="G364" i="1" s="1"/>
  <c r="S69" i="1"/>
  <c r="K170" i="1"/>
  <c r="G170" i="1" s="1"/>
  <c r="K358" i="1"/>
  <c r="G358" i="1" s="1"/>
  <c r="S63" i="1"/>
  <c r="K302" i="1"/>
  <c r="K222" i="1"/>
  <c r="S101" i="1"/>
  <c r="K197" i="1"/>
  <c r="K268" i="1"/>
  <c r="S13" i="1"/>
  <c r="K282" i="1"/>
  <c r="S34" i="1"/>
  <c r="K200" i="1"/>
  <c r="K274" i="1"/>
  <c r="S28" i="1"/>
  <c r="K293" i="1"/>
  <c r="S42" i="1"/>
  <c r="K175" i="1"/>
  <c r="G175" i="1" s="1"/>
  <c r="K363" i="1"/>
  <c r="G363" i="1" s="1"/>
  <c r="S68" i="1"/>
  <c r="K357" i="1"/>
  <c r="G357" i="1" s="1"/>
  <c r="K169" i="1"/>
  <c r="G169" i="1" s="1"/>
  <c r="S62" i="1"/>
  <c r="K301" i="1"/>
  <c r="K221" i="1"/>
  <c r="S100" i="1"/>
  <c r="K199" i="1"/>
  <c r="G199" i="1" s="1"/>
  <c r="K272" i="1"/>
  <c r="S27" i="1"/>
  <c r="K158" i="1"/>
  <c r="K289" i="1"/>
  <c r="K213" i="1"/>
  <c r="S47" i="1"/>
  <c r="K155" i="1"/>
  <c r="S41" i="1"/>
  <c r="K174" i="1"/>
  <c r="G174" i="1" s="1"/>
  <c r="K362" i="1"/>
  <c r="G362" i="1" s="1"/>
  <c r="S67" i="1"/>
  <c r="K168" i="1"/>
  <c r="G168" i="1" s="1"/>
  <c r="K356" i="1"/>
  <c r="G356" i="1" s="1"/>
  <c r="S61" i="1"/>
  <c r="K220" i="1"/>
  <c r="K300" i="1"/>
  <c r="S99" i="1"/>
  <c r="K156" i="1"/>
  <c r="S43" i="1"/>
  <c r="K267" i="1"/>
  <c r="K196" i="1"/>
  <c r="S12" i="1"/>
  <c r="K280" i="1"/>
  <c r="K204" i="1"/>
  <c r="S32" i="1"/>
  <c r="K269" i="1"/>
  <c r="K198" i="1"/>
  <c r="S26" i="1"/>
  <c r="K292" i="1"/>
  <c r="S40" i="1"/>
  <c r="K361" i="1"/>
  <c r="G361" i="1" s="1"/>
  <c r="K173" i="1"/>
  <c r="G173" i="1" s="1"/>
  <c r="S66" i="1"/>
  <c r="K167" i="1"/>
  <c r="G167" i="1" s="1"/>
  <c r="K355" i="1"/>
  <c r="G355" i="1" s="1"/>
  <c r="S60" i="1"/>
  <c r="K296" i="1"/>
  <c r="G296" i="1" s="1"/>
  <c r="K216" i="1"/>
  <c r="S95" i="1"/>
  <c r="K219" i="1"/>
  <c r="K299" i="1"/>
  <c r="G299" i="1" s="1"/>
  <c r="S98" i="1"/>
  <c r="K218" i="1"/>
  <c r="K298" i="1"/>
  <c r="G298" i="1" s="1"/>
  <c r="S97" i="1"/>
  <c r="K297" i="1"/>
  <c r="G297" i="1" s="1"/>
  <c r="K217" i="1"/>
  <c r="S96" i="1"/>
  <c r="K185" i="1"/>
  <c r="G185" i="1" s="1"/>
  <c r="K371" i="1"/>
  <c r="S78" i="1"/>
  <c r="K359" i="1"/>
  <c r="G359" i="1" s="1"/>
  <c r="K171" i="1"/>
  <c r="G171" i="1" s="1"/>
  <c r="S64" i="1"/>
  <c r="H144" i="1"/>
  <c r="H55" i="1"/>
  <c r="H70" i="1" l="1"/>
  <c r="H22" i="1"/>
  <c r="T26" i="1"/>
  <c r="T27" i="1" s="1"/>
  <c r="T28" i="1" s="1"/>
  <c r="T29" i="1" s="1"/>
  <c r="T30" i="1" s="1"/>
  <c r="T31" i="1" s="1"/>
  <c r="T32" i="1" s="1"/>
  <c r="T33" i="1" s="1"/>
  <c r="T34" i="1" s="1"/>
  <c r="T35" i="1" s="1"/>
  <c r="T36" i="1" s="1"/>
  <c r="T37" i="1" s="1"/>
  <c r="T38" i="1" s="1"/>
  <c r="T39" i="1" s="1"/>
  <c r="T40" i="1" s="1"/>
  <c r="T41" i="1" s="1"/>
  <c r="T42" i="1" s="1"/>
  <c r="T43" i="1" s="1"/>
  <c r="T44" i="1" s="1"/>
  <c r="T45" i="1" s="1"/>
  <c r="T46" i="1" s="1"/>
  <c r="T47" i="1" s="1"/>
  <c r="T48" i="1" s="1"/>
  <c r="T49" i="1" s="1"/>
  <c r="T50" i="1" s="1"/>
  <c r="T51" i="1" s="1"/>
  <c r="T52" i="1" s="1"/>
  <c r="T53" i="1" s="1"/>
  <c r="T54" i="1" s="1"/>
  <c r="T55" i="1" s="1"/>
  <c r="T56" i="1" s="1"/>
  <c r="T57" i="1" s="1"/>
  <c r="T58" i="1" s="1"/>
  <c r="T59" i="1" s="1"/>
  <c r="T60" i="1" s="1"/>
  <c r="T61" i="1" s="1"/>
  <c r="T62" i="1" s="1"/>
  <c r="T63" i="1" s="1"/>
  <c r="T64" i="1" s="1"/>
  <c r="T65" i="1" s="1"/>
  <c r="T66" i="1" s="1"/>
  <c r="T67" i="1" s="1"/>
  <c r="T68" i="1" s="1"/>
  <c r="T69" i="1" s="1"/>
  <c r="T70" i="1" s="1"/>
  <c r="T71" i="1" s="1"/>
  <c r="T72" i="1" s="1"/>
  <c r="T73" i="1" s="1"/>
  <c r="T74" i="1" s="1"/>
  <c r="T75" i="1" s="1"/>
  <c r="T76" i="1" s="1"/>
  <c r="T77" i="1" s="1"/>
  <c r="T78" i="1" s="1"/>
  <c r="T79" i="1" s="1"/>
  <c r="T80" i="1" s="1"/>
  <c r="T81" i="1" s="1"/>
  <c r="T82" i="1" s="1"/>
  <c r="T83" i="1" s="1"/>
  <c r="T84" i="1" s="1"/>
  <c r="T85" i="1" s="1"/>
  <c r="T86" i="1" s="1"/>
  <c r="T87" i="1" s="1"/>
  <c r="T88" i="1" s="1"/>
  <c r="T89" i="1" s="1"/>
  <c r="T90" i="1" s="1"/>
  <c r="T91" i="1" s="1"/>
  <c r="T92" i="1" s="1"/>
  <c r="T93" i="1" s="1"/>
  <c r="T94" i="1" s="1"/>
  <c r="T95" i="1" s="1"/>
  <c r="T96" i="1" s="1"/>
  <c r="T97" i="1" s="1"/>
  <c r="T98" i="1" s="1"/>
  <c r="T99" i="1" s="1"/>
  <c r="T100" i="1" s="1"/>
  <c r="T9" i="1"/>
  <c r="T10" i="1" s="1"/>
  <c r="T11" i="1" s="1"/>
  <c r="T12" i="1" s="1"/>
  <c r="T13" i="1" s="1"/>
  <c r="T14" i="1" s="1"/>
  <c r="T15" i="1" s="1"/>
  <c r="T16" i="1" s="1"/>
  <c r="T17" i="1" s="1"/>
  <c r="G216" i="1"/>
  <c r="S216" i="1" s="1"/>
  <c r="G267" i="1"/>
  <c r="S267" i="1" s="1"/>
  <c r="G282" i="1"/>
  <c r="S282" i="1" s="1"/>
  <c r="G212" i="1"/>
  <c r="S212" i="1" s="1"/>
  <c r="G219" i="1"/>
  <c r="S219" i="1" s="1"/>
  <c r="G300" i="1"/>
  <c r="S300" i="1" s="1"/>
  <c r="G198" i="1"/>
  <c r="S198" i="1" s="1"/>
  <c r="G196" i="1"/>
  <c r="S196" i="1" s="1"/>
  <c r="G220" i="1"/>
  <c r="S220" i="1" s="1"/>
  <c r="G158" i="1"/>
  <c r="S158" i="1" s="1"/>
  <c r="G301" i="1"/>
  <c r="S301" i="1" s="1"/>
  <c r="G222" i="1"/>
  <c r="S222" i="1" s="1"/>
  <c r="G223" i="1"/>
  <c r="S223" i="1" s="1"/>
  <c r="G290" i="1"/>
  <c r="S290" i="1" s="1"/>
  <c r="G278" i="1"/>
  <c r="S278" i="1" s="1"/>
  <c r="G154" i="1"/>
  <c r="S154" i="1" s="1"/>
  <c r="G279" i="1"/>
  <c r="S279" i="1" s="1"/>
  <c r="G269" i="1"/>
  <c r="S269" i="1" s="1"/>
  <c r="G302" i="1"/>
  <c r="S302" i="1" s="1"/>
  <c r="G303" i="1"/>
  <c r="S303" i="1" s="1"/>
  <c r="G218" i="1"/>
  <c r="S218" i="1" s="1"/>
  <c r="G155" i="1"/>
  <c r="S155" i="1" s="1"/>
  <c r="G272" i="1"/>
  <c r="S272" i="1" s="1"/>
  <c r="G293" i="1"/>
  <c r="S293" i="1" s="1"/>
  <c r="G153" i="1"/>
  <c r="S153" i="1" s="1"/>
  <c r="G157" i="1"/>
  <c r="S157" i="1" s="1"/>
  <c r="G338" i="1"/>
  <c r="S338" i="1" s="1"/>
  <c r="G204" i="1"/>
  <c r="S204" i="1" s="1"/>
  <c r="G156" i="1"/>
  <c r="S156" i="1" s="1"/>
  <c r="G268" i="1"/>
  <c r="S268" i="1" s="1"/>
  <c r="G202" i="1"/>
  <c r="S202" i="1" s="1"/>
  <c r="G258" i="1"/>
  <c r="S258" i="1" s="1"/>
  <c r="G217" i="1"/>
  <c r="S217" i="1" s="1"/>
  <c r="G292" i="1"/>
  <c r="S292" i="1" s="1"/>
  <c r="G280" i="1"/>
  <c r="S280" i="1" s="1"/>
  <c r="G213" i="1"/>
  <c r="S213" i="1" s="1"/>
  <c r="G274" i="1"/>
  <c r="S274" i="1" s="1"/>
  <c r="G197" i="1"/>
  <c r="S197" i="1" s="1"/>
  <c r="G276" i="1"/>
  <c r="S276" i="1" s="1"/>
  <c r="G159" i="1"/>
  <c r="S159" i="1" s="1"/>
  <c r="G152" i="1"/>
  <c r="S152" i="1" s="1"/>
  <c r="G371" i="1"/>
  <c r="H365" i="1" s="1"/>
  <c r="G289" i="1"/>
  <c r="G221" i="1"/>
  <c r="S221" i="1" s="1"/>
  <c r="G200" i="1"/>
  <c r="S200" i="1" s="1"/>
  <c r="H352" i="1"/>
  <c r="H179" i="1"/>
  <c r="H189" i="1"/>
  <c r="H146" i="1"/>
  <c r="H164" i="1"/>
  <c r="H344" i="1"/>
  <c r="H79" i="1"/>
  <c r="H94" i="1"/>
  <c r="G6" i="1"/>
  <c r="H72" i="1"/>
  <c r="H35" i="1"/>
  <c r="H288" i="1" l="1"/>
  <c r="H210" i="1"/>
  <c r="H215" i="1"/>
  <c r="H295" i="1"/>
  <c r="S289" i="1"/>
  <c r="H151" i="1"/>
  <c r="G142" i="1" s="1"/>
  <c r="H194" i="1"/>
  <c r="T101" i="1"/>
  <c r="T102" i="1" s="1"/>
  <c r="T103" i="1" s="1"/>
  <c r="T104" i="1" s="1"/>
  <c r="T105" i="1" s="1"/>
  <c r="T106" i="1" s="1"/>
  <c r="T107" i="1" s="1"/>
  <c r="T108" i="1" s="1"/>
  <c r="T109" i="1" s="1"/>
  <c r="T110" i="1" s="1"/>
  <c r="T111" i="1" s="1"/>
  <c r="T112" i="1" s="1"/>
  <c r="T113" i="1" s="1"/>
  <c r="T114" i="1" s="1"/>
  <c r="T115" i="1" s="1"/>
  <c r="T116" i="1" s="1"/>
  <c r="T117" i="1" s="1"/>
  <c r="T118" i="1" s="1"/>
  <c r="T119" i="1" s="1"/>
  <c r="T120" i="1" s="1"/>
  <c r="T121" i="1" s="1"/>
  <c r="T122" i="1" s="1"/>
  <c r="T123" i="1" s="1"/>
  <c r="T124" i="1" s="1"/>
  <c r="T125" i="1" s="1"/>
  <c r="T126" i="1" s="1"/>
  <c r="T127" i="1" s="1"/>
  <c r="T128" i="1" s="1"/>
  <c r="T129" i="1" s="1"/>
  <c r="T130" i="1" s="1"/>
  <c r="T131" i="1" s="1"/>
  <c r="T132" i="1" s="1"/>
  <c r="T133" i="1" s="1"/>
  <c r="T134" i="1" s="1"/>
  <c r="T135" i="1" s="1"/>
  <c r="T136" i="1" s="1"/>
  <c r="T137" i="1" s="1"/>
  <c r="T138" i="1" s="1"/>
  <c r="H6" i="1"/>
  <c r="H57" i="1"/>
  <c r="H348" i="1"/>
  <c r="H51" i="1"/>
  <c r="H160" i="1"/>
  <c r="H24" i="1"/>
  <c r="K266" i="1"/>
  <c r="G266" i="1" s="1"/>
  <c r="S266" i="1" l="1"/>
  <c r="T266" i="1" s="1"/>
  <c r="T267" i="1" s="1"/>
  <c r="T268" i="1" s="1"/>
  <c r="T269" i="1" s="1"/>
  <c r="T270" i="1" s="1"/>
  <c r="T271" i="1" s="1"/>
  <c r="T272" i="1" s="1"/>
  <c r="T273" i="1" l="1"/>
  <c r="T274" i="1" s="1"/>
  <c r="T275" i="1" s="1"/>
  <c r="T276" i="1" s="1"/>
  <c r="T277" i="1" s="1"/>
  <c r="T278" i="1" s="1"/>
  <c r="T279" i="1" s="1"/>
  <c r="T280" i="1" s="1"/>
  <c r="T281" i="1" s="1"/>
  <c r="T282" i="1" s="1"/>
  <c r="T283" i="1" s="1"/>
  <c r="T284" i="1" s="1"/>
  <c r="T285" i="1" s="1"/>
  <c r="T286" i="1" s="1"/>
  <c r="T287" i="1" s="1"/>
  <c r="T288" i="1" s="1"/>
  <c r="T289" i="1" s="1"/>
  <c r="T290" i="1" s="1"/>
  <c r="T291" i="1" s="1"/>
  <c r="T292" i="1" s="1"/>
  <c r="T293" i="1" s="1"/>
  <c r="T294" i="1" s="1"/>
  <c r="T295" i="1" s="1"/>
  <c r="T296" i="1" s="1"/>
  <c r="T297" i="1" s="1"/>
  <c r="T298" i="1" s="1"/>
  <c r="T299" i="1" s="1"/>
  <c r="T300" i="1" s="1"/>
  <c r="T301" i="1" s="1"/>
  <c r="T302" i="1" s="1"/>
  <c r="T303" i="1" s="1"/>
  <c r="H265" i="1"/>
  <c r="T304" i="1" l="1"/>
  <c r="T305" i="1" s="1"/>
  <c r="T306" i="1" s="1"/>
  <c r="T307" i="1" s="1"/>
  <c r="T308" i="1" s="1"/>
  <c r="T309" i="1" s="1"/>
  <c r="T310" i="1" s="1"/>
  <c r="T311" i="1" s="1"/>
  <c r="T312" i="1" s="1"/>
  <c r="T313" i="1" s="1"/>
  <c r="T314" i="1" s="1"/>
  <c r="T315" i="1" s="1"/>
  <c r="T316" i="1" s="1"/>
  <c r="T317" i="1" s="1"/>
  <c r="T318" i="1" s="1"/>
  <c r="T319" i="1" s="1"/>
  <c r="T320" i="1" s="1"/>
  <c r="T321" i="1" s="1"/>
  <c r="T322" i="1" s="1"/>
  <c r="T323" i="1" s="1"/>
  <c r="T324" i="1" s="1"/>
  <c r="T325" i="1" s="1"/>
  <c r="T326" i="1" s="1"/>
  <c r="T327" i="1" s="1"/>
  <c r="T328" i="1" s="1"/>
  <c r="T329" i="1" s="1"/>
  <c r="T330" i="1" s="1"/>
  <c r="T331" i="1" s="1"/>
  <c r="T332" i="1" s="1"/>
  <c r="T333" i="1" s="1"/>
  <c r="T334" i="1" s="1"/>
  <c r="T335" i="1" s="1"/>
  <c r="T336" i="1" s="1"/>
  <c r="T337" i="1" s="1"/>
  <c r="T338" i="1" s="1"/>
  <c r="T339" i="1" s="1"/>
  <c r="T146" i="1"/>
  <c r="T147" i="1" s="1"/>
  <c r="T148" i="1" s="1"/>
  <c r="T149" i="1" s="1"/>
  <c r="T150" i="1" s="1"/>
  <c r="T151" i="1" s="1"/>
  <c r="T152" i="1" s="1"/>
  <c r="T153" i="1" s="1"/>
  <c r="T154" i="1" s="1"/>
  <c r="T155" i="1" s="1"/>
  <c r="T156" i="1" s="1"/>
  <c r="T157" i="1" s="1"/>
  <c r="T158" i="1" s="1"/>
  <c r="T159" i="1" s="1"/>
  <c r="H142" i="1" s="1"/>
  <c r="T191" i="1"/>
  <c r="T192" i="1" s="1"/>
  <c r="T193" i="1" s="1"/>
  <c r="T194" i="1" s="1"/>
  <c r="T195" i="1" s="1"/>
  <c r="T196" i="1" s="1"/>
  <c r="T197" i="1" s="1"/>
  <c r="T198" i="1" s="1"/>
  <c r="T199" i="1" s="1"/>
  <c r="T200" i="1" s="1"/>
  <c r="T201" i="1" s="1"/>
  <c r="T202" i="1" s="1"/>
  <c r="T203" i="1" s="1"/>
  <c r="T204" i="1" s="1"/>
  <c r="T205" i="1" s="1"/>
  <c r="L260" i="1"/>
  <c r="G260" i="1"/>
  <c r="H234" i="1" s="1"/>
  <c r="G187" i="1" s="1"/>
  <c r="G139" i="1"/>
  <c r="H113" i="1" s="1"/>
  <c r="G20" i="1" s="1"/>
  <c r="L340" i="1"/>
  <c r="G340" i="1"/>
  <c r="S340" i="1" s="1"/>
  <c r="T340" i="1" l="1"/>
  <c r="T341" i="1" s="1"/>
  <c r="T206" i="1"/>
  <c r="T207" i="1" s="1"/>
  <c r="T208" i="1" s="1"/>
  <c r="T209" i="1" s="1"/>
  <c r="T210" i="1" s="1"/>
  <c r="H314" i="1"/>
  <c r="G263" i="1" s="1"/>
  <c r="H263" i="1" s="1"/>
  <c r="S260" i="1"/>
  <c r="S139" i="1"/>
  <c r="T139" i="1" l="1"/>
  <c r="T140" i="1" s="1"/>
  <c r="H20" i="1" s="1"/>
  <c r="T211" i="1"/>
  <c r="T212" i="1" s="1"/>
  <c r="T213" i="1" s="1"/>
  <c r="T214" i="1" s="1"/>
  <c r="T215" i="1" s="1"/>
  <c r="T216" i="1" s="1"/>
  <c r="T217" i="1" s="1"/>
  <c r="T218" i="1" s="1"/>
  <c r="T219" i="1" s="1"/>
  <c r="T220" i="1" s="1"/>
  <c r="T221" i="1" s="1"/>
  <c r="T222" i="1" s="1"/>
  <c r="T223" i="1" s="1"/>
  <c r="T224" i="1" l="1"/>
  <c r="T225" i="1" s="1"/>
  <c r="T226" i="1" s="1"/>
  <c r="T227" i="1" s="1"/>
  <c r="T228" i="1" s="1"/>
  <c r="T229" i="1" s="1"/>
  <c r="T230" i="1" s="1"/>
  <c r="T231" i="1" s="1"/>
  <c r="T232" i="1" s="1"/>
  <c r="T233" i="1" s="1"/>
  <c r="T234" i="1" s="1"/>
  <c r="T235" i="1" s="1"/>
  <c r="T236" i="1" s="1"/>
  <c r="T237" i="1" s="1"/>
  <c r="T238" i="1" s="1"/>
  <c r="T239" i="1" s="1"/>
  <c r="T240" i="1" s="1"/>
  <c r="T241" i="1" s="1"/>
  <c r="T242" i="1" s="1"/>
  <c r="T243" i="1" s="1"/>
  <c r="T244" i="1" s="1"/>
  <c r="T245" i="1" s="1"/>
  <c r="T246" i="1" s="1"/>
  <c r="T247" i="1" s="1"/>
  <c r="T248" i="1" s="1"/>
  <c r="T249" i="1" s="1"/>
  <c r="T250" i="1" s="1"/>
  <c r="T251" i="1" s="1"/>
  <c r="T252" i="1" s="1"/>
  <c r="T253" i="1" s="1"/>
  <c r="T254" i="1" s="1"/>
  <c r="T255" i="1" s="1"/>
  <c r="T256" i="1" s="1"/>
  <c r="T257" i="1" s="1"/>
  <c r="T258" i="1" s="1"/>
  <c r="T259" i="1" s="1"/>
  <c r="T260" i="1" s="1"/>
  <c r="T261" i="1" s="1"/>
  <c r="H187" i="1" s="1"/>
</calcChain>
</file>

<file path=xl/sharedStrings.xml><?xml version="1.0" encoding="utf-8"?>
<sst xmlns="http://schemas.openxmlformats.org/spreadsheetml/2006/main" count="2941" uniqueCount="299">
  <si>
    <t>Analyse komponenter</t>
  </si>
  <si>
    <t>Turbiditet</t>
  </si>
  <si>
    <t>Escherichia coli</t>
  </si>
  <si>
    <t>Enterokokker</t>
  </si>
  <si>
    <t>Nitrit</t>
  </si>
  <si>
    <t>Nitrat</t>
  </si>
  <si>
    <t>Chlorid</t>
  </si>
  <si>
    <t>Sulfat</t>
  </si>
  <si>
    <t>Acrylamid</t>
  </si>
  <si>
    <t>Epichlorhydrin</t>
  </si>
  <si>
    <t>Benzen</t>
  </si>
  <si>
    <t>Fluoranthen</t>
  </si>
  <si>
    <t>Benzo(a)pyren</t>
  </si>
  <si>
    <t>Sum PFAS</t>
  </si>
  <si>
    <t>Pentachlorphenol</t>
  </si>
  <si>
    <t>2,6-DCPP</t>
  </si>
  <si>
    <t>4-CPP</t>
  </si>
  <si>
    <t>Aldrin</t>
  </si>
  <si>
    <t>AMPA</t>
  </si>
  <si>
    <t>Atrazin</t>
  </si>
  <si>
    <t>Bentazon</t>
  </si>
  <si>
    <t>CGA 108906</t>
  </si>
  <si>
    <t>Deisopropyl-hydroxy-atrazin</t>
  </si>
  <si>
    <t>Desethyl-atrazin</t>
  </si>
  <si>
    <t>Desethyl-desisopropyl-atrazin</t>
  </si>
  <si>
    <t>Desethyl-hydroxy-atrazin</t>
  </si>
  <si>
    <t>Desethyl-terbutylazin</t>
  </si>
  <si>
    <t>Desisopropyl-atrazin</t>
  </si>
  <si>
    <t>Dichlobenil</t>
  </si>
  <si>
    <t>Didealkyl-hydroxy-atrazin</t>
  </si>
  <si>
    <t>Diuron</t>
  </si>
  <si>
    <t>Glyphosat</t>
  </si>
  <si>
    <t>Hexazinon</t>
  </si>
  <si>
    <t>Hydroxyatrazin</t>
  </si>
  <si>
    <t>Hydroxysimazin</t>
  </si>
  <si>
    <t>MCPA</t>
  </si>
  <si>
    <t>Metribuzin</t>
  </si>
  <si>
    <t>Metribuzin-desamino</t>
  </si>
  <si>
    <t>Metribuzin-desamino-diketo</t>
  </si>
  <si>
    <t>Metribuzin-diketo</t>
  </si>
  <si>
    <t>Simazin</t>
  </si>
  <si>
    <t>Vinylchlorid</t>
  </si>
  <si>
    <t>Dichlormethan</t>
  </si>
  <si>
    <t>1,1-dichlorethen</t>
  </si>
  <si>
    <t>1,2-dichlorethan</t>
  </si>
  <si>
    <t>1,1,1-trichlorethan</t>
  </si>
  <si>
    <t>1,1,2-trichlorethan</t>
  </si>
  <si>
    <t>Trichlorethen</t>
  </si>
  <si>
    <t>1,1,1,2-tetrachlorethan</t>
  </si>
  <si>
    <t>1,1,2,2-tetrachlorethan</t>
  </si>
  <si>
    <t>Tetrachlorethen</t>
  </si>
  <si>
    <t>pH</t>
  </si>
  <si>
    <t>Ledningsevne</t>
  </si>
  <si>
    <t>Gruppe A</t>
  </si>
  <si>
    <t>Lugt</t>
  </si>
  <si>
    <t>Smag</t>
  </si>
  <si>
    <t>Farve</t>
  </si>
  <si>
    <t>Kimtal ved 22 °C</t>
  </si>
  <si>
    <t>Coliforme bakterier</t>
  </si>
  <si>
    <t>E. coli</t>
  </si>
  <si>
    <t>Jern</t>
  </si>
  <si>
    <t>Gruppe B</t>
  </si>
  <si>
    <t>Mikrobiologi</t>
  </si>
  <si>
    <t>Hovedbestanddele</t>
  </si>
  <si>
    <t>Temperatur</t>
  </si>
  <si>
    <t>NVOC</t>
  </si>
  <si>
    <t>Natrium</t>
  </si>
  <si>
    <t>Ammonium</t>
  </si>
  <si>
    <t>Mangan</t>
  </si>
  <si>
    <t>Fluorid</t>
  </si>
  <si>
    <t>Uorganiske sporstoffer</t>
  </si>
  <si>
    <t>Aluminium</t>
  </si>
  <si>
    <t>Antimon</t>
  </si>
  <si>
    <t>Arsen</t>
  </si>
  <si>
    <t>Bly</t>
  </si>
  <si>
    <t>Bor</t>
  </si>
  <si>
    <t>Cadmium</t>
  </si>
  <si>
    <t>Chrom</t>
  </si>
  <si>
    <t>Cyanid</t>
  </si>
  <si>
    <t>Kobber</t>
  </si>
  <si>
    <t>Kviksølv</t>
  </si>
  <si>
    <t>Nikkel</t>
  </si>
  <si>
    <t>Selen</t>
  </si>
  <si>
    <t>Sølv</t>
  </si>
  <si>
    <t>Zink</t>
  </si>
  <si>
    <t>Chlorphenoler*</t>
  </si>
  <si>
    <t>Materiale monomerer*</t>
  </si>
  <si>
    <t>Opløsningsmidler – chlorholdige*</t>
  </si>
  <si>
    <t>Olieprodukter*</t>
  </si>
  <si>
    <t>PAH-forbindelser*</t>
  </si>
  <si>
    <t>PFAS*</t>
  </si>
  <si>
    <t>Kobolt</t>
  </si>
  <si>
    <t>Trichlormethan</t>
  </si>
  <si>
    <t>Trans-1,2-dichlorethen</t>
  </si>
  <si>
    <t>PFBS (perfluorbutansulfonsyre)</t>
  </si>
  <si>
    <t>PFHxS (perfluorhexansulfonsyre)</t>
  </si>
  <si>
    <t>PFOS (perfluoroctansulfonsyre)</t>
  </si>
  <si>
    <t>PFOSA (perfluoroctansulfonamid)</t>
  </si>
  <si>
    <t>6:2 FTS (6:2 fluorotelomersulfonsyre)</t>
  </si>
  <si>
    <t>PFBA (perfluorbutansyre)</t>
  </si>
  <si>
    <t>PFPeA (perfluorpentansyre)</t>
  </si>
  <si>
    <t>PFHxA (perfluorhexansyre)</t>
  </si>
  <si>
    <t>PFHpA (perfluorheptansyre)</t>
  </si>
  <si>
    <t>PFOA (perfluoroctansyre)</t>
  </si>
  <si>
    <t>PFNA (perfluornonansyre)</t>
  </si>
  <si>
    <t>PFDA (perfluordecansyre)</t>
  </si>
  <si>
    <t>Sum af PFAS</t>
  </si>
  <si>
    <t>Pesticider og nedbrydningsprodukter*</t>
  </si>
  <si>
    <t>Aktivstoffer</t>
  </si>
  <si>
    <t>Dichlorprop</t>
  </si>
  <si>
    <t>ETU (Ethylenthiourea)</t>
  </si>
  <si>
    <t>Mechlorprop</t>
  </si>
  <si>
    <t>Metalaxyl/metalaxyl-M</t>
  </si>
  <si>
    <t>Nedbrydningsprodukter</t>
  </si>
  <si>
    <t>1,2,4-triazol</t>
  </si>
  <si>
    <t>2,6-Dichlorbenzosyre</t>
  </si>
  <si>
    <t>2,4-Dichlorphenol</t>
  </si>
  <si>
    <t>2,6-Dichlorphenol</t>
  </si>
  <si>
    <t>4CPP (2-(4-chlorphenoxy)propionsyre)</t>
  </si>
  <si>
    <t>2,6-DCPP (2-(2,6-dichlorphenoxy-propionsyre))</t>
  </si>
  <si>
    <t>4-Nitrophenol</t>
  </si>
  <si>
    <t>AMPA (Aminomethylphosphorsyre)</t>
  </si>
  <si>
    <t>BAM (2,6-Dichlorbenzamid)</t>
  </si>
  <si>
    <t>N-(2, 6-dimethylphenyl)-N-(Methoxyacetyl)alanin (CGA62826)</t>
  </si>
  <si>
    <t>N-(2-carboxy-6-methylphenyl) N-methoxyacetyl)alanin (CGA108906)</t>
  </si>
  <si>
    <t>DEIA (Desethyldesisopropyl-atrazin)</t>
  </si>
  <si>
    <t>Desphenyl-chloridazon</t>
  </si>
  <si>
    <t>Methyl-desphenyl-chloridazon</t>
  </si>
  <si>
    <t>Sum af pesticider</t>
  </si>
  <si>
    <t>Kimtal</t>
  </si>
  <si>
    <t>benzo(g,h,i)perylen</t>
  </si>
  <si>
    <t>perfluorbutansulfonsyre</t>
  </si>
  <si>
    <t>perfluorhexansulfonsyre</t>
  </si>
  <si>
    <t>perfluorbutansyre</t>
  </si>
  <si>
    <t>perfluorpentansyre</t>
  </si>
  <si>
    <t>perfluorhexansyre</t>
  </si>
  <si>
    <t>perfluorheptansyre</t>
  </si>
  <si>
    <t>perfluornonansyre</t>
  </si>
  <si>
    <t>perfluordekansyre</t>
  </si>
  <si>
    <t>perfluoroktansyre</t>
  </si>
  <si>
    <t>perfluoroktansulfonsyre</t>
  </si>
  <si>
    <t>perfluoroktansulfonamid</t>
  </si>
  <si>
    <t>6:2 Fluortelomersulfonat</t>
  </si>
  <si>
    <t>Ethylenthiourea</t>
  </si>
  <si>
    <t>Metalaxyl</t>
  </si>
  <si>
    <t>triazol</t>
  </si>
  <si>
    <t>Dichlorbenzamid</t>
  </si>
  <si>
    <t>chloridazon, Methyl-desphenyl-</t>
  </si>
  <si>
    <t>chloridazon, Desphenyl-</t>
  </si>
  <si>
    <t>CGA 62826</t>
  </si>
  <si>
    <t>Mikrobiologiske parametre</t>
  </si>
  <si>
    <t>Uorganiske stoffer</t>
  </si>
  <si>
    <t>Materiale monomerer</t>
  </si>
  <si>
    <t>Olieprodukter</t>
  </si>
  <si>
    <t>PAH-forbindelser</t>
  </si>
  <si>
    <t>Kimtal v. 22 ºC</t>
  </si>
  <si>
    <t>Ilt</t>
  </si>
  <si>
    <t>Methan</t>
  </si>
  <si>
    <t>Svovlbrinte</t>
  </si>
  <si>
    <t>Hårdhed</t>
  </si>
  <si>
    <t>Calcium</t>
  </si>
  <si>
    <t>Magnesium</t>
  </si>
  <si>
    <t>Jern, total</t>
  </si>
  <si>
    <t>Mangan, total</t>
  </si>
  <si>
    <t>Bicarbonat</t>
  </si>
  <si>
    <t>Aggressivt kuldioxid</t>
  </si>
  <si>
    <t>Totalt phosphor</t>
  </si>
  <si>
    <t>Barium</t>
  </si>
  <si>
    <t>Cobolt</t>
  </si>
  <si>
    <t>Boringskontrol</t>
  </si>
  <si>
    <t>MTBE og nedbrydningsprodukter</t>
  </si>
  <si>
    <t>MTBE (methyl-tert-butylether)</t>
  </si>
  <si>
    <t>TBA (tert-butylalkohol)</t>
  </si>
  <si>
    <t>TBF (tert-butylformat)</t>
  </si>
  <si>
    <t xml:space="preserve"> </t>
  </si>
  <si>
    <t>Vandværkskontrol (Bilag E)</t>
  </si>
  <si>
    <t>Ledningsnetkontrol (Bilag F)</t>
  </si>
  <si>
    <t>Klorid</t>
  </si>
  <si>
    <t>Copper</t>
  </si>
  <si>
    <t>Her kan et synonym indsættes</t>
  </si>
  <si>
    <t>total pesticid</t>
  </si>
  <si>
    <t>pesticid total</t>
  </si>
  <si>
    <t>Opløsningsmidler – chlorholdige</t>
  </si>
  <si>
    <t>Aggressiv kuldioxid</t>
  </si>
  <si>
    <t>fosfor</t>
  </si>
  <si>
    <t>Desethylhydroxy-atrazin</t>
  </si>
  <si>
    <t>Desethylatrazin</t>
  </si>
  <si>
    <t>Desethylterbutylazin</t>
  </si>
  <si>
    <t>Desisopropylatrazin</t>
  </si>
  <si>
    <t>Desphenylchloridazon</t>
  </si>
  <si>
    <t>Didealkylhydroxy-atrazin</t>
  </si>
  <si>
    <t>Desethyldesisopropyl-atrazin</t>
  </si>
  <si>
    <t>Desisopropyl-hydroxy-atrazin</t>
  </si>
  <si>
    <t>Desisopropylhydroxy-atrazin</t>
  </si>
  <si>
    <t>Desisopropyl-hydroxyatrazin</t>
  </si>
  <si>
    <t>Desphenyl-Chloridazon</t>
  </si>
  <si>
    <t>Methyl-desphenyl chloridazon</t>
  </si>
  <si>
    <t>Metribuzin-DADK</t>
  </si>
  <si>
    <t>Vandværk:</t>
  </si>
  <si>
    <t>Data indsat:</t>
  </si>
  <si>
    <t>krom</t>
  </si>
  <si>
    <t>Dichlormetan</t>
  </si>
  <si>
    <t>Trichlorethylen</t>
  </si>
  <si>
    <t>Tetrachlorethylen</t>
  </si>
  <si>
    <t>1,1-dichlorethylen</t>
  </si>
  <si>
    <t>cis-1,2-dichlorethylen</t>
  </si>
  <si>
    <t>Trans-1,2-dichlorethylen</t>
  </si>
  <si>
    <t>Benzo(b+j+k)fluoranthen</t>
  </si>
  <si>
    <t>6.2 FTS</t>
  </si>
  <si>
    <t>PFAS Sum</t>
  </si>
  <si>
    <t>perfluorohexansyre</t>
  </si>
  <si>
    <t>perfluoroheptansyre</t>
  </si>
  <si>
    <t>perflourononansyre</t>
  </si>
  <si>
    <t>perfluorodecansyre</t>
  </si>
  <si>
    <t>2) Marker alt med ctrl+a</t>
  </si>
  <si>
    <t>3) Kopier med ctrl+c</t>
  </si>
  <si>
    <t>4) tryk på nedenstående knap</t>
  </si>
  <si>
    <t>Guide:</t>
  </si>
  <si>
    <t>1) Åben en analyse i pdf-format</t>
  </si>
  <si>
    <t>Atrazin, desethyl-</t>
  </si>
  <si>
    <t>Link til pakkerne:</t>
  </si>
  <si>
    <t>Metribuzin-deketo</t>
  </si>
  <si>
    <t>hydrogenkarbonat</t>
  </si>
  <si>
    <t>hydrogencarbonat</t>
  </si>
  <si>
    <t>Total-p</t>
  </si>
  <si>
    <t>Sulfid-S</t>
  </si>
  <si>
    <t>Metan</t>
  </si>
  <si>
    <t>MTBE</t>
  </si>
  <si>
    <t>tert. butylalkohol (TBA)</t>
  </si>
  <si>
    <t>tert. butylformat (TBF)</t>
  </si>
  <si>
    <t>Cis-1,2-dichlorethen</t>
  </si>
  <si>
    <t>Benzo(b)fluoranthen</t>
  </si>
  <si>
    <t>Benzo(k)fluoranthen</t>
  </si>
  <si>
    <t>Benzo(ghi)perylen</t>
  </si>
  <si>
    <t>Indeno(1,2,3-cd)pyren</t>
  </si>
  <si>
    <t>Dieldrin</t>
  </si>
  <si>
    <t>Heptachlor</t>
  </si>
  <si>
    <t>Heptachlorepoxid</t>
  </si>
  <si>
    <t>1) Åben GEUS' godkendelsesmodul</t>
  </si>
  <si>
    <t>2) Marker alle analyser fra én prøve</t>
  </si>
  <si>
    <t xml:space="preserve">   (Ekstra tekst betyder ikke noget)</t>
  </si>
  <si>
    <t>Analyse komponenter fra GEUS</t>
  </si>
  <si>
    <t>E.coli</t>
  </si>
  <si>
    <t>Coliforme bakt.</t>
  </si>
  <si>
    <t xml:space="preserve">DMS </t>
  </si>
  <si>
    <t>Dimethylsulfamid</t>
  </si>
  <si>
    <t>Konduktivitet</t>
  </si>
  <si>
    <t>Fækale streptokokker</t>
  </si>
  <si>
    <t>Benz[a]pyren</t>
  </si>
  <si>
    <t>Benz(b)fluoranthen</t>
  </si>
  <si>
    <t>Trans-1,2-dichloreth</t>
  </si>
  <si>
    <t>Deisopropyl-hydroxyatrazin</t>
  </si>
  <si>
    <t>DEIA</t>
  </si>
  <si>
    <t>Terbut.azin,desethyl</t>
  </si>
  <si>
    <t>Metribuz-desam-diket</t>
  </si>
  <si>
    <t>Cis-1,2-dichloreth</t>
  </si>
  <si>
    <t>Benz(k)fluoranthen</t>
  </si>
  <si>
    <t>benz(ghi)perylen</t>
  </si>
  <si>
    <t>simazin, Hydroxy</t>
  </si>
  <si>
    <t>atrazin, Desisopropy</t>
  </si>
  <si>
    <t>6:2 FTS</t>
  </si>
  <si>
    <t>Total Phosphor</t>
  </si>
  <si>
    <t>Atrazin, desethyl-desisopropyl-</t>
  </si>
  <si>
    <t>Chloridazon-desphenyl</t>
  </si>
  <si>
    <t>Ethylenthiourinstof</t>
  </si>
  <si>
    <t>Phosphor, total</t>
  </si>
  <si>
    <t>Aggressiv CO2</t>
  </si>
  <si>
    <t>Chloridazon-methyl-desphenyl</t>
  </si>
  <si>
    <t>CGA62826</t>
  </si>
  <si>
    <t>CGA108906</t>
  </si>
  <si>
    <t>Metribuzindesamino</t>
  </si>
  <si>
    <t>Desethyldesisopropylatrazin</t>
  </si>
  <si>
    <t>Desethylhydroxyatrazin</t>
  </si>
  <si>
    <t>Desisopropylhydroxyatrazin</t>
  </si>
  <si>
    <t>Sum af analyserede pesticider</t>
  </si>
  <si>
    <t>Chloroform</t>
  </si>
  <si>
    <t>desaminodiketoMetribuzin</t>
  </si>
  <si>
    <t>diketoMetribuzin</t>
  </si>
  <si>
    <t>Desethyldesisopropylhydroxyatrazin</t>
  </si>
  <si>
    <t>Kalium</t>
  </si>
  <si>
    <t>NB står ikke i analysepakkerne vi har sendt ud</t>
  </si>
  <si>
    <t>PFBS</t>
  </si>
  <si>
    <t>PFHxS</t>
  </si>
  <si>
    <t>PFOS</t>
  </si>
  <si>
    <t>PFOSA</t>
  </si>
  <si>
    <t>PFBA</t>
  </si>
  <si>
    <t>PFHxA</t>
  </si>
  <si>
    <t>PFHpA</t>
  </si>
  <si>
    <t>PFPeA</t>
  </si>
  <si>
    <t>PFOA</t>
  </si>
  <si>
    <t>PFNA</t>
  </si>
  <si>
    <t>PFDA</t>
  </si>
  <si>
    <t>Sum af 12 PFAS</t>
  </si>
  <si>
    <t>Benz(a)pyren</t>
  </si>
  <si>
    <t>Benz(b+j+k)fluoranthen</t>
  </si>
  <si>
    <t>benz(g,h,i)perylen</t>
  </si>
  <si>
    <t>Af Mads Schmidt Christensen // Kalundborg Kommune // macr@kalundborg.dk // maj 2019</t>
  </si>
  <si>
    <t>2,4+2,5-dichlorphenol</t>
  </si>
  <si>
    <t>Chlorothalonil-amidsulfonsyre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</si>
</sst>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 mmm\ yyyy\ /\ hh:mm:ss"/>
  </numFmts>
  <fonts count="31" x14ac:knownFonts="1">
    <font>
      <sz val="9.5"/>
      <color theme="1"/>
      <name val="Verdana"/>
      <family val="2"/>
      <scheme val="minor"/>
    </font>
    <font>
      <sz val="11"/>
      <color theme="1"/>
      <name val="Verdana"/>
      <family val="2"/>
      <scheme val="minor"/>
    </font>
    <font>
      <sz val="11"/>
      <color theme="1"/>
      <name val="Verdana"/>
      <family val="2"/>
      <scheme val="minor"/>
    </font>
    <font>
      <sz val="14"/>
      <color theme="1"/>
      <name val="Verdana"/>
      <family val="2"/>
      <scheme val="minor"/>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9.5"/>
      <color theme="1"/>
      <name val="Verdana"/>
      <family val="2"/>
      <scheme val="minor"/>
    </font>
    <font>
      <i/>
      <sz val="9.5"/>
      <color theme="1"/>
      <name val="Verdana"/>
      <family val="2"/>
      <scheme val="minor"/>
    </font>
    <font>
      <b/>
      <sz val="9.5"/>
      <name val="Verdana"/>
      <family val="2"/>
      <scheme val="minor"/>
    </font>
    <font>
      <i/>
      <sz val="8"/>
      <color theme="1"/>
      <name val="Verdana"/>
      <family val="2"/>
      <scheme val="minor"/>
    </font>
    <font>
      <u/>
      <sz val="9.5"/>
      <color theme="10"/>
      <name val="Verdana"/>
      <family val="2"/>
      <scheme val="minor"/>
    </font>
    <font>
      <u/>
      <sz val="9.5"/>
      <name val="Verdana"/>
      <family val="2"/>
      <scheme val="minor"/>
    </font>
    <font>
      <b/>
      <u/>
      <sz val="9.5"/>
      <name val="Verdana"/>
      <family val="2"/>
      <scheme val="minor"/>
    </font>
    <font>
      <sz val="9.5"/>
      <name val="Verdana"/>
      <family val="2"/>
      <scheme val="minor"/>
    </font>
    <font>
      <sz val="9.5"/>
      <color rgb="FF000000"/>
      <name val="Verdana"/>
      <family val="2"/>
    </font>
  </fonts>
  <fills count="29">
    <fill>
      <patternFill patternType="none"/>
    </fill>
    <fill>
      <patternFill patternType="gray125"/>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5" tint="0.39997558519241921"/>
        <bgColor indexed="64"/>
      </patternFill>
    </fill>
  </fills>
  <borders count="1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47">
    <xf numFmtId="0" fontId="0" fillId="0" borderId="0"/>
    <xf numFmtId="0" fontId="4"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6" borderId="0" applyNumberFormat="0" applyBorder="0" applyAlignment="0" applyProtection="0"/>
    <xf numFmtId="0" fontId="5" fillId="9" borderId="0" applyNumberFormat="0" applyBorder="0" applyAlignment="0" applyProtection="0"/>
    <xf numFmtId="0" fontId="5" fillId="12" borderId="0" applyNumberFormat="0" applyBorder="0" applyAlignment="0" applyProtection="0"/>
    <xf numFmtId="0" fontId="6" fillId="13"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9"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20" borderId="0" applyNumberFormat="0" applyBorder="0" applyAlignment="0" applyProtection="0"/>
    <xf numFmtId="0" fontId="7" fillId="4" borderId="0" applyNumberFormat="0" applyBorder="0" applyAlignment="0" applyProtection="0"/>
    <xf numFmtId="0" fontId="8" fillId="21" borderId="1" applyNumberFormat="0" applyAlignment="0" applyProtection="0"/>
    <xf numFmtId="0" fontId="9" fillId="22" borderId="2" applyNumberFormat="0" applyAlignment="0" applyProtection="0"/>
    <xf numFmtId="0" fontId="10" fillId="0" borderId="0" applyNumberFormat="0" applyFill="0" applyBorder="0" applyAlignment="0" applyProtection="0"/>
    <xf numFmtId="0" fontId="11" fillId="5"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5" fillId="8" borderId="1" applyNumberFormat="0" applyAlignment="0" applyProtection="0"/>
    <xf numFmtId="0" fontId="16" fillId="0" borderId="6" applyNumberFormat="0" applyFill="0" applyAlignment="0" applyProtection="0"/>
    <xf numFmtId="0" fontId="17" fillId="23" borderId="0" applyNumberFormat="0" applyBorder="0" applyAlignment="0" applyProtection="0"/>
    <xf numFmtId="0" fontId="2" fillId="0" borderId="0"/>
    <xf numFmtId="0" fontId="5" fillId="24" borderId="7" applyNumberFormat="0" applyFont="0" applyAlignment="0" applyProtection="0"/>
    <xf numFmtId="0" fontId="18" fillId="21" borderId="8" applyNumberForma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xf numFmtId="0" fontId="1" fillId="0" borderId="0"/>
    <xf numFmtId="0" fontId="1" fillId="0" borderId="0"/>
    <xf numFmtId="0" fontId="26" fillId="0" borderId="0" applyNumberFormat="0" applyFill="0" applyBorder="0" applyAlignment="0" applyProtection="0"/>
  </cellStyleXfs>
  <cellXfs count="55">
    <xf numFmtId="0" fontId="0" fillId="0" borderId="0" xfId="0"/>
    <xf numFmtId="0" fontId="3" fillId="2" borderId="0" xfId="0" applyFont="1" applyFill="1"/>
    <xf numFmtId="0" fontId="0" fillId="2" borderId="0" xfId="0" applyFill="1"/>
    <xf numFmtId="0" fontId="0" fillId="0" borderId="10" xfId="0" applyBorder="1"/>
    <xf numFmtId="0" fontId="0" fillId="0" borderId="10" xfId="0" applyBorder="1" applyAlignment="1">
      <alignment horizontal="center"/>
    </xf>
    <xf numFmtId="0" fontId="0" fillId="2" borderId="10" xfId="0" applyFill="1" applyBorder="1"/>
    <xf numFmtId="0" fontId="4" fillId="0" borderId="0" xfId="1" applyAlignment="1">
      <alignment horizontal="left"/>
    </xf>
    <xf numFmtId="0" fontId="0" fillId="0" borderId="14" xfId="0" applyBorder="1"/>
    <xf numFmtId="0" fontId="0" fillId="2" borderId="12" xfId="0" applyFill="1" applyBorder="1"/>
    <xf numFmtId="0" fontId="0" fillId="0" borderId="13" xfId="0" applyBorder="1"/>
    <xf numFmtId="0" fontId="0" fillId="0" borderId="12" xfId="0" applyBorder="1"/>
    <xf numFmtId="0" fontId="4" fillId="0" borderId="10" xfId="1" applyBorder="1" applyAlignment="1">
      <alignment horizontal="left"/>
    </xf>
    <xf numFmtId="0" fontId="0" fillId="25" borderId="0" xfId="0" applyFill="1"/>
    <xf numFmtId="0" fontId="0" fillId="25" borderId="10" xfId="0" applyFill="1" applyBorder="1" applyAlignment="1">
      <alignment horizontal="center"/>
    </xf>
    <xf numFmtId="0" fontId="0" fillId="25" borderId="10" xfId="0" applyFill="1" applyBorder="1"/>
    <xf numFmtId="0" fontId="24" fillId="26" borderId="11" xfId="0" applyFont="1" applyFill="1" applyBorder="1" applyAlignment="1">
      <alignment horizontal="center"/>
    </xf>
    <xf numFmtId="0" fontId="0" fillId="2" borderId="13" xfId="0" applyFill="1" applyBorder="1"/>
    <xf numFmtId="0" fontId="0" fillId="2" borderId="14" xfId="0" applyFill="1" applyBorder="1"/>
    <xf numFmtId="0" fontId="0" fillId="27" borderId="10" xfId="0" applyFill="1" applyBorder="1" applyAlignment="1">
      <alignment horizontal="center"/>
    </xf>
    <xf numFmtId="0" fontId="3" fillId="0" borderId="10" xfId="0" applyFont="1" applyBorder="1" applyAlignment="1">
      <alignment horizontal="left"/>
    </xf>
    <xf numFmtId="0" fontId="0" fillId="2" borderId="0" xfId="0" quotePrefix="1" applyFill="1"/>
    <xf numFmtId="0" fontId="0" fillId="0" borderId="0" xfId="0" applyAlignment="1">
      <alignment horizontal="center"/>
    </xf>
    <xf numFmtId="0" fontId="0" fillId="0" borderId="0" xfId="0" applyAlignment="1">
      <alignment horizontal="left"/>
    </xf>
    <xf numFmtId="0" fontId="0" fillId="27" borderId="10" xfId="0" applyFill="1" applyBorder="1"/>
    <xf numFmtId="164" fontId="0" fillId="0" borderId="0" xfId="0" applyNumberFormat="1" applyAlignment="1">
      <alignment horizontal="left"/>
    </xf>
    <xf numFmtId="22" fontId="22" fillId="0" borderId="0" xfId="0" applyNumberFormat="1" applyFont="1"/>
    <xf numFmtId="22" fontId="25" fillId="0" borderId="0" xfId="0" applyNumberFormat="1" applyFont="1"/>
    <xf numFmtId="0" fontId="23" fillId="0" borderId="0" xfId="0" applyFont="1"/>
    <xf numFmtId="0" fontId="23" fillId="26" borderId="0" xfId="0" applyFont="1" applyFill="1"/>
    <xf numFmtId="0" fontId="0" fillId="26" borderId="0" xfId="0" applyFill="1"/>
    <xf numFmtId="0" fontId="23" fillId="2" borderId="0" xfId="0" applyFont="1" applyFill="1"/>
    <xf numFmtId="0" fontId="22" fillId="0" borderId="0" xfId="0" applyFont="1"/>
    <xf numFmtId="0" fontId="29" fillId="0" borderId="0" xfId="0" applyFont="1"/>
    <xf numFmtId="0" fontId="0" fillId="27" borderId="0" xfId="0" applyFill="1"/>
    <xf numFmtId="0" fontId="0" fillId="0" borderId="0" xfId="0" quotePrefix="1" applyAlignment="1">
      <alignment horizontal="center"/>
    </xf>
    <xf numFmtId="0" fontId="0" fillId="27" borderId="13" xfId="0" applyFill="1" applyBorder="1"/>
    <xf numFmtId="0" fontId="0" fillId="0" borderId="0" xfId="0" quotePrefix="1"/>
    <xf numFmtId="0" fontId="22" fillId="0" borderId="10" xfId="0" applyFont="1" applyBorder="1" applyAlignment="1">
      <alignment horizontal="center" vertical="center" wrapText="1"/>
    </xf>
    <xf numFmtId="0" fontId="26" fillId="0" borderId="10" xfId="46" applyBorder="1" applyAlignment="1">
      <alignment vertical="center" wrapText="1"/>
    </xf>
    <xf numFmtId="0" fontId="0" fillId="0" borderId="10" xfId="0" applyBorder="1" applyAlignment="1">
      <alignment vertical="center" wrapText="1"/>
    </xf>
    <xf numFmtId="0" fontId="0" fillId="0" borderId="10" xfId="0" applyBorder="1" applyAlignment="1">
      <alignment horizontal="right" vertical="center" wrapText="1"/>
    </xf>
    <xf numFmtId="0" fontId="22" fillId="0" borderId="10" xfId="0" applyFont="1" applyBorder="1" applyAlignment="1">
      <alignment vertical="center" wrapText="1"/>
    </xf>
    <xf numFmtId="0" fontId="29" fillId="26" borderId="0" xfId="0" applyFont="1" applyFill="1"/>
    <xf numFmtId="22" fontId="0" fillId="0" borderId="10" xfId="0" applyNumberFormat="1" applyBorder="1" applyAlignment="1">
      <alignment vertical="center" wrapText="1"/>
    </xf>
    <xf numFmtId="0" fontId="0" fillId="0" borderId="10" xfId="0" applyBorder="1" applyAlignment="1">
      <alignment horizontal="center" vertical="center" wrapText="1"/>
    </xf>
    <xf numFmtId="0" fontId="29" fillId="27" borderId="10" xfId="0" applyFont="1" applyFill="1" applyBorder="1"/>
    <xf numFmtId="0" fontId="0" fillId="27" borderId="13" xfId="0" applyFill="1" applyBorder="1" applyAlignment="1">
      <alignment horizontal="left"/>
    </xf>
    <xf numFmtId="0" fontId="0" fillId="28" borderId="10" xfId="0" applyFill="1" applyBorder="1"/>
    <xf numFmtId="0" fontId="0" fillId="28" borderId="10" xfId="0" applyFill="1" applyBorder="1" applyAlignment="1">
      <alignment horizontal="center"/>
    </xf>
    <xf numFmtId="0" fontId="27" fillId="0" borderId="0" xfId="46" applyFont="1" applyAlignment="1">
      <alignment horizontal="left"/>
    </xf>
    <xf numFmtId="0" fontId="0" fillId="0" borderId="0" xfId="0" applyAlignment="1">
      <alignment horizontal="left"/>
    </xf>
    <xf numFmtId="0" fontId="0" fillId="25" borderId="10" xfId="0" applyFill="1" applyBorder="1" applyAlignment="1">
      <alignment horizontal="left"/>
    </xf>
    <xf numFmtId="0" fontId="0" fillId="27" borderId="10" xfId="0" applyFill="1" applyBorder="1" applyAlignment="1">
      <alignment horizontal="left"/>
    </xf>
    <xf numFmtId="0" fontId="23" fillId="25" borderId="10" xfId="0" applyFont="1" applyFill="1" applyBorder="1" applyAlignment="1">
      <alignment horizontal="left"/>
    </xf>
    <xf numFmtId="0" fontId="28" fillId="26" borderId="10" xfId="46" applyFont="1" applyFill="1" applyBorder="1"/>
  </cellXfs>
  <cellStyles count="47">
    <cellStyle name="20 % - Markeringsfarve1 2" xfId="2" xr:uid="{00000000-0005-0000-0000-000000000000}"/>
    <cellStyle name="20 % - Markeringsfarve2 2" xfId="3" xr:uid="{00000000-0005-0000-0000-000001000000}"/>
    <cellStyle name="20 % - Markeringsfarve3 2" xfId="4" xr:uid="{00000000-0005-0000-0000-000002000000}"/>
    <cellStyle name="20 % - Markeringsfarve4 2" xfId="5" xr:uid="{00000000-0005-0000-0000-000003000000}"/>
    <cellStyle name="20 % - Markeringsfarve5 2" xfId="6" xr:uid="{00000000-0005-0000-0000-000004000000}"/>
    <cellStyle name="20 % - Markeringsfarve6 2" xfId="7" xr:uid="{00000000-0005-0000-0000-000005000000}"/>
    <cellStyle name="40 % - Markeringsfarve1 2" xfId="8" xr:uid="{00000000-0005-0000-0000-000006000000}"/>
    <cellStyle name="40 % - Markeringsfarve2 2" xfId="9" xr:uid="{00000000-0005-0000-0000-000007000000}"/>
    <cellStyle name="40 % - Markeringsfarve3 2" xfId="10" xr:uid="{00000000-0005-0000-0000-000008000000}"/>
    <cellStyle name="40 % - Markeringsfarve4 2" xfId="11" xr:uid="{00000000-0005-0000-0000-000009000000}"/>
    <cellStyle name="40 % - Markeringsfarve5 2" xfId="12" xr:uid="{00000000-0005-0000-0000-00000A000000}"/>
    <cellStyle name="40 % - Markeringsfarve6 2" xfId="13" xr:uid="{00000000-0005-0000-0000-00000B000000}"/>
    <cellStyle name="60 % - Markeringsfarve1 2" xfId="14" xr:uid="{00000000-0005-0000-0000-00000C000000}"/>
    <cellStyle name="60 % - Markeringsfarve2 2" xfId="15" xr:uid="{00000000-0005-0000-0000-00000D000000}"/>
    <cellStyle name="60 % - Markeringsfarve3 2" xfId="16" xr:uid="{00000000-0005-0000-0000-00000E000000}"/>
    <cellStyle name="60 % - Markeringsfarve4 2" xfId="17" xr:uid="{00000000-0005-0000-0000-00000F000000}"/>
    <cellStyle name="60 % - Markeringsfarve5 2" xfId="18" xr:uid="{00000000-0005-0000-0000-000010000000}"/>
    <cellStyle name="60 % - Markeringsfarve6 2" xfId="19" xr:uid="{00000000-0005-0000-0000-000011000000}"/>
    <cellStyle name="Advarselstekst 2" xfId="43" xr:uid="{00000000-0005-0000-0000-000012000000}"/>
    <cellStyle name="Bemærk! 2" xfId="39" xr:uid="{00000000-0005-0000-0000-000013000000}"/>
    <cellStyle name="Beregning 2" xfId="27" xr:uid="{00000000-0005-0000-0000-000014000000}"/>
    <cellStyle name="Forklarende tekst 2" xfId="29" xr:uid="{00000000-0005-0000-0000-000015000000}"/>
    <cellStyle name="God 2" xfId="30" xr:uid="{00000000-0005-0000-0000-000016000000}"/>
    <cellStyle name="Input 2" xfId="35" xr:uid="{00000000-0005-0000-0000-000017000000}"/>
    <cellStyle name="Kontroller celle 2" xfId="28" xr:uid="{00000000-0005-0000-0000-000018000000}"/>
    <cellStyle name="Link" xfId="46" builtinId="8"/>
    <cellStyle name="Markeringsfarve1 2" xfId="20" xr:uid="{00000000-0005-0000-0000-00001A000000}"/>
    <cellStyle name="Markeringsfarve2 2" xfId="21" xr:uid="{00000000-0005-0000-0000-00001B000000}"/>
    <cellStyle name="Markeringsfarve3 2" xfId="22" xr:uid="{00000000-0005-0000-0000-00001C000000}"/>
    <cellStyle name="Markeringsfarve4 2" xfId="23" xr:uid="{00000000-0005-0000-0000-00001D000000}"/>
    <cellStyle name="Markeringsfarve5 2" xfId="24" xr:uid="{00000000-0005-0000-0000-00001E000000}"/>
    <cellStyle name="Markeringsfarve6 2" xfId="25" xr:uid="{00000000-0005-0000-0000-00001F000000}"/>
    <cellStyle name="Neutral 2" xfId="37" xr:uid="{00000000-0005-0000-0000-000020000000}"/>
    <cellStyle name="Normal" xfId="0" builtinId="0" customBuiltin="1"/>
    <cellStyle name="Normal 2" xfId="38" xr:uid="{00000000-0005-0000-0000-000022000000}"/>
    <cellStyle name="Normal 2 2" xfId="45" xr:uid="{00000000-0005-0000-0000-000023000000}"/>
    <cellStyle name="Normal 2 3" xfId="44" xr:uid="{00000000-0005-0000-0000-000024000000}"/>
    <cellStyle name="Normal 3" xfId="1" xr:uid="{00000000-0005-0000-0000-000025000000}"/>
    <cellStyle name="Output 2" xfId="40" xr:uid="{00000000-0005-0000-0000-000026000000}"/>
    <cellStyle name="Overskrift 1 2" xfId="31" xr:uid="{00000000-0005-0000-0000-000027000000}"/>
    <cellStyle name="Overskrift 2 2" xfId="32" xr:uid="{00000000-0005-0000-0000-000028000000}"/>
    <cellStyle name="Overskrift 3 2" xfId="33" xr:uid="{00000000-0005-0000-0000-000029000000}"/>
    <cellStyle name="Overskrift 4 2" xfId="34" xr:uid="{00000000-0005-0000-0000-00002A000000}"/>
    <cellStyle name="Sammenkædet celle 2" xfId="36" xr:uid="{00000000-0005-0000-0000-00002B000000}"/>
    <cellStyle name="Titel 2" xfId="41" xr:uid="{00000000-0005-0000-0000-00002C000000}"/>
    <cellStyle name="Total 2" xfId="42" xr:uid="{00000000-0005-0000-0000-00002D000000}"/>
    <cellStyle name="Ugyldig 2" xfId="26" xr:uid="{00000000-0005-0000-0000-00002E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85724</xdr:colOff>
      <xdr:row>7</xdr:row>
      <xdr:rowOff>66676</xdr:rowOff>
    </xdr:from>
    <xdr:to>
      <xdr:col>3</xdr:col>
      <xdr:colOff>609599</xdr:colOff>
      <xdr:row>13</xdr:row>
      <xdr:rowOff>76200</xdr:rowOff>
    </xdr:to>
    <xdr:sp macro="[0]!IndsaetPDFData" textlink="">
      <xdr:nvSpPr>
        <xdr:cNvPr id="2" name="Tekstboks 1">
          <a:extLst>
            <a:ext uri="{FF2B5EF4-FFF2-40B4-BE49-F238E27FC236}">
              <a16:creationId xmlns:a16="http://schemas.microsoft.com/office/drawing/2014/main" id="{00000000-0008-0000-0000-000002000000}"/>
            </a:ext>
          </a:extLst>
        </xdr:cNvPr>
        <xdr:cNvSpPr txBox="1"/>
      </xdr:nvSpPr>
      <xdr:spPr>
        <a:xfrm>
          <a:off x="85724" y="1200151"/>
          <a:ext cx="2581275" cy="981074"/>
        </a:xfrm>
        <a:prstGeom prst="rect">
          <a:avLst/>
        </a:prstGeom>
        <a:ln>
          <a:solidFill>
            <a:schemeClr val="tx1"/>
          </a:solidFill>
        </a:ln>
      </xdr:spPr>
      <xdr:style>
        <a:lnRef idx="3">
          <a:schemeClr val="lt1"/>
        </a:lnRef>
        <a:fillRef idx="1">
          <a:schemeClr val="accent3"/>
        </a:fillRef>
        <a:effectRef idx="1">
          <a:schemeClr val="accent3"/>
        </a:effectRef>
        <a:fontRef idx="minor">
          <a:schemeClr val="lt1"/>
        </a:fontRef>
      </xdr:style>
      <xdr:txBody>
        <a:bodyPr vertOverflow="clip" horzOverflow="clip" wrap="square" rtlCol="0" anchor="ctr"/>
        <a:lstStyle/>
        <a:p>
          <a:pPr algn="ctr"/>
          <a:r>
            <a:rPr lang="da-DK" sz="1800">
              <a:solidFill>
                <a:sysClr val="windowText" lastClr="000000"/>
              </a:solidFill>
            </a:rPr>
            <a:t>Indsæt PDF DATA</a:t>
          </a:r>
        </a:p>
      </xdr:txBody>
    </xdr:sp>
    <xdr:clientData/>
  </xdr:twoCellAnchor>
  <mc:AlternateContent xmlns:mc="http://schemas.openxmlformats.org/markup-compatibility/2006">
    <mc:Choice xmlns:a14="http://schemas.microsoft.com/office/drawing/2010/main" Requires="a14">
      <xdr:twoCellAnchor>
        <xdr:from>
          <xdr:col>7</xdr:col>
          <xdr:colOff>0</xdr:colOff>
          <xdr:row>4</xdr:row>
          <xdr:rowOff>0</xdr:rowOff>
        </xdr:from>
        <xdr:to>
          <xdr:col>8</xdr:col>
          <xdr:colOff>0</xdr:colOff>
          <xdr:row>5</xdr:row>
          <xdr:rowOff>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18</xdr:row>
          <xdr:rowOff>0</xdr:rowOff>
        </xdr:from>
        <xdr:to>
          <xdr:col>8</xdr:col>
          <xdr:colOff>0</xdr:colOff>
          <xdr:row>19</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140</xdr:row>
          <xdr:rowOff>0</xdr:rowOff>
        </xdr:from>
        <xdr:to>
          <xdr:col>8</xdr:col>
          <xdr:colOff>0</xdr:colOff>
          <xdr:row>141</xdr:row>
          <xdr:rowOff>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185</xdr:row>
          <xdr:rowOff>0</xdr:rowOff>
        </xdr:from>
        <xdr:to>
          <xdr:col>8</xdr:col>
          <xdr:colOff>0</xdr:colOff>
          <xdr:row>186</xdr:row>
          <xdr:rowOff>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261</xdr:row>
          <xdr:rowOff>0</xdr:rowOff>
        </xdr:from>
        <xdr:to>
          <xdr:col>8</xdr:col>
          <xdr:colOff>0</xdr:colOff>
          <xdr:row>262</xdr:row>
          <xdr:rowOff>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xdr:twoCellAnchor>
    <xdr:from>
      <xdr:col>0</xdr:col>
      <xdr:colOff>85724</xdr:colOff>
      <xdr:row>20</xdr:row>
      <xdr:rowOff>76200</xdr:rowOff>
    </xdr:from>
    <xdr:to>
      <xdr:col>3</xdr:col>
      <xdr:colOff>609599</xdr:colOff>
      <xdr:row>26</xdr:row>
      <xdr:rowOff>85724</xdr:rowOff>
    </xdr:to>
    <xdr:sp macro="[0]!IndsaetDataGEUS" textlink="">
      <xdr:nvSpPr>
        <xdr:cNvPr id="8" name="Tekstboks 7">
          <a:extLst>
            <a:ext uri="{FF2B5EF4-FFF2-40B4-BE49-F238E27FC236}">
              <a16:creationId xmlns:a16="http://schemas.microsoft.com/office/drawing/2014/main" id="{00000000-0008-0000-0000-000008000000}"/>
            </a:ext>
          </a:extLst>
        </xdr:cNvPr>
        <xdr:cNvSpPr txBox="1"/>
      </xdr:nvSpPr>
      <xdr:spPr>
        <a:xfrm>
          <a:off x="85724" y="3314700"/>
          <a:ext cx="2581275" cy="981074"/>
        </a:xfrm>
        <a:prstGeom prst="rect">
          <a:avLst/>
        </a:prstGeom>
        <a:solidFill>
          <a:srgbClr val="ACA588"/>
        </a:solidFill>
        <a:ln w="25400" cap="flat" cmpd="sng" algn="ctr">
          <a:solidFill>
            <a:sysClr val="windowText" lastClr="000000"/>
          </a:solidFill>
          <a:prstDash val="solid"/>
        </a:ln>
        <a:effectLst>
          <a:outerShdw blurRad="40000" dist="20000" dir="5400000" rotWithShape="0">
            <a:srgbClr val="000000">
              <a:alpha val="38000"/>
            </a:srgbClr>
          </a:outerShdw>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a-DK" sz="1800" b="0" i="0" u="none" strike="noStrike" kern="0" cap="none" spc="0" normalizeH="0" baseline="0" noProof="0">
              <a:ln>
                <a:noFill/>
              </a:ln>
              <a:solidFill>
                <a:sysClr val="windowText" lastClr="000000"/>
              </a:solidFill>
              <a:effectLst/>
              <a:uLnTx/>
              <a:uFillTx/>
              <a:latin typeface="Verdana"/>
              <a:ea typeface="+mn-ea"/>
              <a:cs typeface="+mn-cs"/>
            </a:rPr>
            <a:t>Indsæt GEUS DATA</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0</xdr:colOff>
      <xdr:row>2</xdr:row>
      <xdr:rowOff>0</xdr:rowOff>
    </xdr:from>
    <xdr:to>
      <xdr:col>4</xdr:col>
      <xdr:colOff>304800</xdr:colOff>
      <xdr:row>3</xdr:row>
      <xdr:rowOff>76200</xdr:rowOff>
    </xdr:to>
    <xdr:sp macro="" textlink="">
      <xdr:nvSpPr>
        <xdr:cNvPr id="3073" name="AutoShape 1" descr="skjul">
          <a:extLst>
            <a:ext uri="{FF2B5EF4-FFF2-40B4-BE49-F238E27FC236}">
              <a16:creationId xmlns:a16="http://schemas.microsoft.com/office/drawing/2014/main" id="{00000000-0008-0000-0200-0000010C0000}"/>
            </a:ext>
          </a:extLst>
        </xdr:cNvPr>
        <xdr:cNvSpPr>
          <a:spLocks noChangeAspect="1" noChangeArrowheads="1"/>
        </xdr:cNvSpPr>
      </xdr:nvSpPr>
      <xdr:spPr bwMode="auto">
        <a:xfrm>
          <a:off x="4162425" y="457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314325</xdr:colOff>
      <xdr:row>2</xdr:row>
      <xdr:rowOff>0</xdr:rowOff>
    </xdr:from>
    <xdr:to>
      <xdr:col>4</xdr:col>
      <xdr:colOff>619125</xdr:colOff>
      <xdr:row>3</xdr:row>
      <xdr:rowOff>76200</xdr:rowOff>
    </xdr:to>
    <xdr:sp macro="" textlink="">
      <xdr:nvSpPr>
        <xdr:cNvPr id="3074" name="AutoShape 2" descr="vis">
          <a:extLst>
            <a:ext uri="{FF2B5EF4-FFF2-40B4-BE49-F238E27FC236}">
              <a16:creationId xmlns:a16="http://schemas.microsoft.com/office/drawing/2014/main" id="{00000000-0008-0000-0200-0000020C0000}"/>
            </a:ext>
          </a:extLst>
        </xdr:cNvPr>
        <xdr:cNvSpPr>
          <a:spLocks noChangeAspect="1" noChangeArrowheads="1"/>
        </xdr:cNvSpPr>
      </xdr:nvSpPr>
      <xdr:spPr bwMode="auto">
        <a:xfrm>
          <a:off x="4476750" y="457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Kalundborg">
  <a:themeElements>
    <a:clrScheme name="Kalundborg">
      <a:dk1>
        <a:sysClr val="windowText" lastClr="000000"/>
      </a:dk1>
      <a:lt1>
        <a:sysClr val="window" lastClr="FFFFFF"/>
      </a:lt1>
      <a:dk2>
        <a:srgbClr val="464F5E"/>
      </a:dk2>
      <a:lt2>
        <a:srgbClr val="E9EAEC"/>
      </a:lt2>
      <a:accent1>
        <a:srgbClr val="BC4D31"/>
      </a:accent1>
      <a:accent2>
        <a:srgbClr val="64ADD7"/>
      </a:accent2>
      <a:accent3>
        <a:srgbClr val="ACA588"/>
      </a:accent3>
      <a:accent4>
        <a:srgbClr val="9CD33B"/>
      </a:accent4>
      <a:accent5>
        <a:srgbClr val="E5BC2C"/>
      </a:accent5>
      <a:accent6>
        <a:srgbClr val="ED752D"/>
      </a:accent6>
      <a:hlink>
        <a:srgbClr val="0000FF"/>
      </a:hlink>
      <a:folHlink>
        <a:srgbClr val="FE19FF"/>
      </a:folHlink>
    </a:clrScheme>
    <a:fontScheme name="Kalundborg">
      <a:majorFont>
        <a:latin typeface="Verdana"/>
        <a:ea typeface=""/>
        <a:cs typeface=""/>
      </a:majorFont>
      <a:minorFont>
        <a:latin typeface="Verdana"/>
        <a:ea typeface=""/>
        <a:cs typeface=""/>
      </a:minorFont>
    </a:fontScheme>
    <a:fmtScheme name="Kalundborg">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0" cap="flat" cmpd="sng" algn="ctr">
          <a:solidFill>
            <a:schemeClr val="phClr">
              <a:shade val="95000"/>
              <a:satMod val="105000"/>
            </a:schemeClr>
          </a:solidFill>
          <a:prstDash val="solid"/>
        </a:ln>
        <a:ln w="9525" cap="flat" cmpd="sng" algn="ctr">
          <a:solidFill>
            <a:schemeClr val="phClr"/>
          </a:solidFill>
          <a:prstDash val="solid"/>
        </a:ln>
        <a:ln w="254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1"/>
  <dimension ref="A1:U371"/>
  <sheetViews>
    <sheetView tabSelected="1" zoomScaleNormal="100" workbookViewId="0">
      <selection activeCell="F3" sqref="F3"/>
    </sheetView>
  </sheetViews>
  <sheetFormatPr defaultRowHeight="12.75" x14ac:dyDescent="0.2"/>
  <cols>
    <col min="5" max="5" width="18.875" bestFit="1" customWidth="1"/>
    <col min="6" max="6" width="59.625" bestFit="1" customWidth="1"/>
    <col min="8" max="8" width="9" customWidth="1"/>
    <col min="11" max="11" width="28" hidden="1" customWidth="1"/>
    <col min="12" max="15" width="26.5" hidden="1" customWidth="1"/>
    <col min="16" max="20" width="9" hidden="1" customWidth="1"/>
    <col min="21" max="22" width="9" customWidth="1"/>
  </cols>
  <sheetData>
    <row r="1" spans="1:20" ht="12.75" customHeight="1" x14ac:dyDescent="0.2">
      <c r="A1" s="26" t="s">
        <v>296</v>
      </c>
    </row>
    <row r="2" spans="1:20" ht="12.75" customHeight="1" x14ac:dyDescent="0.2">
      <c r="A2" s="26"/>
    </row>
    <row r="3" spans="1:20" ht="12.75" customHeight="1" x14ac:dyDescent="0.2">
      <c r="A3" t="s">
        <v>217</v>
      </c>
      <c r="E3" t="s">
        <v>198</v>
      </c>
      <c r="F3" s="25" t="str">
        <f>IF(P3&gt;0,IF(Q3&gt;0,Q4,R4),"Vandværkets navn kunne ikke findes")</f>
        <v>Vandværkets navn kunne ikke findes</v>
      </c>
      <c r="P3" s="22">
        <f>Q3+R3</f>
        <v>0</v>
      </c>
      <c r="Q3" s="21">
        <f>IF((IFERROR(SEARCH("Forsyning",Rådata!$B$1000),-1))&gt;0,SEARCH("Forsyning",Rådata!$B$1000),0)</f>
        <v>0</v>
      </c>
      <c r="R3" s="21">
        <f>IF((IFERROR(SEARCH("Vandværk",Rådata!$B$1000),-1))&gt;0,SEARCH("Vandværk",Rådata!$B$1000),0)</f>
        <v>0</v>
      </c>
    </row>
    <row r="4" spans="1:20" ht="12.75" customHeight="1" x14ac:dyDescent="0.2">
      <c r="A4" s="50" t="s">
        <v>218</v>
      </c>
      <c r="B4" s="50"/>
      <c r="C4" s="50"/>
      <c r="D4" s="50"/>
      <c r="E4" t="s">
        <v>199</v>
      </c>
      <c r="F4" s="24">
        <v>43592.445138888892</v>
      </c>
      <c r="P4" s="22"/>
      <c r="Q4" s="21" t="e">
        <f>ReverseString(
LEFT(ReverseString(
LEFT(Rådata!$B$1000,Q3+8)),
SEARCH(",",ReverseString(LEFT(Rådata!$B$1000,Q3+7)))))</f>
        <v>#VALUE!</v>
      </c>
      <c r="R4" s="21" t="e">
        <f>ReverseString(
LEFT(ReverseString(
LEFT(Rådata!$B$1000,R3-2)),
SEARCH(",",ReverseString(LEFT(Rådata!$B$1000,R3-3)))))&amp;" Vandværk"</f>
        <v>#VALUE!</v>
      </c>
    </row>
    <row r="5" spans="1:20" ht="12.75" customHeight="1" x14ac:dyDescent="0.2">
      <c r="A5" t="s">
        <v>214</v>
      </c>
      <c r="H5" s="34"/>
    </row>
    <row r="6" spans="1:20" x14ac:dyDescent="0.2">
      <c r="A6" t="s">
        <v>215</v>
      </c>
      <c r="E6" s="54" t="s">
        <v>53</v>
      </c>
      <c r="F6" s="54"/>
      <c r="G6" s="15" t="str">
        <f>IF(IFERROR(SEARCH("NEJ",CONCATENATE(" ",G8,G9,G10,G11,G12,G13,G14,G15,G16,G17)),1)=1,"OK","NEJ")</f>
        <v>NEJ</v>
      </c>
      <c r="H6" t="str">
        <f>IF(G6="OK","",RIGHT(T17,LEN(T17)))</f>
        <v>Lugt, Smag, Farve, Turbiditet, pH, Ledningsevne, Kimtal ved 22 °C, Coliforme bakterier, E. coli, Jern</v>
      </c>
      <c r="K6" s="31"/>
    </row>
    <row r="7" spans="1:20" x14ac:dyDescent="0.2">
      <c r="A7" t="s">
        <v>216</v>
      </c>
      <c r="F7" s="16"/>
      <c r="G7" s="5"/>
    </row>
    <row r="8" spans="1:20" x14ac:dyDescent="0.2">
      <c r="F8" s="3" t="s">
        <v>54</v>
      </c>
      <c r="G8" s="4" t="str">
        <f>IF((IFERROR(SEARCH(K8,Rådata!$B$1000),-1)+IFERROR(SEARCH(L8,Rådata!$B$1000),-1)+IFERROR(SEARCH(M8,Rådata!$B$1000),-1)+IFERROR(SEARCH(N8,Rådata!$B$1000),-1)+IFERROR(SEARCH(O8,Rådata!$B$1000),-1))&gt;0,"-","NEJ")</f>
        <v>NEJ</v>
      </c>
      <c r="K8" s="29" t="str">
        <f t="shared" ref="K8:K13" si="0">F8</f>
        <v>Lugt</v>
      </c>
      <c r="L8" s="29" t="s">
        <v>179</v>
      </c>
      <c r="M8" s="29" t="s">
        <v>179</v>
      </c>
      <c r="N8" s="29" t="s">
        <v>179</v>
      </c>
      <c r="O8" s="29" t="s">
        <v>179</v>
      </c>
      <c r="S8" s="2" t="str">
        <f t="shared" ref="S8:S69" si="1">IF(G8="NEJ",F8,"")</f>
        <v>Lugt</v>
      </c>
      <c r="T8" t="str">
        <f>S8</f>
        <v>Lugt</v>
      </c>
    </row>
    <row r="9" spans="1:20" x14ac:dyDescent="0.2">
      <c r="F9" s="3" t="s">
        <v>55</v>
      </c>
      <c r="G9" s="4" t="str">
        <f>IF((IFERROR(SEARCH(K9,Rådata!$B$1000),-1)+IFERROR(SEARCH(L9,Rådata!$B$1000),-1)+IFERROR(SEARCH(M9,Rådata!$B$1000),-1)+IFERROR(SEARCH(N9,Rådata!$B$1000),-1)+IFERROR(SEARCH(O9,Rådata!$B$1000),-1))&gt;0,"-","NEJ")</f>
        <v>NEJ</v>
      </c>
      <c r="K9" s="29" t="str">
        <f t="shared" si="0"/>
        <v>Smag</v>
      </c>
      <c r="L9" s="29" t="s">
        <v>179</v>
      </c>
      <c r="M9" s="29" t="s">
        <v>179</v>
      </c>
      <c r="N9" s="29" t="s">
        <v>179</v>
      </c>
      <c r="O9" s="29" t="s">
        <v>179</v>
      </c>
      <c r="S9" s="2" t="str">
        <f t="shared" si="1"/>
        <v>Smag</v>
      </c>
      <c r="T9" t="str">
        <f>IF(S9="",T8,T8&amp;", "&amp;S9)</f>
        <v>Lugt, Smag</v>
      </c>
    </row>
    <row r="10" spans="1:20" x14ac:dyDescent="0.2">
      <c r="F10" s="3" t="s">
        <v>56</v>
      </c>
      <c r="G10" s="4" t="str">
        <f>IF((IFERROR(SEARCH(K10,Rådata!$B$1000),-1)+IFERROR(SEARCH(L10,Rådata!$B$1000),-1)+IFERROR(SEARCH(M10,Rådata!$B$1000),-1)+IFERROR(SEARCH(N10,Rådata!$B$1000),-1)+IFERROR(SEARCH(O10,Rådata!$B$1000),-1))&gt;0,"-","NEJ")</f>
        <v>NEJ</v>
      </c>
      <c r="K10" s="29" t="str">
        <f t="shared" si="0"/>
        <v>Farve</v>
      </c>
      <c r="L10" s="29" t="s">
        <v>179</v>
      </c>
      <c r="M10" s="29" t="s">
        <v>179</v>
      </c>
      <c r="N10" s="29" t="s">
        <v>179</v>
      </c>
      <c r="O10" s="29" t="s">
        <v>179</v>
      </c>
      <c r="S10" s="2" t="str">
        <f t="shared" si="1"/>
        <v>Farve</v>
      </c>
      <c r="T10" t="str">
        <f t="shared" ref="T10:T17" si="2">IF(S10="",T9,T9&amp;", "&amp;S10)</f>
        <v>Lugt, Smag, Farve</v>
      </c>
    </row>
    <row r="11" spans="1:20" x14ac:dyDescent="0.2">
      <c r="F11" s="3" t="s">
        <v>1</v>
      </c>
      <c r="G11" s="4" t="str">
        <f>IF((IFERROR(SEARCH(K11,Rådata!$B$1000),-1)+IFERROR(SEARCH(L11,Rådata!$B$1000),-1)+IFERROR(SEARCH(M11,Rådata!$B$1000),-1)+IFERROR(SEARCH(N11,Rådata!$B$1000),-1)+IFERROR(SEARCH(O11,Rådata!$B$1000),-1))&gt;0,"-","NEJ")</f>
        <v>NEJ</v>
      </c>
      <c r="K11" s="29" t="str">
        <f t="shared" si="0"/>
        <v>Turbiditet</v>
      </c>
      <c r="L11" s="29" t="s">
        <v>179</v>
      </c>
      <c r="M11" s="29" t="s">
        <v>179</v>
      </c>
      <c r="N11" s="29" t="s">
        <v>179</v>
      </c>
      <c r="O11" s="29" t="s">
        <v>179</v>
      </c>
      <c r="S11" s="2" t="str">
        <f t="shared" si="1"/>
        <v>Turbiditet</v>
      </c>
      <c r="T11" t="str">
        <f t="shared" si="2"/>
        <v>Lugt, Smag, Farve, Turbiditet</v>
      </c>
    </row>
    <row r="12" spans="1:20" x14ac:dyDescent="0.2">
      <c r="F12" s="3" t="s">
        <v>51</v>
      </c>
      <c r="G12" s="4" t="str">
        <f>IF((IFERROR(SEARCH(K12,Rådata!$B$1000),-1)+IFERROR(SEARCH(L12,Rådata!$B$1000),-1)+IFERROR(SEARCH(M12,Rådata!$B$1000),-1)+IFERROR(SEARCH(N12,Rådata!$B$1000),-1)+IFERROR(SEARCH(O12,Rådata!$B$1000),-1))&gt;0,"-","NEJ")</f>
        <v>NEJ</v>
      </c>
      <c r="K12" s="29" t="str">
        <f t="shared" si="0"/>
        <v>pH</v>
      </c>
      <c r="L12" s="29" t="s">
        <v>179</v>
      </c>
      <c r="M12" s="29" t="s">
        <v>179</v>
      </c>
      <c r="N12" s="29" t="s">
        <v>179</v>
      </c>
      <c r="O12" s="29" t="s">
        <v>179</v>
      </c>
      <c r="S12" s="2" t="str">
        <f t="shared" si="1"/>
        <v>pH</v>
      </c>
      <c r="T12" t="str">
        <f t="shared" si="2"/>
        <v>Lugt, Smag, Farve, Turbiditet, pH</v>
      </c>
    </row>
    <row r="13" spans="1:20" x14ac:dyDescent="0.2">
      <c r="F13" s="3" t="s">
        <v>52</v>
      </c>
      <c r="G13" s="4" t="str">
        <f>IF((IFERROR(SEARCH(K13,Rådata!$B$1000),-1)+IFERROR(SEARCH(L13,Rådata!$B$1000),-1)+IFERROR(SEARCH(M13,Rådata!$B$1000),-1)+IFERROR(SEARCH(N13,Rådata!$B$1000),-1)+IFERROR(SEARCH(O13,Rådata!$B$1000),-1))&gt;0,"-","NEJ")</f>
        <v>NEJ</v>
      </c>
      <c r="K13" s="29" t="str">
        <f t="shared" si="0"/>
        <v>Ledningsevne</v>
      </c>
      <c r="L13" s="29" t="s">
        <v>246</v>
      </c>
      <c r="M13" s="29" t="s">
        <v>179</v>
      </c>
      <c r="N13" s="29" t="s">
        <v>179</v>
      </c>
      <c r="O13" s="29" t="s">
        <v>179</v>
      </c>
      <c r="S13" s="2" t="str">
        <f t="shared" si="1"/>
        <v>Ledningsevne</v>
      </c>
      <c r="T13" t="str">
        <f t="shared" si="2"/>
        <v>Lugt, Smag, Farve, Turbiditet, pH, Ledningsevne</v>
      </c>
    </row>
    <row r="14" spans="1:20" x14ac:dyDescent="0.2">
      <c r="F14" s="3" t="s">
        <v>57</v>
      </c>
      <c r="G14" s="4" t="str">
        <f>IF((IFERROR(SEARCH(K14,Rådata!$B$1000),-1)+IFERROR(SEARCH(L14,Rådata!$B$1000),-1)+IFERROR(SEARCH(M14,Rådata!$B$1000),-1)+IFERROR(SEARCH(N14,Rådata!$B$1000),-1)+IFERROR(SEARCH(O14,Rådata!$B$1000),-1))&gt;0,"-","NEJ")</f>
        <v>NEJ</v>
      </c>
      <c r="K14" s="29" t="s">
        <v>129</v>
      </c>
      <c r="L14" s="29" t="s">
        <v>179</v>
      </c>
      <c r="M14" s="29" t="s">
        <v>179</v>
      </c>
      <c r="N14" s="29" t="s">
        <v>179</v>
      </c>
      <c r="O14" s="29" t="s">
        <v>179</v>
      </c>
      <c r="S14" s="2" t="str">
        <f t="shared" si="1"/>
        <v>Kimtal ved 22 °C</v>
      </c>
      <c r="T14" t="str">
        <f t="shared" si="2"/>
        <v>Lugt, Smag, Farve, Turbiditet, pH, Ledningsevne, Kimtal ved 22 °C</v>
      </c>
    </row>
    <row r="15" spans="1:20" x14ac:dyDescent="0.2">
      <c r="A15" t="s">
        <v>217</v>
      </c>
      <c r="F15" s="3" t="s">
        <v>58</v>
      </c>
      <c r="G15" s="4" t="str">
        <f>IF((IFERROR(SEARCH(K15,Rådata!$B$1000),-1)+IFERROR(SEARCH(L15,Rådata!$B$1000),-1)+IFERROR(SEARCH(M15,Rådata!$B$1000),-1)+IFERROR(SEARCH(N15,Rådata!$B$1000),-1)+IFERROR(SEARCH(O15,Rådata!$B$1000),-1))&gt;0,"-","NEJ")</f>
        <v>NEJ</v>
      </c>
      <c r="K15" s="29" t="str">
        <f>F15</f>
        <v>Coliforme bakterier</v>
      </c>
      <c r="L15" s="29" t="s">
        <v>243</v>
      </c>
      <c r="M15" s="29" t="s">
        <v>179</v>
      </c>
      <c r="N15" s="29" t="s">
        <v>179</v>
      </c>
      <c r="O15" s="29" t="s">
        <v>179</v>
      </c>
      <c r="S15" s="2" t="str">
        <f t="shared" si="1"/>
        <v>Coliforme bakterier</v>
      </c>
      <c r="T15" t="str">
        <f t="shared" si="2"/>
        <v>Lugt, Smag, Farve, Turbiditet, pH, Ledningsevne, Kimtal ved 22 °C, Coliforme bakterier</v>
      </c>
    </row>
    <row r="16" spans="1:20" x14ac:dyDescent="0.2">
      <c r="A16" s="50" t="s">
        <v>238</v>
      </c>
      <c r="B16" s="50"/>
      <c r="C16" s="50"/>
      <c r="D16" s="50"/>
      <c r="F16" s="3" t="s">
        <v>59</v>
      </c>
      <c r="G16" s="4" t="str">
        <f>IF((IFERROR(SEARCH(K16,Rådata!$B$1000),-1)+IFERROR(SEARCH(L16,Rådata!$B$1000),-1)+IFERROR(SEARCH(M16,Rådata!$B$1000),-1)+IFERROR(SEARCH(N16,Rådata!$B$1000),-1)+IFERROR(SEARCH(O16,Rådata!$B$1000),-1))&gt;0,"-","NEJ")</f>
        <v>NEJ</v>
      </c>
      <c r="K16" s="29" t="s">
        <v>2</v>
      </c>
      <c r="L16" s="29" t="s">
        <v>59</v>
      </c>
      <c r="M16" s="29" t="s">
        <v>242</v>
      </c>
      <c r="N16" s="29" t="s">
        <v>179</v>
      </c>
      <c r="O16" s="29" t="s">
        <v>179</v>
      </c>
      <c r="S16" s="2" t="str">
        <f t="shared" si="1"/>
        <v>E. coli</v>
      </c>
      <c r="T16" t="str">
        <f t="shared" si="2"/>
        <v>Lugt, Smag, Farve, Turbiditet, pH, Ledningsevne, Kimtal ved 22 °C, Coliforme bakterier, E. coli</v>
      </c>
    </row>
    <row r="17" spans="1:20" x14ac:dyDescent="0.2">
      <c r="A17" t="s">
        <v>239</v>
      </c>
      <c r="F17" s="3" t="s">
        <v>60</v>
      </c>
      <c r="G17" s="4" t="str">
        <f>IF((IFERROR(SEARCH(K17,Rådata!$B$1000),-1)+IFERROR(SEARCH(L17,Rådata!$B$1000),-1)+IFERROR(SEARCH(M17,Rådata!$B$1000),-1)+IFERROR(SEARCH(N17,Rådata!$B$1000),-1)+IFERROR(SEARCH(O17,Rådata!$B$1000),-1))&gt;0,"-","NEJ")</f>
        <v>NEJ</v>
      </c>
      <c r="K17" s="29" t="str">
        <f>F17</f>
        <v>Jern</v>
      </c>
      <c r="L17" s="29" t="s">
        <v>179</v>
      </c>
      <c r="M17" s="29" t="s">
        <v>179</v>
      </c>
      <c r="N17" s="29" t="s">
        <v>179</v>
      </c>
      <c r="O17" s="29" t="s">
        <v>179</v>
      </c>
      <c r="S17" s="2" t="str">
        <f t="shared" si="1"/>
        <v>Jern</v>
      </c>
      <c r="T17" t="str">
        <f t="shared" si="2"/>
        <v>Lugt, Smag, Farve, Turbiditet, pH, Ledningsevne, Kimtal ved 22 °C, Coliforme bakterier, E. coli, Jern</v>
      </c>
    </row>
    <row r="18" spans="1:20" x14ac:dyDescent="0.2">
      <c r="A18" s="36" t="s">
        <v>240</v>
      </c>
      <c r="F18" s="23" t="s">
        <v>4</v>
      </c>
      <c r="G18" s="18" t="str">
        <f>IF((IFERROR(SEARCH(K18,Rådata!$B$1000),-1)+IFERROR(SEARCH(L18,Rådata!$B$1000),-1)+IFERROR(SEARCH(M18,Rådata!$B$1000),-1)+IFERROR(SEARCH(N18,Rådata!$B$1000),-1)+IFERROR(SEARCH(O18,Rådata!$B$1000),-1))&gt;0,"-","NEJ")</f>
        <v>NEJ</v>
      </c>
      <c r="K18" s="29" t="s">
        <v>4</v>
      </c>
      <c r="L18" s="29" t="s">
        <v>179</v>
      </c>
      <c r="M18" s="29" t="s">
        <v>179</v>
      </c>
      <c r="N18" s="29" t="s">
        <v>179</v>
      </c>
      <c r="O18" s="29" t="s">
        <v>179</v>
      </c>
      <c r="S18" s="33"/>
    </row>
    <row r="19" spans="1:20" x14ac:dyDescent="0.2">
      <c r="A19" t="s">
        <v>215</v>
      </c>
    </row>
    <row r="20" spans="1:20" x14ac:dyDescent="0.2">
      <c r="A20" t="s">
        <v>216</v>
      </c>
      <c r="E20" s="54" t="s">
        <v>61</v>
      </c>
      <c r="F20" s="54"/>
      <c r="G20" s="15" t="str">
        <f>IF(IFERROR(SEARCH("NEJ",CONCATENATE(" ",H22,H24,H35,H51,H55,H57,H70,H72,H79,H94,H113)),1)=1,"OK","NEJ")</f>
        <v>NEJ</v>
      </c>
      <c r="H20" t="str">
        <f>IF(G20="OK","",RIGHT(T140,LEN(T140)))</f>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 Sum af pesticider</v>
      </c>
      <c r="K20" s="31"/>
    </row>
    <row r="21" spans="1:20" x14ac:dyDescent="0.2">
      <c r="F21" s="17"/>
      <c r="G21" s="5"/>
    </row>
    <row r="22" spans="1:20" x14ac:dyDescent="0.2">
      <c r="A22" s="32"/>
      <c r="E22" s="53" t="s">
        <v>62</v>
      </c>
      <c r="F22" s="53"/>
      <c r="G22" s="12"/>
      <c r="H22" s="13" t="str">
        <f>IF(IFERROR(SEARCH("NEJ"," "&amp;G23),1)=1,"OK","NEJ")</f>
        <v>NEJ</v>
      </c>
      <c r="K22" s="27"/>
    </row>
    <row r="23" spans="1:20" x14ac:dyDescent="0.2">
      <c r="A23" s="32"/>
      <c r="F23" s="7" t="s">
        <v>3</v>
      </c>
      <c r="G23" s="4" t="str">
        <f>IF((IFERROR(SEARCH(K23,Rådata!$B$1000),-1)+IFERROR(SEARCH(L23,Rådata!$B$1000),-1)+IFERROR(SEARCH(M23,Rådata!$B$1000),-1)+IFERROR(SEARCH(N23,Rådata!$B$1000),-1)+IFERROR(SEARCH(O23,Rådata!$B$1000),-1))&gt;0,"-","NEJ")</f>
        <v>NEJ</v>
      </c>
      <c r="K23" s="29" t="str">
        <f>F23</f>
        <v>Enterokokker</v>
      </c>
      <c r="L23" s="29" t="s">
        <v>247</v>
      </c>
      <c r="M23" s="29" t="s">
        <v>179</v>
      </c>
      <c r="N23" s="29" t="s">
        <v>179</v>
      </c>
      <c r="O23" s="29" t="s">
        <v>179</v>
      </c>
      <c r="S23" s="2" t="str">
        <f t="shared" si="1"/>
        <v>Enterokokker</v>
      </c>
      <c r="T23" t="str">
        <f>S23</f>
        <v>Enterokokker</v>
      </c>
    </row>
    <row r="24" spans="1:20" x14ac:dyDescent="0.2">
      <c r="E24" s="53" t="s">
        <v>63</v>
      </c>
      <c r="F24" s="53"/>
      <c r="G24" s="12"/>
      <c r="H24" s="13" t="str">
        <f>IF(IFERROR(SEARCH("NEJ",CONCATENATE(" ",G25,G26,G27,G28,G29,G30,G31,G32,G33,G34)),1)=1,"OK","NEJ")</f>
        <v>NEJ</v>
      </c>
      <c r="K24" s="28"/>
      <c r="L24" s="29"/>
      <c r="M24" s="29"/>
      <c r="N24" s="29"/>
      <c r="O24" s="29"/>
      <c r="T24" t="str">
        <f>IF(S24="",T23,T23&amp;", "&amp;S24)</f>
        <v>Enterokokker</v>
      </c>
    </row>
    <row r="25" spans="1:20" x14ac:dyDescent="0.2">
      <c r="F25" s="9" t="s">
        <v>64</v>
      </c>
      <c r="G25" s="4" t="str">
        <f>IF((IFERROR(SEARCH(K25,Rådata!$B$1000),-1)+IFERROR(SEARCH(L25,Rådata!$B$1000),-1)+IFERROR(SEARCH(M25,Rådata!$B$1000),-1)+IFERROR(SEARCH(N25,Rådata!$B$1000),-1)+IFERROR(SEARCH(O25,Rådata!$B$1000),-1))&gt;0,"-","NEJ")</f>
        <v>NEJ</v>
      </c>
      <c r="K25" s="29" t="str">
        <f t="shared" ref="K25:K34" si="3">F25</f>
        <v>Temperatur</v>
      </c>
      <c r="L25" s="29" t="s">
        <v>179</v>
      </c>
      <c r="M25" s="29" t="s">
        <v>179</v>
      </c>
      <c r="N25" s="29" t="s">
        <v>179</v>
      </c>
      <c r="O25" s="29" t="s">
        <v>179</v>
      </c>
      <c r="S25" s="2" t="str">
        <f t="shared" si="1"/>
        <v>Temperatur</v>
      </c>
      <c r="T25" t="str">
        <f t="shared" ref="T25:T88" si="4">IF(S25="",T24,T24&amp;", "&amp;S25)</f>
        <v>Enterokokker, Temperatur</v>
      </c>
    </row>
    <row r="26" spans="1:20" x14ac:dyDescent="0.2">
      <c r="F26" s="3" t="s">
        <v>65</v>
      </c>
      <c r="G26" s="4" t="str">
        <f>IF((IFERROR(SEARCH(K26,Rådata!$B$1000),-1)+IFERROR(SEARCH(L26,Rådata!$B$1000),-1)+IFERROR(SEARCH(M26,Rådata!$B$1000),-1)+IFERROR(SEARCH(N26,Rådata!$B$1000),-1)+IFERROR(SEARCH(O26,Rådata!$B$1000),-1))&gt;0,"-","NEJ")</f>
        <v>NEJ</v>
      </c>
      <c r="K26" s="29" t="str">
        <f t="shared" si="3"/>
        <v>NVOC</v>
      </c>
      <c r="L26" s="29" t="s">
        <v>179</v>
      </c>
      <c r="M26" s="29" t="s">
        <v>179</v>
      </c>
      <c r="N26" s="29" t="s">
        <v>179</v>
      </c>
      <c r="O26" s="29" t="s">
        <v>179</v>
      </c>
      <c r="S26" s="2" t="str">
        <f t="shared" si="1"/>
        <v>NVOC</v>
      </c>
      <c r="T26" t="str">
        <f t="shared" si="4"/>
        <v>Enterokokker, Temperatur, NVOC</v>
      </c>
    </row>
    <row r="27" spans="1:20" x14ac:dyDescent="0.2">
      <c r="F27" s="3" t="s">
        <v>66</v>
      </c>
      <c r="G27" s="4" t="str">
        <f>IF((IFERROR(SEARCH(K27,Rådata!$B$1000),-1)+IFERROR(SEARCH(L27,Rådata!$B$1000),-1)+IFERROR(SEARCH(M27,Rådata!$B$1000),-1)+IFERROR(SEARCH(N27,Rådata!$B$1000),-1)+IFERROR(SEARCH(O27,Rådata!$B$1000),-1))&gt;0,"-","NEJ")</f>
        <v>NEJ</v>
      </c>
      <c r="K27" s="29" t="str">
        <f t="shared" si="3"/>
        <v>Natrium</v>
      </c>
      <c r="L27" s="29" t="s">
        <v>179</v>
      </c>
      <c r="M27" s="29" t="s">
        <v>179</v>
      </c>
      <c r="N27" s="29" t="s">
        <v>179</v>
      </c>
      <c r="O27" s="29" t="s">
        <v>179</v>
      </c>
      <c r="S27" s="2" t="str">
        <f t="shared" si="1"/>
        <v>Natrium</v>
      </c>
      <c r="T27" t="str">
        <f t="shared" si="4"/>
        <v>Enterokokker, Temperatur, NVOC, Natrium</v>
      </c>
    </row>
    <row r="28" spans="1:20" x14ac:dyDescent="0.2">
      <c r="F28" s="3" t="s">
        <v>67</v>
      </c>
      <c r="G28" s="4" t="str">
        <f>IF((IFERROR(SEARCH(K28,Rådata!$B$1000),-1)+IFERROR(SEARCH(L28,Rådata!$B$1000),-1)+IFERROR(SEARCH(M28,Rådata!$B$1000),-1)+IFERROR(SEARCH(N28,Rådata!$B$1000),-1)+IFERROR(SEARCH(O28,Rådata!$B$1000),-1))&gt;0,"-","NEJ")</f>
        <v>NEJ</v>
      </c>
      <c r="K28" s="29" t="str">
        <f t="shared" si="3"/>
        <v>Ammonium</v>
      </c>
      <c r="L28" s="29" t="s">
        <v>179</v>
      </c>
      <c r="M28" s="29" t="s">
        <v>179</v>
      </c>
      <c r="N28" s="29" t="s">
        <v>179</v>
      </c>
      <c r="O28" s="29" t="s">
        <v>179</v>
      </c>
      <c r="S28" s="2" t="str">
        <f t="shared" si="1"/>
        <v>Ammonium</v>
      </c>
      <c r="T28" t="str">
        <f t="shared" si="4"/>
        <v>Enterokokker, Temperatur, NVOC, Natrium, Ammonium</v>
      </c>
    </row>
    <row r="29" spans="1:20" x14ac:dyDescent="0.2">
      <c r="A29" t="s">
        <v>220</v>
      </c>
      <c r="F29" s="3" t="s">
        <v>68</v>
      </c>
      <c r="G29" s="4" t="str">
        <f>IF((IFERROR(SEARCH(K29,Rådata!$B$1000),-1)+IFERROR(SEARCH(L29,Rådata!$B$1000),-1)+IFERROR(SEARCH(M29,Rådata!$B$1000),-1)+IFERROR(SEARCH(N29,Rådata!$B$1000),-1)+IFERROR(SEARCH(O29,Rådata!$B$1000),-1))&gt;0,"-","NEJ")</f>
        <v>NEJ</v>
      </c>
      <c r="K29" s="29" t="str">
        <f t="shared" si="3"/>
        <v>Mangan</v>
      </c>
      <c r="L29" s="29" t="s">
        <v>179</v>
      </c>
      <c r="M29" s="29" t="s">
        <v>179</v>
      </c>
      <c r="N29" s="29" t="s">
        <v>179</v>
      </c>
      <c r="O29" s="29" t="s">
        <v>179</v>
      </c>
      <c r="S29" s="2" t="str">
        <f t="shared" si="1"/>
        <v>Mangan</v>
      </c>
      <c r="T29" t="str">
        <f t="shared" si="4"/>
        <v>Enterokokker, Temperatur, NVOC, Natrium, Ammonium, Mangan</v>
      </c>
    </row>
    <row r="30" spans="1:20" x14ac:dyDescent="0.2">
      <c r="A30" s="49" t="s">
        <v>53</v>
      </c>
      <c r="B30" s="49"/>
      <c r="C30" s="49"/>
      <c r="F30" s="3" t="s">
        <v>6</v>
      </c>
      <c r="G30" s="4" t="str">
        <f>IF((IFERROR(SEARCH(K30,Rådata!$B$1000),-1)+IFERROR(SEARCH(L30,Rådata!$B$1000),-1)+IFERROR(SEARCH(M30,Rådata!$B$1000),-1)+IFERROR(SEARCH(N30,Rådata!$B$1000),-1)+IFERROR(SEARCH(O30,Rådata!$B$1000),-1))&gt;0,"-","NEJ")</f>
        <v>NEJ</v>
      </c>
      <c r="K30" s="29" t="str">
        <f t="shared" si="3"/>
        <v>Chlorid</v>
      </c>
      <c r="L30" s="29" t="s">
        <v>177</v>
      </c>
      <c r="M30" s="29" t="s">
        <v>179</v>
      </c>
      <c r="N30" s="29" t="s">
        <v>179</v>
      </c>
      <c r="O30" s="29" t="s">
        <v>179</v>
      </c>
      <c r="S30" s="2" t="str">
        <f t="shared" si="1"/>
        <v>Chlorid</v>
      </c>
      <c r="T30" t="str">
        <f t="shared" si="4"/>
        <v>Enterokokker, Temperatur, NVOC, Natrium, Ammonium, Mangan, Chlorid</v>
      </c>
    </row>
    <row r="31" spans="1:20" x14ac:dyDescent="0.2">
      <c r="A31" s="49" t="s">
        <v>61</v>
      </c>
      <c r="B31" s="49"/>
      <c r="C31" s="49"/>
      <c r="F31" s="3" t="s">
        <v>7</v>
      </c>
      <c r="G31" s="4" t="str">
        <f>IF((IFERROR(SEARCH(K31,Rådata!$B$1000),-1)+IFERROR(SEARCH(L31,Rådata!$B$1000),-1)+IFERROR(SEARCH(M31,Rådata!$B$1000),-1)+IFERROR(SEARCH(N31,Rådata!$B$1000),-1)+IFERROR(SEARCH(O31,Rådata!$B$1000),-1))&gt;0,"-","NEJ")</f>
        <v>NEJ</v>
      </c>
      <c r="K31" s="29" t="str">
        <f t="shared" si="3"/>
        <v>Sulfat</v>
      </c>
      <c r="L31" s="29" t="s">
        <v>179</v>
      </c>
      <c r="M31" s="29" t="s">
        <v>179</v>
      </c>
      <c r="N31" s="29" t="s">
        <v>179</v>
      </c>
      <c r="O31" s="29" t="s">
        <v>179</v>
      </c>
      <c r="S31" s="2" t="str">
        <f t="shared" si="1"/>
        <v>Sulfat</v>
      </c>
      <c r="T31" t="str">
        <f t="shared" si="4"/>
        <v>Enterokokker, Temperatur, NVOC, Natrium, Ammonium, Mangan, Chlorid, Sulfat</v>
      </c>
    </row>
    <row r="32" spans="1:20" x14ac:dyDescent="0.2">
      <c r="A32" s="49" t="s">
        <v>176</v>
      </c>
      <c r="B32" s="49"/>
      <c r="C32" s="49"/>
      <c r="F32" s="3" t="s">
        <v>5</v>
      </c>
      <c r="G32" s="4" t="str">
        <f>IF((IFERROR(SEARCH(K32,Rådata!$B$1000),-1)+IFERROR(SEARCH(L32,Rådata!$B$1000),-1)+IFERROR(SEARCH(M32,Rådata!$B$1000),-1)+IFERROR(SEARCH(N32,Rådata!$B$1000),-1)+IFERROR(SEARCH(O32,Rådata!$B$1000),-1))&gt;0,"-","NEJ")</f>
        <v>NEJ</v>
      </c>
      <c r="K32" s="29" t="str">
        <f t="shared" si="3"/>
        <v>Nitrat</v>
      </c>
      <c r="L32" s="29" t="s">
        <v>179</v>
      </c>
      <c r="M32" s="29" t="s">
        <v>179</v>
      </c>
      <c r="N32" s="29" t="s">
        <v>179</v>
      </c>
      <c r="O32" s="29" t="s">
        <v>179</v>
      </c>
      <c r="S32" s="2" t="str">
        <f t="shared" si="1"/>
        <v>Nitrat</v>
      </c>
      <c r="T32" t="str">
        <f t="shared" si="4"/>
        <v>Enterokokker, Temperatur, NVOC, Natrium, Ammonium, Mangan, Chlorid, Sulfat, Nitrat</v>
      </c>
    </row>
    <row r="33" spans="1:20" x14ac:dyDescent="0.2">
      <c r="A33" s="49" t="s">
        <v>175</v>
      </c>
      <c r="B33" s="49"/>
      <c r="C33" s="49"/>
      <c r="F33" s="3" t="s">
        <v>4</v>
      </c>
      <c r="G33" s="4" t="str">
        <f>IF((IFERROR(SEARCH(K33,Rådata!$B$1000),-1)+IFERROR(SEARCH(L33,Rådata!$B$1000),-1)+IFERROR(SEARCH(M33,Rådata!$B$1000),-1)+IFERROR(SEARCH(N33,Rådata!$B$1000),-1)+IFERROR(SEARCH(O33,Rådata!$B$1000),-1))&gt;0,"-","NEJ")</f>
        <v>NEJ</v>
      </c>
      <c r="K33" s="29" t="str">
        <f t="shared" si="3"/>
        <v>Nitrit</v>
      </c>
      <c r="L33" s="29" t="s">
        <v>179</v>
      </c>
      <c r="M33" s="29" t="s">
        <v>179</v>
      </c>
      <c r="N33" s="29" t="s">
        <v>179</v>
      </c>
      <c r="O33" s="29" t="s">
        <v>179</v>
      </c>
      <c r="S33" s="2" t="str">
        <f t="shared" si="1"/>
        <v>Nitrit</v>
      </c>
      <c r="T33" t="str">
        <f t="shared" si="4"/>
        <v>Enterokokker, Temperatur, NVOC, Natrium, Ammonium, Mangan, Chlorid, Sulfat, Nitrat, Nitrit</v>
      </c>
    </row>
    <row r="34" spans="1:20" x14ac:dyDescent="0.2">
      <c r="A34" s="49" t="s">
        <v>169</v>
      </c>
      <c r="B34" s="49"/>
      <c r="C34" s="49"/>
      <c r="F34" s="10" t="s">
        <v>69</v>
      </c>
      <c r="G34" s="4" t="str">
        <f>IF((IFERROR(SEARCH(K34,Rådata!$B$1000),-1)+IFERROR(SEARCH(L34,Rådata!$B$1000),-1)+IFERROR(SEARCH(M34,Rådata!$B$1000),-1)+IFERROR(SEARCH(N34,Rådata!$B$1000),-1)+IFERROR(SEARCH(O34,Rådata!$B$1000),-1))&gt;0,"-","NEJ")</f>
        <v>NEJ</v>
      </c>
      <c r="K34" s="29" t="str">
        <f t="shared" si="3"/>
        <v>Fluorid</v>
      </c>
      <c r="L34" s="29" t="s">
        <v>179</v>
      </c>
      <c r="M34" s="29" t="s">
        <v>179</v>
      </c>
      <c r="N34" s="29" t="s">
        <v>179</v>
      </c>
      <c r="O34" s="29" t="s">
        <v>179</v>
      </c>
      <c r="S34" s="2" t="str">
        <f t="shared" si="1"/>
        <v>Fluorid</v>
      </c>
      <c r="T34" t="str">
        <f t="shared" si="4"/>
        <v>Enterokokker, Temperatur, NVOC, Natrium, Ammonium, Mangan, Chlorid, Sulfat, Nitrat, Nitrit, Fluorid</v>
      </c>
    </row>
    <row r="35" spans="1:20" x14ac:dyDescent="0.2">
      <c r="E35" s="53" t="s">
        <v>70</v>
      </c>
      <c r="F35" s="53"/>
      <c r="G35" s="13"/>
      <c r="H35" s="13" t="str">
        <f>IF(IFERROR(SEARCH("NEJ",CONCATENATE(" ",G36,G37,G38,G39,G40,G41,G42,G43,G44,G45,G46,G47,G48,G49,G50)),1)=1,"OK","NEJ")</f>
        <v>NEJ</v>
      </c>
      <c r="K35" s="28"/>
      <c r="L35" s="29"/>
      <c r="M35" s="29"/>
      <c r="N35" s="29"/>
      <c r="O35" s="29"/>
      <c r="T35" t="str">
        <f t="shared" si="4"/>
        <v>Enterokokker, Temperatur, NVOC, Natrium, Ammonium, Mangan, Chlorid, Sulfat, Nitrat, Nitrit, Fluorid</v>
      </c>
    </row>
    <row r="36" spans="1:20" x14ac:dyDescent="0.2">
      <c r="F36" s="9" t="s">
        <v>71</v>
      </c>
      <c r="G36" s="4" t="str">
        <f>IF((IFERROR(SEARCH(K36,Rådata!$B$1000),-1)+IFERROR(SEARCH(L36,Rådata!$B$1000),-1)+IFERROR(SEARCH(M36,Rådata!$B$1000),-1)+IFERROR(SEARCH(N36,Rådata!$B$1000),-1)+IFERROR(SEARCH(O36,Rådata!$B$1000),-1))&gt;0,"-","NEJ")</f>
        <v>NEJ</v>
      </c>
      <c r="K36" s="29" t="str">
        <f t="shared" ref="K36:K50" si="5">F36</f>
        <v>Aluminium</v>
      </c>
      <c r="L36" s="29" t="s">
        <v>179</v>
      </c>
      <c r="M36" s="29" t="s">
        <v>179</v>
      </c>
      <c r="N36" s="29" t="s">
        <v>179</v>
      </c>
      <c r="O36" s="29" t="s">
        <v>179</v>
      </c>
      <c r="S36" s="2" t="str">
        <f t="shared" si="1"/>
        <v>Aluminium</v>
      </c>
      <c r="T36" t="str">
        <f t="shared" si="4"/>
        <v>Enterokokker, Temperatur, NVOC, Natrium, Ammonium, Mangan, Chlorid, Sulfat, Nitrat, Nitrit, Fluorid, Aluminium</v>
      </c>
    </row>
    <row r="37" spans="1:20" x14ac:dyDescent="0.2">
      <c r="F37" s="3" t="s">
        <v>72</v>
      </c>
      <c r="G37" s="4" t="str">
        <f>IF((IFERROR(SEARCH(K37,Rådata!$B$1000),-1)+IFERROR(SEARCH(L37,Rådata!$B$1000),-1)+IFERROR(SEARCH(M37,Rådata!$B$1000),-1)+IFERROR(SEARCH(N37,Rådata!$B$1000),-1)+IFERROR(SEARCH(O37,Rådata!$B$1000),-1))&gt;0,"-","NEJ")</f>
        <v>NEJ</v>
      </c>
      <c r="K37" s="29" t="str">
        <f t="shared" si="5"/>
        <v>Antimon</v>
      </c>
      <c r="L37" s="29" t="s">
        <v>179</v>
      </c>
      <c r="M37" s="29" t="s">
        <v>179</v>
      </c>
      <c r="N37" s="29" t="s">
        <v>179</v>
      </c>
      <c r="O37" s="29" t="s">
        <v>179</v>
      </c>
      <c r="S37" s="2" t="str">
        <f t="shared" si="1"/>
        <v>Antimon</v>
      </c>
      <c r="T37" t="str">
        <f t="shared" si="4"/>
        <v>Enterokokker, Temperatur, NVOC, Natrium, Ammonium, Mangan, Chlorid, Sulfat, Nitrat, Nitrit, Fluorid, Aluminium, Antimon</v>
      </c>
    </row>
    <row r="38" spans="1:20" x14ac:dyDescent="0.2">
      <c r="F38" s="3" t="s">
        <v>73</v>
      </c>
      <c r="G38" s="4" t="str">
        <f>IF((IFERROR(SEARCH(K38,Rådata!$B$1000),-1)+IFERROR(SEARCH(L38,Rådata!$B$1000),-1)+IFERROR(SEARCH(M38,Rådata!$B$1000),-1)+IFERROR(SEARCH(N38,Rådata!$B$1000),-1)+IFERROR(SEARCH(O38,Rådata!$B$1000),-1))&gt;0,"-","NEJ")</f>
        <v>NEJ</v>
      </c>
      <c r="K38" s="29" t="str">
        <f t="shared" si="5"/>
        <v>Arsen</v>
      </c>
      <c r="L38" s="29" t="s">
        <v>179</v>
      </c>
      <c r="M38" s="29" t="s">
        <v>179</v>
      </c>
      <c r="N38" s="29" t="s">
        <v>179</v>
      </c>
      <c r="O38" s="29" t="s">
        <v>179</v>
      </c>
      <c r="S38" s="2" t="str">
        <f t="shared" si="1"/>
        <v>Arsen</v>
      </c>
      <c r="T38" t="str">
        <f t="shared" si="4"/>
        <v>Enterokokker, Temperatur, NVOC, Natrium, Ammonium, Mangan, Chlorid, Sulfat, Nitrat, Nitrit, Fluorid, Aluminium, Antimon, Arsen</v>
      </c>
    </row>
    <row r="39" spans="1:20" x14ac:dyDescent="0.2">
      <c r="F39" s="3" t="s">
        <v>74</v>
      </c>
      <c r="G39" s="4" t="str">
        <f>IF((IFERROR(SEARCH(K39,Rådata!$B$1000),-1)+IFERROR(SEARCH(L39,Rådata!$B$1000),-1)+IFERROR(SEARCH(M39,Rådata!$B$1000),-1)+IFERROR(SEARCH(N39,Rådata!$B$1000),-1)+IFERROR(SEARCH(O39,Rådata!$B$1000),-1))&gt;0,"-","NEJ")</f>
        <v>NEJ</v>
      </c>
      <c r="K39" s="29" t="str">
        <f t="shared" si="5"/>
        <v>Bly</v>
      </c>
      <c r="L39" s="29" t="s">
        <v>179</v>
      </c>
      <c r="M39" s="29" t="s">
        <v>179</v>
      </c>
      <c r="N39" s="29" t="s">
        <v>179</v>
      </c>
      <c r="O39" s="29" t="s">
        <v>179</v>
      </c>
      <c r="S39" s="2" t="str">
        <f t="shared" si="1"/>
        <v>Bly</v>
      </c>
      <c r="T39" t="str">
        <f t="shared" si="4"/>
        <v>Enterokokker, Temperatur, NVOC, Natrium, Ammonium, Mangan, Chlorid, Sulfat, Nitrat, Nitrit, Fluorid, Aluminium, Antimon, Arsen, Bly</v>
      </c>
    </row>
    <row r="40" spans="1:20" x14ac:dyDescent="0.2">
      <c r="F40" s="3" t="s">
        <v>75</v>
      </c>
      <c r="G40" s="4" t="str">
        <f>IF((IFERROR(SEARCH(K40,Rådata!$B$1000),-1)+IFERROR(SEARCH(L40,Rådata!$B$1000),-1)+IFERROR(SEARCH(M40,Rådata!$B$1000),-1)+IFERROR(SEARCH(N40,Rådata!$B$1000),-1)+IFERROR(SEARCH(O40,Rådata!$B$1000),-1))&gt;0,"-","NEJ")</f>
        <v>NEJ</v>
      </c>
      <c r="K40" s="29" t="str">
        <f t="shared" si="5"/>
        <v>Bor</v>
      </c>
      <c r="L40" s="29" t="s">
        <v>179</v>
      </c>
      <c r="M40" s="29" t="s">
        <v>179</v>
      </c>
      <c r="N40" s="29" t="s">
        <v>179</v>
      </c>
      <c r="O40" s="29" t="s">
        <v>179</v>
      </c>
      <c r="S40" s="2" t="str">
        <f t="shared" si="1"/>
        <v>Bor</v>
      </c>
      <c r="T40" t="str">
        <f t="shared" si="4"/>
        <v>Enterokokker, Temperatur, NVOC, Natrium, Ammonium, Mangan, Chlorid, Sulfat, Nitrat, Nitrit, Fluorid, Aluminium, Antimon, Arsen, Bly, Bor</v>
      </c>
    </row>
    <row r="41" spans="1:20" x14ac:dyDescent="0.2">
      <c r="F41" s="3" t="s">
        <v>76</v>
      </c>
      <c r="G41" s="4" t="str">
        <f>IF((IFERROR(SEARCH(K41,Rådata!$B$1000),-1)+IFERROR(SEARCH(L41,Rådata!$B$1000),-1)+IFERROR(SEARCH(M41,Rådata!$B$1000),-1)+IFERROR(SEARCH(N41,Rådata!$B$1000),-1)+IFERROR(SEARCH(O41,Rådata!$B$1000),-1))&gt;0,"-","NEJ")</f>
        <v>NEJ</v>
      </c>
      <c r="K41" s="29" t="str">
        <f t="shared" si="5"/>
        <v>Cadmium</v>
      </c>
      <c r="L41" s="29" t="s">
        <v>179</v>
      </c>
      <c r="M41" s="29" t="s">
        <v>179</v>
      </c>
      <c r="N41" s="29" t="s">
        <v>179</v>
      </c>
      <c r="O41" s="29" t="s">
        <v>179</v>
      </c>
      <c r="S41" s="2" t="str">
        <f t="shared" si="1"/>
        <v>Cadmium</v>
      </c>
      <c r="T41" t="str">
        <f t="shared" si="4"/>
        <v>Enterokokker, Temperatur, NVOC, Natrium, Ammonium, Mangan, Chlorid, Sulfat, Nitrat, Nitrit, Fluorid, Aluminium, Antimon, Arsen, Bly, Bor, Cadmium</v>
      </c>
    </row>
    <row r="42" spans="1:20" x14ac:dyDescent="0.2">
      <c r="F42" s="3" t="s">
        <v>91</v>
      </c>
      <c r="G42" s="4" t="str">
        <f>IF((IFERROR(SEARCH(K42,Rådata!$B$1000),-1)+IFERROR(SEARCH(L42,Rådata!$B$1000),-1)+IFERROR(SEARCH(M42,Rådata!$B$1000),-1)+IFERROR(SEARCH(N42,Rådata!$B$1000),-1)+IFERROR(SEARCH(O42,Rådata!$B$1000),-1))&gt;0,"-","NEJ")</f>
        <v>NEJ</v>
      </c>
      <c r="K42" s="29" t="str">
        <f t="shared" si="5"/>
        <v>Kobolt</v>
      </c>
      <c r="L42" s="29" t="s">
        <v>168</v>
      </c>
      <c r="M42" s="29" t="s">
        <v>179</v>
      </c>
      <c r="N42" s="29" t="s">
        <v>179</v>
      </c>
      <c r="O42" s="29" t="s">
        <v>179</v>
      </c>
      <c r="S42" s="2" t="str">
        <f t="shared" si="1"/>
        <v>Kobolt</v>
      </c>
      <c r="T42" t="str">
        <f t="shared" si="4"/>
        <v>Enterokokker, Temperatur, NVOC, Natrium, Ammonium, Mangan, Chlorid, Sulfat, Nitrat, Nitrit, Fluorid, Aluminium, Antimon, Arsen, Bly, Bor, Cadmium, Kobolt</v>
      </c>
    </row>
    <row r="43" spans="1:20" x14ac:dyDescent="0.2">
      <c r="F43" s="3" t="s">
        <v>77</v>
      </c>
      <c r="G43" s="4" t="str">
        <f>IF((IFERROR(SEARCH(K43,Rådata!$B$1000),-1)+IFERROR(SEARCH(L43,Rådata!$B$1000),-1)+IFERROR(SEARCH(M43,Rådata!$B$1000),-1)+IFERROR(SEARCH(N43,Rådata!$B$1000),-1)+IFERROR(SEARCH(O43,Rådata!$B$1000),-1))&gt;0,"-","NEJ")</f>
        <v>NEJ</v>
      </c>
      <c r="K43" s="29" t="str">
        <f t="shared" si="5"/>
        <v>Chrom</v>
      </c>
      <c r="L43" s="29" t="s">
        <v>200</v>
      </c>
      <c r="M43" s="29" t="s">
        <v>179</v>
      </c>
      <c r="N43" s="29" t="s">
        <v>179</v>
      </c>
      <c r="O43" s="29" t="s">
        <v>179</v>
      </c>
      <c r="S43" s="2" t="str">
        <f t="shared" si="1"/>
        <v>Chrom</v>
      </c>
      <c r="T43" t="str">
        <f t="shared" si="4"/>
        <v>Enterokokker, Temperatur, NVOC, Natrium, Ammonium, Mangan, Chlorid, Sulfat, Nitrat, Nitrit, Fluorid, Aluminium, Antimon, Arsen, Bly, Bor, Cadmium, Kobolt, Chrom</v>
      </c>
    </row>
    <row r="44" spans="1:20" x14ac:dyDescent="0.2">
      <c r="F44" s="3" t="s">
        <v>78</v>
      </c>
      <c r="G44" s="4" t="str">
        <f>IF((IFERROR(SEARCH(K44,Rådata!$B$1000),-1)+IFERROR(SEARCH(L44,Rådata!$B$1000),-1)+IFERROR(SEARCH(M44,Rådata!$B$1000),-1)+IFERROR(SEARCH(N44,Rådata!$B$1000),-1)+IFERROR(SEARCH(O44,Rådata!$B$1000),-1))&gt;0,"-","NEJ")</f>
        <v>NEJ</v>
      </c>
      <c r="K44" s="29" t="str">
        <f t="shared" si="5"/>
        <v>Cyanid</v>
      </c>
      <c r="L44" s="29" t="s">
        <v>179</v>
      </c>
      <c r="M44" s="29" t="s">
        <v>179</v>
      </c>
      <c r="N44" s="29" t="s">
        <v>179</v>
      </c>
      <c r="O44" s="29" t="s">
        <v>179</v>
      </c>
      <c r="S44" s="2" t="str">
        <f t="shared" si="1"/>
        <v>Cyanid</v>
      </c>
      <c r="T44" t="str">
        <f t="shared" si="4"/>
        <v>Enterokokker, Temperatur, NVOC, Natrium, Ammonium, Mangan, Chlorid, Sulfat, Nitrat, Nitrit, Fluorid, Aluminium, Antimon, Arsen, Bly, Bor, Cadmium, Kobolt, Chrom, Cyanid</v>
      </c>
    </row>
    <row r="45" spans="1:20" x14ac:dyDescent="0.2">
      <c r="F45" s="3" t="s">
        <v>79</v>
      </c>
      <c r="G45" s="4" t="str">
        <f>IF((IFERROR(SEARCH(K45,Rådata!$B$1000),-1)+IFERROR(SEARCH(L45,Rådata!$B$1000),-1)+IFERROR(SEARCH(M45,Rådata!$B$1000),-1)+IFERROR(SEARCH(N45,Rådata!$B$1000),-1)+IFERROR(SEARCH(O45,Rådata!$B$1000),-1))&gt;0,"-","NEJ")</f>
        <v>NEJ</v>
      </c>
      <c r="K45" s="29" t="str">
        <f t="shared" si="5"/>
        <v>Kobber</v>
      </c>
      <c r="L45" s="29" t="s">
        <v>178</v>
      </c>
      <c r="M45" s="29" t="s">
        <v>179</v>
      </c>
      <c r="N45" s="29" t="s">
        <v>179</v>
      </c>
      <c r="O45" s="29" t="s">
        <v>179</v>
      </c>
      <c r="S45" s="2" t="str">
        <f t="shared" si="1"/>
        <v>Kobber</v>
      </c>
      <c r="T45" t="str">
        <f t="shared" si="4"/>
        <v>Enterokokker, Temperatur, NVOC, Natrium, Ammonium, Mangan, Chlorid, Sulfat, Nitrat, Nitrit, Fluorid, Aluminium, Antimon, Arsen, Bly, Bor, Cadmium, Kobolt, Chrom, Cyanid, Kobber</v>
      </c>
    </row>
    <row r="46" spans="1:20" x14ac:dyDescent="0.2">
      <c r="F46" s="3" t="s">
        <v>80</v>
      </c>
      <c r="G46" s="4" t="str">
        <f>IF((IFERROR(SEARCH(K46,Rådata!$B$1000),-1)+IFERROR(SEARCH(L46,Rådata!$B$1000),-1)+IFERROR(SEARCH(M46,Rådata!$B$1000),-1)+IFERROR(SEARCH(N46,Rådata!$B$1000),-1)+IFERROR(SEARCH(O46,Rådata!$B$1000),-1))&gt;0,"-","NEJ")</f>
        <v>NEJ</v>
      </c>
      <c r="K46" s="29" t="str">
        <f t="shared" si="5"/>
        <v>Kviksølv</v>
      </c>
      <c r="L46" s="29" t="s">
        <v>179</v>
      </c>
      <c r="M46" s="29" t="s">
        <v>179</v>
      </c>
      <c r="N46" s="29" t="s">
        <v>179</v>
      </c>
      <c r="O46" s="29" t="s">
        <v>179</v>
      </c>
      <c r="S46" s="2" t="str">
        <f t="shared" si="1"/>
        <v>Kviksølv</v>
      </c>
      <c r="T46" t="str">
        <f t="shared" si="4"/>
        <v>Enterokokker, Temperatur, NVOC, Natrium, Ammonium, Mangan, Chlorid, Sulfat, Nitrat, Nitrit, Fluorid, Aluminium, Antimon, Arsen, Bly, Bor, Cadmium, Kobolt, Chrom, Cyanid, Kobber, Kviksølv</v>
      </c>
    </row>
    <row r="47" spans="1:20" x14ac:dyDescent="0.2">
      <c r="F47" s="3" t="s">
        <v>81</v>
      </c>
      <c r="G47" s="4" t="str">
        <f>IF((IFERROR(SEARCH(K47,Rådata!$B$1000),-1)+IFERROR(SEARCH(L47,Rådata!$B$1000),-1)+IFERROR(SEARCH(M47,Rådata!$B$1000),-1)+IFERROR(SEARCH(N47,Rådata!$B$1000),-1)+IFERROR(SEARCH(O47,Rådata!$B$1000),-1))&gt;0,"-","NEJ")</f>
        <v>NEJ</v>
      </c>
      <c r="K47" s="29" t="str">
        <f t="shared" si="5"/>
        <v>Nikkel</v>
      </c>
      <c r="L47" s="29" t="s">
        <v>179</v>
      </c>
      <c r="M47" s="29" t="s">
        <v>179</v>
      </c>
      <c r="N47" s="29" t="s">
        <v>179</v>
      </c>
      <c r="O47" s="29" t="s">
        <v>179</v>
      </c>
      <c r="S47" s="2" t="str">
        <f t="shared" si="1"/>
        <v>Nikkel</v>
      </c>
      <c r="T47" t="str">
        <f t="shared" si="4"/>
        <v>Enterokokker, Temperatur, NVOC, Natrium, Ammonium, Mangan, Chlorid, Sulfat, Nitrat, Nitrit, Fluorid, Aluminium, Antimon, Arsen, Bly, Bor, Cadmium, Kobolt, Chrom, Cyanid, Kobber, Kviksølv, Nikkel</v>
      </c>
    </row>
    <row r="48" spans="1:20" x14ac:dyDescent="0.2">
      <c r="F48" s="3" t="s">
        <v>82</v>
      </c>
      <c r="G48" s="4" t="str">
        <f>IF((IFERROR(SEARCH(K48,Rådata!$B$1000),-1)+IFERROR(SEARCH(L48,Rådata!$B$1000),-1)+IFERROR(SEARCH(M48,Rådata!$B$1000),-1)+IFERROR(SEARCH(N48,Rådata!$B$1000),-1)+IFERROR(SEARCH(O48,Rådata!$B$1000),-1))&gt;0,"-","NEJ")</f>
        <v>NEJ</v>
      </c>
      <c r="K48" s="29" t="str">
        <f t="shared" si="5"/>
        <v>Selen</v>
      </c>
      <c r="L48" s="29" t="s">
        <v>179</v>
      </c>
      <c r="M48" s="29" t="s">
        <v>179</v>
      </c>
      <c r="N48" s="29" t="s">
        <v>179</v>
      </c>
      <c r="O48" s="29" t="s">
        <v>179</v>
      </c>
      <c r="S48" s="2" t="str">
        <f t="shared" si="1"/>
        <v>Selen</v>
      </c>
      <c r="T48" t="str">
        <f t="shared" si="4"/>
        <v>Enterokokker, Temperatur, NVOC, Natrium, Ammonium, Mangan, Chlorid, Sulfat, Nitrat, Nitrit, Fluorid, Aluminium, Antimon, Arsen, Bly, Bor, Cadmium, Kobolt, Chrom, Cyanid, Kobber, Kviksølv, Nikkel, Selen</v>
      </c>
    </row>
    <row r="49" spans="5:20" x14ac:dyDescent="0.2">
      <c r="F49" s="3" t="s">
        <v>83</v>
      </c>
      <c r="G49" s="4" t="str">
        <f>IF((IFERROR(SEARCH(K49,Rådata!$B$1000),-1)+IFERROR(SEARCH(L49,Rådata!$B$1000),-1)+IFERROR(SEARCH(M49,Rådata!$B$1000),-1)+IFERROR(SEARCH(N49,Rådata!$B$1000),-1)+IFERROR(SEARCH(O49,Rådata!$B$1000),-1))&gt;0,"-","NEJ")</f>
        <v>NEJ</v>
      </c>
      <c r="K49" s="29" t="str">
        <f t="shared" si="5"/>
        <v>Sølv</v>
      </c>
      <c r="L49" s="29" t="s">
        <v>179</v>
      </c>
      <c r="M49" s="29" t="s">
        <v>179</v>
      </c>
      <c r="N49" s="29" t="s">
        <v>179</v>
      </c>
      <c r="O49" s="29" t="s">
        <v>179</v>
      </c>
      <c r="S49" s="2" t="str">
        <f t="shared" si="1"/>
        <v>Sølv</v>
      </c>
      <c r="T49" t="str">
        <f t="shared" si="4"/>
        <v>Enterokokker, Temperatur, NVOC, Natrium, Ammonium, Mangan, Chlorid, Sulfat, Nitrat, Nitrit, Fluorid, Aluminium, Antimon, Arsen, Bly, Bor, Cadmium, Kobolt, Chrom, Cyanid, Kobber, Kviksølv, Nikkel, Selen, Sølv</v>
      </c>
    </row>
    <row r="50" spans="5:20" x14ac:dyDescent="0.2">
      <c r="F50" s="10" t="s">
        <v>84</v>
      </c>
      <c r="G50" s="4" t="str">
        <f>IF((IFERROR(SEARCH(K50,Rådata!$B$1000),-1)+IFERROR(SEARCH(L50,Rådata!$B$1000),-1)+IFERROR(SEARCH(M50,Rådata!$B$1000),-1)+IFERROR(SEARCH(N50,Rådata!$B$1000),-1)+IFERROR(SEARCH(O50,Rådata!$B$1000),-1))&gt;0,"-","NEJ")</f>
        <v>NEJ</v>
      </c>
      <c r="K50" s="29" t="str">
        <f t="shared" si="5"/>
        <v>Zink</v>
      </c>
      <c r="L50" s="29" t="s">
        <v>179</v>
      </c>
      <c r="M50" s="29" t="s">
        <v>179</v>
      </c>
      <c r="N50" s="29" t="s">
        <v>179</v>
      </c>
      <c r="O50" s="29" t="s">
        <v>179</v>
      </c>
      <c r="S50" s="2" t="str">
        <f t="shared" si="1"/>
        <v>Zink</v>
      </c>
      <c r="T50" t="str">
        <f t="shared" si="4"/>
        <v>Enterokokker, Temperatur, NVOC, Natrium, Ammonium, Mangan, Chlorid, Sulfat, Nitrat, Nitrit, Fluorid, Aluminium, Antimon, Arsen, Bly, Bor, Cadmium, Kobolt, Chrom, Cyanid, Kobber, Kviksølv, Nikkel, Selen, Sølv, Zink</v>
      </c>
    </row>
    <row r="51" spans="5:20" x14ac:dyDescent="0.2">
      <c r="E51" s="53" t="s">
        <v>86</v>
      </c>
      <c r="F51" s="53"/>
      <c r="G51" s="13"/>
      <c r="H51" s="13" t="str">
        <f>IF(IFERROR(SEARCH("NEJ",CONCATENATE(" ",G52,G53,G54)),1)=1,"OK","NEJ")</f>
        <v>NEJ</v>
      </c>
      <c r="K51" s="28"/>
      <c r="L51" s="29"/>
      <c r="M51" s="29"/>
      <c r="N51" s="29"/>
      <c r="O51" s="29"/>
      <c r="T51" t="str">
        <f t="shared" si="4"/>
        <v>Enterokokker, Temperatur, NVOC, Natrium, Ammonium, Mangan, Chlorid, Sulfat, Nitrat, Nitrit, Fluorid, Aluminium, Antimon, Arsen, Bly, Bor, Cadmium, Kobolt, Chrom, Cyanid, Kobber, Kviksølv, Nikkel, Selen, Sølv, Zink</v>
      </c>
    </row>
    <row r="52" spans="5:20" x14ac:dyDescent="0.2">
      <c r="F52" s="9" t="s">
        <v>8</v>
      </c>
      <c r="G52" s="4" t="str">
        <f>IF((IFERROR(SEARCH(K52,Rådata!$B$1000),-1)+IFERROR(SEARCH(L52,Rådata!$B$1000),-1)+IFERROR(SEARCH(M52,Rådata!$B$1000),-1)+IFERROR(SEARCH(N52,Rådata!$B$1000),-1)+IFERROR(SEARCH(O52,Rådata!$B$1000),-1))&gt;0,"-","NEJ")</f>
        <v>NEJ</v>
      </c>
      <c r="K52" s="29" t="str">
        <f>F52</f>
        <v>Acrylamid</v>
      </c>
      <c r="L52" s="29" t="s">
        <v>179</v>
      </c>
      <c r="M52" s="29" t="s">
        <v>179</v>
      </c>
      <c r="N52" s="29" t="s">
        <v>179</v>
      </c>
      <c r="O52" s="29" t="s">
        <v>179</v>
      </c>
      <c r="S52" s="2" t="str">
        <f t="shared" si="1"/>
        <v>Acrylamid</v>
      </c>
      <c r="T52" t="str">
        <f t="shared" si="4"/>
        <v>Enterokokker, Temperatur, NVOC, Natrium, Ammonium, Mangan, Chlorid, Sulfat, Nitrat, Nitrit, Fluorid, Aluminium, Antimon, Arsen, Bly, Bor, Cadmium, Kobolt, Chrom, Cyanid, Kobber, Kviksølv, Nikkel, Selen, Sølv, Zink, Acrylamid</v>
      </c>
    </row>
    <row r="53" spans="5:20" x14ac:dyDescent="0.2">
      <c r="F53" s="3" t="s">
        <v>9</v>
      </c>
      <c r="G53" s="4" t="str">
        <f>IF((IFERROR(SEARCH(K53,Rådata!$B$1000),-1)+IFERROR(SEARCH(L53,Rådata!$B$1000),-1)+IFERROR(SEARCH(M53,Rådata!$B$1000),-1)+IFERROR(SEARCH(N53,Rådata!$B$1000),-1)+IFERROR(SEARCH(O53,Rådata!$B$1000),-1))&gt;0,"-","NEJ")</f>
        <v>NEJ</v>
      </c>
      <c r="K53" s="29" t="str">
        <f>F53</f>
        <v>Epichlorhydrin</v>
      </c>
      <c r="L53" s="29" t="s">
        <v>179</v>
      </c>
      <c r="M53" s="29" t="s">
        <v>179</v>
      </c>
      <c r="N53" s="29" t="s">
        <v>179</v>
      </c>
      <c r="O53" s="29" t="s">
        <v>179</v>
      </c>
      <c r="S53" s="2" t="str">
        <f t="shared" si="1"/>
        <v>Epichlorhydrin</v>
      </c>
      <c r="T53" t="str">
        <f t="shared" si="4"/>
        <v>Enterokokker, Temperatur, NVOC, Natrium, Ammonium, Mangan, Chlorid, Sulfat, Nitrat, Nitrit, Fluorid, Aluminium, Antimon, Arsen, Bly, Bor, Cadmium, Kobolt, Chrom, Cyanid, Kobber, Kviksølv, Nikkel, Selen, Sølv, Zink, Acrylamid, Epichlorhydrin</v>
      </c>
    </row>
    <row r="54" spans="5:20" x14ac:dyDescent="0.2">
      <c r="F54" s="10" t="s">
        <v>41</v>
      </c>
      <c r="G54" s="4" t="str">
        <f>IF((IFERROR(SEARCH(K54,Rådata!$B$1000),-1)+IFERROR(SEARCH(L54,Rådata!$B$1000),-1)+IFERROR(SEARCH(M54,Rådata!$B$1000),-1)+IFERROR(SEARCH(N54,Rådata!$B$1000),-1)+IFERROR(SEARCH(O54,Rådata!$B$1000),-1))&gt;0,"-","NEJ")</f>
        <v>NEJ</v>
      </c>
      <c r="K54" s="29" t="str">
        <f>F54</f>
        <v>Vinylchlorid</v>
      </c>
      <c r="L54" s="29" t="s">
        <v>179</v>
      </c>
      <c r="M54" s="29" t="s">
        <v>179</v>
      </c>
      <c r="N54" s="29" t="s">
        <v>179</v>
      </c>
      <c r="O54" s="29" t="s">
        <v>179</v>
      </c>
      <c r="S54" s="2" t="str">
        <f t="shared" si="1"/>
        <v>Vinylchlorid</v>
      </c>
      <c r="T54" t="str">
        <f t="shared" si="4"/>
        <v>Enterokokker, Temperatur, NVOC, Natrium, Ammonium, Mangan, Chlorid, Sulfat, Nitrat, Nitrit, Fluorid, Aluminium, Antimon, Arsen, Bly, Bor, Cadmium, Kobolt, Chrom, Cyanid, Kobber, Kviksølv, Nikkel, Selen, Sølv, Zink, Acrylamid, Epichlorhydrin, Vinylchlorid</v>
      </c>
    </row>
    <row r="55" spans="5:20" x14ac:dyDescent="0.2">
      <c r="E55" s="53" t="s">
        <v>85</v>
      </c>
      <c r="F55" s="53"/>
      <c r="G55" s="13"/>
      <c r="H55" s="13" t="str">
        <f>IF(IFERROR(SEARCH("NEJ",CONCATENATE(" ",G56)),1)=1,"OK","NEJ")</f>
        <v>NEJ</v>
      </c>
      <c r="K55" s="28"/>
      <c r="L55" s="29"/>
      <c r="M55" s="29"/>
      <c r="N55" s="29"/>
      <c r="O55" s="29"/>
      <c r="T55" t="str">
        <f t="shared" si="4"/>
        <v>Enterokokker, Temperatur, NVOC, Natrium, Ammonium, Mangan, Chlorid, Sulfat, Nitrat, Nitrit, Fluorid, Aluminium, Antimon, Arsen, Bly, Bor, Cadmium, Kobolt, Chrom, Cyanid, Kobber, Kviksølv, Nikkel, Selen, Sølv, Zink, Acrylamid, Epichlorhydrin, Vinylchlorid</v>
      </c>
    </row>
    <row r="56" spans="5:20" x14ac:dyDescent="0.2">
      <c r="F56" s="7" t="s">
        <v>14</v>
      </c>
      <c r="G56" s="4" t="str">
        <f>IF((IFERROR(SEARCH(K56,Rådata!$B$1000),-1)+IFERROR(SEARCH(L56,Rådata!$B$1000),-1)+IFERROR(SEARCH(M56,Rådata!$B$1000),-1)+IFERROR(SEARCH(N56,Rådata!$B$1000),-1)+IFERROR(SEARCH(O56,Rådata!$B$1000),-1))&gt;0,"-","NEJ")</f>
        <v>NEJ</v>
      </c>
      <c r="K56" s="29" t="str">
        <f>F56</f>
        <v>Pentachlorphenol</v>
      </c>
      <c r="L56" s="29" t="s">
        <v>179</v>
      </c>
      <c r="M56" s="29" t="s">
        <v>179</v>
      </c>
      <c r="N56" s="29" t="s">
        <v>179</v>
      </c>
      <c r="O56" s="29" t="s">
        <v>179</v>
      </c>
      <c r="S56" s="2" t="str">
        <f t="shared" si="1"/>
        <v>Pentachlorphenol</v>
      </c>
      <c r="T56" t="str">
        <f t="shared" si="4"/>
        <v>Enterokokker, Temperatur, NVOC, Natrium, Ammonium, Mangan, Chlorid, Sulfat, Nitrat, Nitrit, Fluorid, Aluminium, Antimon, Arsen, Bly, Bor, Cadmium, Kobolt, Chrom, Cyanid, Kobber, Kviksølv, Nikkel, Selen, Sølv, Zink, Acrylamid, Epichlorhydrin, Vinylchlorid, Pentachlorphenol</v>
      </c>
    </row>
    <row r="57" spans="5:20" x14ac:dyDescent="0.2">
      <c r="E57" s="53" t="s">
        <v>87</v>
      </c>
      <c r="F57" s="53"/>
      <c r="G57" s="13"/>
      <c r="H57" s="13" t="str">
        <f>IF(IFERROR(SEARCH("NEJ",CONCATENATE(" ",G58,G59,G60,G61,G62,G63,G64,G65,G66,G67,G68,G69)),1)=1,"OK","NEJ")</f>
        <v>NEJ</v>
      </c>
      <c r="K57" s="28"/>
      <c r="L57" s="29"/>
      <c r="M57" s="29"/>
      <c r="N57" s="29"/>
      <c r="O57" s="29"/>
      <c r="T57" t="str">
        <f t="shared" si="4"/>
        <v>Enterokokker, Temperatur, NVOC, Natrium, Ammonium, Mangan, Chlorid, Sulfat, Nitrat, Nitrit, Fluorid, Aluminium, Antimon, Arsen, Bly, Bor, Cadmium, Kobolt, Chrom, Cyanid, Kobber, Kviksølv, Nikkel, Selen, Sølv, Zink, Acrylamid, Epichlorhydrin, Vinylchlorid, Pentachlorphenol</v>
      </c>
    </row>
    <row r="58" spans="5:20" x14ac:dyDescent="0.2">
      <c r="F58" s="9" t="s">
        <v>42</v>
      </c>
      <c r="G58" s="4" t="str">
        <f>IF((IFERROR(SEARCH(K58,Rådata!$B$1000),-1)+IFERROR(SEARCH(L58,Rådata!$B$1000),-1)+IFERROR(SEARCH(M58,Rådata!$B$1000),-1)+IFERROR(SEARCH(N58,Rådata!$B$1000),-1)+IFERROR(SEARCH(O58,Rådata!$B$1000),-1))&gt;0,"-","NEJ")</f>
        <v>NEJ</v>
      </c>
      <c r="K58" s="29" t="str">
        <f t="shared" ref="K58:K69" si="6">F58</f>
        <v>Dichlormethan</v>
      </c>
      <c r="L58" s="29" t="s">
        <v>201</v>
      </c>
      <c r="M58" s="29" t="s">
        <v>179</v>
      </c>
      <c r="N58" s="29" t="s">
        <v>179</v>
      </c>
      <c r="O58" s="29" t="s">
        <v>179</v>
      </c>
      <c r="S58" s="2" t="str">
        <f t="shared" si="1"/>
        <v>Dichlormethan</v>
      </c>
      <c r="T58"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v>
      </c>
    </row>
    <row r="59" spans="5:20" x14ac:dyDescent="0.2">
      <c r="F59" s="3" t="s">
        <v>92</v>
      </c>
      <c r="G59" s="4" t="str">
        <f>IF((IFERROR(SEARCH(K59,Rådata!$B$1000),-1)+IFERROR(SEARCH(L59,Rådata!$B$1000),-1)+IFERROR(SEARCH(M59,Rådata!$B$1000),-1)+IFERROR(SEARCH(N59,Rådata!$B$1000),-1)+IFERROR(SEARCH(O59,Rådata!$B$1000),-1))&gt;0,"-","NEJ")</f>
        <v>NEJ</v>
      </c>
      <c r="K59" s="29" t="str">
        <f t="shared" si="6"/>
        <v>Trichlormethan</v>
      </c>
      <c r="L59" s="29" t="s">
        <v>275</v>
      </c>
      <c r="M59" s="29" t="s">
        <v>179</v>
      </c>
      <c r="N59" s="29" t="s">
        <v>179</v>
      </c>
      <c r="O59" s="29" t="s">
        <v>179</v>
      </c>
      <c r="S59" s="2" t="str">
        <f t="shared" si="1"/>
        <v>Trichlormethan</v>
      </c>
      <c r="T5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v>
      </c>
    </row>
    <row r="60" spans="5:20" x14ac:dyDescent="0.2">
      <c r="F60" s="3" t="s">
        <v>44</v>
      </c>
      <c r="G60" s="4" t="str">
        <f>IF((IFERROR(SEARCH(K60,Rådata!$B$1000),-1)+IFERROR(SEARCH(L60,Rådata!$B$1000),-1)+IFERROR(SEARCH(M60,Rådata!$B$1000),-1)+IFERROR(SEARCH(N60,Rådata!$B$1000),-1)+IFERROR(SEARCH(O60,Rådata!$B$1000),-1))&gt;0,"-","NEJ")</f>
        <v>NEJ</v>
      </c>
      <c r="K60" s="29" t="str">
        <f t="shared" si="6"/>
        <v>1,2-dichlorethan</v>
      </c>
      <c r="L60" s="29" t="s">
        <v>179</v>
      </c>
      <c r="M60" s="29" t="s">
        <v>179</v>
      </c>
      <c r="N60" s="29" t="s">
        <v>179</v>
      </c>
      <c r="O60" s="29" t="s">
        <v>179</v>
      </c>
      <c r="S60" s="2" t="str">
        <f t="shared" si="1"/>
        <v>1,2-dichlorethan</v>
      </c>
      <c r="T6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v>
      </c>
    </row>
    <row r="61" spans="5:20" x14ac:dyDescent="0.2">
      <c r="F61" s="3" t="s">
        <v>47</v>
      </c>
      <c r="G61" s="4" t="str">
        <f>IF((IFERROR(SEARCH(K61,Rådata!$B$1000),-1)+IFERROR(SEARCH(L61,Rådata!$B$1000),-1)+IFERROR(SEARCH(M61,Rådata!$B$1000),-1)+IFERROR(SEARCH(N61,Rådata!$B$1000),-1)+IFERROR(SEARCH(O61,Rådata!$B$1000),-1))&gt;0,"-","NEJ")</f>
        <v>NEJ</v>
      </c>
      <c r="K61" s="29" t="str">
        <f t="shared" si="6"/>
        <v>Trichlorethen</v>
      </c>
      <c r="L61" s="29" t="s">
        <v>202</v>
      </c>
      <c r="M61" s="29" t="s">
        <v>179</v>
      </c>
      <c r="N61" s="29" t="s">
        <v>179</v>
      </c>
      <c r="O61" s="29" t="s">
        <v>179</v>
      </c>
      <c r="S61" s="2" t="str">
        <f t="shared" si="1"/>
        <v>Trichlorethen</v>
      </c>
      <c r="T61"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v>
      </c>
    </row>
    <row r="62" spans="5:20" x14ac:dyDescent="0.2">
      <c r="F62" s="3" t="s">
        <v>50</v>
      </c>
      <c r="G62" s="4" t="str">
        <f>IF((IFERROR(SEARCH(K62,Rådata!$B$1000),-1)+IFERROR(SEARCH(L62,Rådata!$B$1000),-1)+IFERROR(SEARCH(M62,Rådata!$B$1000),-1)+IFERROR(SEARCH(N62,Rådata!$B$1000),-1)+IFERROR(SEARCH(O62,Rådata!$B$1000),-1))&gt;0,"-","NEJ")</f>
        <v>NEJ</v>
      </c>
      <c r="K62" s="29" t="str">
        <f t="shared" si="6"/>
        <v>Tetrachlorethen</v>
      </c>
      <c r="L62" s="29" t="s">
        <v>203</v>
      </c>
      <c r="M62" s="29" t="s">
        <v>179</v>
      </c>
      <c r="N62" s="29" t="s">
        <v>179</v>
      </c>
      <c r="O62" s="29" t="s">
        <v>179</v>
      </c>
      <c r="S62" s="2" t="str">
        <f t="shared" si="1"/>
        <v>Tetrachlorethen</v>
      </c>
      <c r="T62"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v>
      </c>
    </row>
    <row r="63" spans="5:20" x14ac:dyDescent="0.2">
      <c r="F63" s="3" t="s">
        <v>43</v>
      </c>
      <c r="G63" s="4" t="str">
        <f>IF((IFERROR(SEARCH(K63,Rådata!$B$1000),-1)+IFERROR(SEARCH(L63,Rådata!$B$1000),-1)+IFERROR(SEARCH(M63,Rådata!$B$1000),-1)+IFERROR(SEARCH(N63,Rådata!$B$1000),-1)+IFERROR(SEARCH(O63,Rådata!$B$1000),-1))&gt;0,"-","NEJ")</f>
        <v>NEJ</v>
      </c>
      <c r="K63" s="29" t="str">
        <f t="shared" si="6"/>
        <v>1,1-dichlorethen</v>
      </c>
      <c r="L63" s="29" t="s">
        <v>204</v>
      </c>
      <c r="M63" s="29" t="s">
        <v>179</v>
      </c>
      <c r="N63" s="29" t="s">
        <v>179</v>
      </c>
      <c r="O63" s="29" t="s">
        <v>179</v>
      </c>
      <c r="S63" s="2" t="str">
        <f t="shared" si="1"/>
        <v>1,1-dichlorethen</v>
      </c>
      <c r="T63"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v>
      </c>
    </row>
    <row r="64" spans="5:20" x14ac:dyDescent="0.2">
      <c r="F64" s="3" t="s">
        <v>230</v>
      </c>
      <c r="G64" s="4" t="str">
        <f>IF((IFERROR(SEARCH(K64,Rådata!$B$1000),-1)+IFERROR(SEARCH(L64,Rådata!$B$1000),-1)+IFERROR(SEARCH(M64,Rådata!$B$1000),-1)+IFERROR(SEARCH(N64,Rådata!$B$1000),-1)+IFERROR(SEARCH(O64,Rådata!$B$1000),-1))&gt;0,"-","NEJ")</f>
        <v>NEJ</v>
      </c>
      <c r="K64" s="29" t="str">
        <f t="shared" si="6"/>
        <v>Cis-1,2-dichlorethen</v>
      </c>
      <c r="L64" s="29" t="s">
        <v>205</v>
      </c>
      <c r="M64" s="29" t="s">
        <v>255</v>
      </c>
      <c r="N64" s="29" t="s">
        <v>179</v>
      </c>
      <c r="O64" s="29" t="s">
        <v>179</v>
      </c>
      <c r="S64" s="2" t="str">
        <f t="shared" si="1"/>
        <v>Cis-1,2-dichlorethen</v>
      </c>
      <c r="T64"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v>
      </c>
    </row>
    <row r="65" spans="5:20" x14ac:dyDescent="0.2">
      <c r="F65" s="3" t="s">
        <v>93</v>
      </c>
      <c r="G65" s="4" t="str">
        <f>IF((IFERROR(SEARCH(K65,Rådata!$B$1000),-1)+IFERROR(SEARCH(L65,Rådata!$B$1000),-1)+IFERROR(SEARCH(M65,Rådata!$B$1000),-1)+IFERROR(SEARCH(N65,Rådata!$B$1000),-1)+IFERROR(SEARCH(O65,Rådata!$B$1000),-1))&gt;0,"-","NEJ")</f>
        <v>NEJ</v>
      </c>
      <c r="K65" s="29" t="str">
        <f t="shared" si="6"/>
        <v>Trans-1,2-dichlorethen</v>
      </c>
      <c r="L65" s="29" t="s">
        <v>206</v>
      </c>
      <c r="M65" s="29" t="s">
        <v>250</v>
      </c>
      <c r="N65" s="29" t="s">
        <v>179</v>
      </c>
      <c r="O65" s="29" t="s">
        <v>179</v>
      </c>
      <c r="S65" s="2" t="str">
        <f t="shared" si="1"/>
        <v>Trans-1,2-dichlorethen</v>
      </c>
      <c r="T65"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v>
      </c>
    </row>
    <row r="66" spans="5:20" x14ac:dyDescent="0.2">
      <c r="F66" s="3" t="s">
        <v>45</v>
      </c>
      <c r="G66" s="4" t="str">
        <f>IF((IFERROR(SEARCH(K66,Rådata!$B$1000),-1)+IFERROR(SEARCH(L66,Rådata!$B$1000),-1)+IFERROR(SEARCH(M66,Rådata!$B$1000),-1)+IFERROR(SEARCH(N66,Rådata!$B$1000),-1)+IFERROR(SEARCH(O66,Rådata!$B$1000),-1))&gt;0,"-","NEJ")</f>
        <v>NEJ</v>
      </c>
      <c r="K66" s="29" t="str">
        <f t="shared" si="6"/>
        <v>1,1,1-trichlorethan</v>
      </c>
      <c r="L66" s="29" t="s">
        <v>179</v>
      </c>
      <c r="M66" s="29" t="s">
        <v>179</v>
      </c>
      <c r="N66" s="29" t="s">
        <v>179</v>
      </c>
      <c r="O66" s="29" t="s">
        <v>179</v>
      </c>
      <c r="S66" s="2" t="str">
        <f t="shared" si="1"/>
        <v>1,1,1-trichlorethan</v>
      </c>
      <c r="T66"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v>
      </c>
    </row>
    <row r="67" spans="5:20" x14ac:dyDescent="0.2">
      <c r="F67" s="3" t="s">
        <v>46</v>
      </c>
      <c r="G67" s="4" t="str">
        <f>IF((IFERROR(SEARCH(K67,Rådata!$B$1000),-1)+IFERROR(SEARCH(L67,Rådata!$B$1000),-1)+IFERROR(SEARCH(M67,Rådata!$B$1000),-1)+IFERROR(SEARCH(N67,Rådata!$B$1000),-1)+IFERROR(SEARCH(O67,Rådata!$B$1000),-1))&gt;0,"-","NEJ")</f>
        <v>NEJ</v>
      </c>
      <c r="K67" s="29" t="str">
        <f t="shared" si="6"/>
        <v>1,1,2-trichlorethan</v>
      </c>
      <c r="L67" s="29" t="s">
        <v>179</v>
      </c>
      <c r="M67" s="29" t="s">
        <v>179</v>
      </c>
      <c r="N67" s="29" t="s">
        <v>179</v>
      </c>
      <c r="O67" s="29" t="s">
        <v>179</v>
      </c>
      <c r="S67" s="2" t="str">
        <f t="shared" si="1"/>
        <v>1,1,2-trichlorethan</v>
      </c>
      <c r="T67"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v>
      </c>
    </row>
    <row r="68" spans="5:20" x14ac:dyDescent="0.2">
      <c r="F68" s="3" t="s">
        <v>49</v>
      </c>
      <c r="G68" s="4" t="str">
        <f>IF((IFERROR(SEARCH(K68,Rådata!$B$1000),-1)+IFERROR(SEARCH(L68,Rådata!$B$1000),-1)+IFERROR(SEARCH(M68,Rådata!$B$1000),-1)+IFERROR(SEARCH(N68,Rådata!$B$1000),-1)+IFERROR(SEARCH(O68,Rådata!$B$1000),-1))&gt;0,"-","NEJ")</f>
        <v>NEJ</v>
      </c>
      <c r="K68" s="29" t="str">
        <f t="shared" si="6"/>
        <v>1,1,2,2-tetrachlorethan</v>
      </c>
      <c r="L68" s="29" t="s">
        <v>179</v>
      </c>
      <c r="M68" s="29" t="s">
        <v>179</v>
      </c>
      <c r="N68" s="29" t="s">
        <v>179</v>
      </c>
      <c r="O68" s="29" t="s">
        <v>179</v>
      </c>
      <c r="S68" s="2" t="str">
        <f t="shared" si="1"/>
        <v>1,1,2,2-tetrachlorethan</v>
      </c>
      <c r="T68"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v>
      </c>
    </row>
    <row r="69" spans="5:20" x14ac:dyDescent="0.2">
      <c r="F69" s="10" t="s">
        <v>48</v>
      </c>
      <c r="G69" s="4" t="str">
        <f>IF((IFERROR(SEARCH(K69,Rådata!$B$1000),-1)+IFERROR(SEARCH(L69,Rådata!$B$1000),-1)+IFERROR(SEARCH(M69,Rådata!$B$1000),-1)+IFERROR(SEARCH(N69,Rådata!$B$1000),-1)+IFERROR(SEARCH(O69,Rådata!$B$1000),-1))&gt;0,"-","NEJ")</f>
        <v>NEJ</v>
      </c>
      <c r="K69" s="29" t="str">
        <f t="shared" si="6"/>
        <v>1,1,1,2-tetrachlorethan</v>
      </c>
      <c r="L69" s="29" t="s">
        <v>179</v>
      </c>
      <c r="M69" s="29" t="s">
        <v>179</v>
      </c>
      <c r="N69" s="29" t="s">
        <v>179</v>
      </c>
      <c r="O69" s="29" t="s">
        <v>179</v>
      </c>
      <c r="S69" s="2" t="str">
        <f t="shared" si="1"/>
        <v>1,1,1,2-tetrachlorethan</v>
      </c>
      <c r="T6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v>
      </c>
    </row>
    <row r="70" spans="5:20" x14ac:dyDescent="0.2">
      <c r="E70" s="53" t="s">
        <v>88</v>
      </c>
      <c r="F70" s="53"/>
      <c r="G70" s="13"/>
      <c r="H70" s="13" t="str">
        <f>IF(IFERROR(SEARCH("NEJ",CONCATENATE(" ",G71)),1)=1,"OK","NEJ")</f>
        <v>NEJ</v>
      </c>
      <c r="K70" s="28"/>
      <c r="L70" s="29"/>
      <c r="M70" s="29"/>
      <c r="N70" s="29"/>
      <c r="O70" s="29"/>
      <c r="T7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v>
      </c>
    </row>
    <row r="71" spans="5:20" x14ac:dyDescent="0.2">
      <c r="F71" s="7" t="s">
        <v>10</v>
      </c>
      <c r="G71" s="4" t="str">
        <f>IF((IFERROR(SEARCH(K71,Rådata!$B$1000),-1)+IFERROR(SEARCH(L71,Rådata!$B$1000),-1)+IFERROR(SEARCH(M71,Rådata!$B$1000),-1)+IFERROR(SEARCH(N71,Rådata!$B$1000),-1)+IFERROR(SEARCH(O71,Rådata!$B$1000),-1))&gt;0,"-","NEJ")</f>
        <v>NEJ</v>
      </c>
      <c r="K71" s="29" t="str">
        <f>F71</f>
        <v>Benzen</v>
      </c>
      <c r="L71" s="29" t="s">
        <v>179</v>
      </c>
      <c r="M71" s="29" t="s">
        <v>179</v>
      </c>
      <c r="N71" s="29" t="s">
        <v>179</v>
      </c>
      <c r="O71" s="29" t="s">
        <v>179</v>
      </c>
      <c r="S71" s="2" t="str">
        <f t="shared" ref="S71:S135" si="7">IF(G71="NEJ",F71,"")</f>
        <v>Benzen</v>
      </c>
      <c r="T71"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v>
      </c>
    </row>
    <row r="72" spans="5:20" x14ac:dyDescent="0.2">
      <c r="E72" s="53" t="s">
        <v>89</v>
      </c>
      <c r="F72" s="53"/>
      <c r="G72" s="13"/>
      <c r="H72" s="13" t="str">
        <f>IF(IFERROR(SEARCH("NEJ",CONCATENATE(" ",G73,G74,G75,G76,G77,G78)),1)=1,"OK","NEJ")</f>
        <v>NEJ</v>
      </c>
      <c r="K72" s="28"/>
      <c r="L72" s="29"/>
      <c r="M72" s="29"/>
      <c r="N72" s="29"/>
      <c r="O72" s="29"/>
      <c r="T72"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v>
      </c>
    </row>
    <row r="73" spans="5:20" x14ac:dyDescent="0.2">
      <c r="F73" s="9" t="s">
        <v>12</v>
      </c>
      <c r="G73" s="4" t="str">
        <f>IF((IFERROR(SEARCH(K73,Rådata!$B$1000),-1)+IFERROR(SEARCH(L73,Rådata!$B$1000),-1)+IFERROR(SEARCH(M73,Rådata!$B$1000),-1)+IFERROR(SEARCH(N73,Rådata!$B$1000),-1)+IFERROR(SEARCH(O73,Rådata!$B$1000),-1))&gt;0,"-","NEJ")</f>
        <v>NEJ</v>
      </c>
      <c r="K73" s="29" t="str">
        <f>F73</f>
        <v>Benzo(a)pyren</v>
      </c>
      <c r="L73" s="29" t="s">
        <v>248</v>
      </c>
      <c r="M73" s="29" t="s">
        <v>293</v>
      </c>
      <c r="N73" s="29" t="s">
        <v>179</v>
      </c>
      <c r="O73" s="29" t="s">
        <v>179</v>
      </c>
      <c r="S73" s="2" t="str">
        <f t="shared" si="7"/>
        <v>Benzo(a)pyren</v>
      </c>
      <c r="T73"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v>
      </c>
    </row>
    <row r="74" spans="5:20" x14ac:dyDescent="0.2">
      <c r="F74" s="3" t="s">
        <v>11</v>
      </c>
      <c r="G74" s="4" t="str">
        <f>IF((IFERROR(SEARCH(K74,Rådata!$B$1000),-1)+IFERROR(SEARCH(L74,Rådata!$B$1000),-1)+IFERROR(SEARCH(M74,Rådata!$B$1000),-1)+IFERROR(SEARCH(N74,Rådata!$B$1000),-1)+IFERROR(SEARCH(O74,Rådata!$B$1000),-1))&gt;0,"-","NEJ")</f>
        <v>NEJ</v>
      </c>
      <c r="K74" s="29" t="str">
        <f>F74</f>
        <v>Fluoranthen</v>
      </c>
      <c r="L74" s="29" t="s">
        <v>179</v>
      </c>
      <c r="M74" s="29" t="s">
        <v>179</v>
      </c>
      <c r="N74" s="29" t="s">
        <v>179</v>
      </c>
      <c r="O74" s="29" t="s">
        <v>179</v>
      </c>
      <c r="S74" s="2" t="str">
        <f t="shared" si="7"/>
        <v>Fluoranthen</v>
      </c>
      <c r="T74"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v>
      </c>
    </row>
    <row r="75" spans="5:20" x14ac:dyDescent="0.2">
      <c r="F75" s="3" t="s">
        <v>231</v>
      </c>
      <c r="G75" s="4" t="str">
        <f>IF((IFERROR(SEARCH(K75,Rådata!$B$1000),-1)+IFERROR(SEARCH(L75,Rådata!$B$1000),-1)+IFERROR(SEARCH(M75,Rådata!$B$1000),-1)+IFERROR(SEARCH(N75,Rådata!$B$1000),-1)+IFERROR(SEARCH(O75,Rådata!$B$1000),-1))&gt;0,"-","NEJ")</f>
        <v>NEJ</v>
      </c>
      <c r="K75" s="29" t="str">
        <f>F75</f>
        <v>Benzo(b)fluoranthen</v>
      </c>
      <c r="L75" s="29" t="s">
        <v>207</v>
      </c>
      <c r="M75" s="29" t="s">
        <v>249</v>
      </c>
      <c r="N75" s="29" t="s">
        <v>294</v>
      </c>
      <c r="O75" s="29" t="s">
        <v>179</v>
      </c>
      <c r="S75" s="2" t="str">
        <f t="shared" si="7"/>
        <v>Benzo(b)fluoranthen</v>
      </c>
      <c r="T75"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v>
      </c>
    </row>
    <row r="76" spans="5:20" x14ac:dyDescent="0.2">
      <c r="F76" s="3" t="s">
        <v>232</v>
      </c>
      <c r="G76" s="4" t="str">
        <f>IF((IFERROR(SEARCH(K76,Rådata!$B$1000),-1)+IFERROR(SEARCH(L76,Rådata!$B$1000),-1)+IFERROR(SEARCH(M76,Rådata!$B$1000),-1)+IFERROR(SEARCH(N76,Rådata!$B$1000),-1)+IFERROR(SEARCH(O76,Rådata!$B$1000),-1))&gt;0,"-","NEJ")</f>
        <v>NEJ</v>
      </c>
      <c r="K76" s="29" t="str">
        <f>F76</f>
        <v>Benzo(k)fluoranthen</v>
      </c>
      <c r="L76" s="29" t="s">
        <v>207</v>
      </c>
      <c r="M76" s="29" t="s">
        <v>256</v>
      </c>
      <c r="N76" s="29" t="s">
        <v>294</v>
      </c>
      <c r="O76" s="29" t="s">
        <v>179</v>
      </c>
      <c r="S76" s="2" t="str">
        <f t="shared" si="7"/>
        <v>Benzo(k)fluoranthen</v>
      </c>
      <c r="T76"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v>
      </c>
    </row>
    <row r="77" spans="5:20" x14ac:dyDescent="0.2">
      <c r="F77" s="3" t="s">
        <v>233</v>
      </c>
      <c r="G77" s="4" t="str">
        <f>IF((IFERROR(SEARCH(K77,Rådata!$B$1000),-1)+IFERROR(SEARCH(L77,Rådata!$B$1000),-1)+IFERROR(SEARCH(M77,Rådata!$B$1000),-1)+IFERROR(SEARCH(N77,Rådata!$B$1000),-1)+IFERROR(SEARCH(O77,Rådata!$B$1000),-1))&gt;0,"-","NEJ")</f>
        <v>NEJ</v>
      </c>
      <c r="K77" s="29" t="s">
        <v>130</v>
      </c>
      <c r="L77" s="29" t="s">
        <v>295</v>
      </c>
      <c r="M77" s="29" t="s">
        <v>257</v>
      </c>
      <c r="N77" s="29" t="s">
        <v>179</v>
      </c>
      <c r="O77" s="29" t="s">
        <v>179</v>
      </c>
      <c r="S77" s="2" t="str">
        <f t="shared" si="7"/>
        <v>Benzo(ghi)perylen</v>
      </c>
      <c r="T77"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v>
      </c>
    </row>
    <row r="78" spans="5:20" x14ac:dyDescent="0.2">
      <c r="F78" s="10" t="s">
        <v>234</v>
      </c>
      <c r="G78" s="4" t="str">
        <f>IF((IFERROR(SEARCH(K78,Rådata!$B$1000),-1)+IFERROR(SEARCH(L78,Rådata!$B$1000),-1)+IFERROR(SEARCH(M78,Rådata!$B$1000),-1)+IFERROR(SEARCH(N78,Rådata!$B$1000),-1)+IFERROR(SEARCH(O78,Rådata!$B$1000),-1))&gt;0,"-","NEJ")</f>
        <v>NEJ</v>
      </c>
      <c r="K78" s="29" t="str">
        <f>F78</f>
        <v>Indeno(1,2,3-cd)pyren</v>
      </c>
      <c r="L78" s="29" t="s">
        <v>179</v>
      </c>
      <c r="M78" s="29" t="s">
        <v>179</v>
      </c>
      <c r="N78" s="29" t="s">
        <v>179</v>
      </c>
      <c r="O78" s="29" t="s">
        <v>179</v>
      </c>
      <c r="S78" s="2" t="str">
        <f t="shared" si="7"/>
        <v>Indeno(1,2,3-cd)pyren</v>
      </c>
      <c r="T78"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v>
      </c>
    </row>
    <row r="79" spans="5:20" x14ac:dyDescent="0.2">
      <c r="E79" s="53" t="s">
        <v>90</v>
      </c>
      <c r="F79" s="53"/>
      <c r="G79" s="13"/>
      <c r="H79" s="13" t="str">
        <f>IF(IFERROR(SEARCH("NEJ",CONCATENATE(" ",G80,G81,G82,G83,G84,G85,G86,G87,G88,G89,G90,G91,G92)),1)=1,"OK","NEJ")</f>
        <v>NEJ</v>
      </c>
      <c r="K79" s="28"/>
      <c r="L79" s="29"/>
      <c r="M79" s="29"/>
      <c r="N79" s="29"/>
      <c r="O79" s="29"/>
      <c r="T7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v>
      </c>
    </row>
    <row r="80" spans="5:20" x14ac:dyDescent="0.2">
      <c r="F80" s="9" t="s">
        <v>94</v>
      </c>
      <c r="G80" s="4" t="str">
        <f>IF((IFERROR(SEARCH(K80,Rådata!$B$1000),-1)+IFERROR(SEARCH(L80,Rådata!$B$1000),-1)+IFERROR(SEARCH(M80,Rådata!$B$1000),-1)+IFERROR(SEARCH(N80,Rådata!$B$1000),-1)+IFERROR(SEARCH(O80,Rådata!$B$1000),-1))&gt;0,"-","NEJ")</f>
        <v>NEJ</v>
      </c>
      <c r="K80" s="29" t="s">
        <v>131</v>
      </c>
      <c r="L80" s="29" t="s">
        <v>281</v>
      </c>
      <c r="M80" s="29" t="s">
        <v>179</v>
      </c>
      <c r="N80" s="29" t="s">
        <v>179</v>
      </c>
      <c r="O80" s="29" t="s">
        <v>179</v>
      </c>
      <c r="S80" s="2" t="str">
        <f t="shared" si="7"/>
        <v>PFBS (perfluorbutansulfonsyre)</v>
      </c>
      <c r="T8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v>
      </c>
    </row>
    <row r="81" spans="5:20" x14ac:dyDescent="0.2">
      <c r="F81" s="3" t="s">
        <v>95</v>
      </c>
      <c r="G81" s="4" t="str">
        <f>IF((IFERROR(SEARCH(K81,Rådata!$B$1000),-1)+IFERROR(SEARCH(L81,Rådata!$B$1000),-1)+IFERROR(SEARCH(M81,Rådata!$B$1000),-1)+IFERROR(SEARCH(N81,Rådata!$B$1000),-1)+IFERROR(SEARCH(O81,Rådata!$B$1000),-1))&gt;0,"-","NEJ")</f>
        <v>NEJ</v>
      </c>
      <c r="K81" s="29" t="s">
        <v>132</v>
      </c>
      <c r="L81" s="29" t="s">
        <v>282</v>
      </c>
      <c r="M81" s="29" t="s">
        <v>179</v>
      </c>
      <c r="N81" s="29" t="s">
        <v>179</v>
      </c>
      <c r="O81" s="29" t="s">
        <v>179</v>
      </c>
      <c r="S81" s="2" t="str">
        <f t="shared" si="7"/>
        <v>PFHxS (perfluorhexansulfonsyre)</v>
      </c>
      <c r="T81"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v>
      </c>
    </row>
    <row r="82" spans="5:20" x14ac:dyDescent="0.2">
      <c r="F82" s="3" t="s">
        <v>96</v>
      </c>
      <c r="G82" s="4" t="str">
        <f>IF((IFERROR(SEARCH(K82,Rådata!$B$1000),-1)+IFERROR(SEARCH(L82,Rådata!$B$1000),-1)+IFERROR(SEARCH(M82,Rådata!$B$1000),-1)+IFERROR(SEARCH(N82,Rådata!$B$1000),-1)+IFERROR(SEARCH(O82,Rådata!$B$1000),-1))&gt;0,"-","NEJ")</f>
        <v>NEJ</v>
      </c>
      <c r="K82" s="29" t="s">
        <v>140</v>
      </c>
      <c r="L82" s="29" t="s">
        <v>283</v>
      </c>
      <c r="M82" s="29" t="s">
        <v>179</v>
      </c>
      <c r="N82" s="29" t="s">
        <v>179</v>
      </c>
      <c r="O82" s="29" t="s">
        <v>179</v>
      </c>
      <c r="S82" s="2" t="str">
        <f t="shared" si="7"/>
        <v>PFOS (perfluoroctansulfonsyre)</v>
      </c>
      <c r="T82"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v>
      </c>
    </row>
    <row r="83" spans="5:20" x14ac:dyDescent="0.2">
      <c r="F83" s="3" t="s">
        <v>97</v>
      </c>
      <c r="G83" s="4" t="str">
        <f>IF((IFERROR(SEARCH(K83,Rådata!$B$1000),-1)+IFERROR(SEARCH(L83,Rådata!$B$1000),-1)+IFERROR(SEARCH(M83,Rådata!$B$1000),-1)+IFERROR(SEARCH(N83,Rådata!$B$1000),-1)+IFERROR(SEARCH(O83,Rådata!$B$1000),-1))&gt;0,"-","NEJ")</f>
        <v>NEJ</v>
      </c>
      <c r="K83" s="29" t="s">
        <v>141</v>
      </c>
      <c r="L83" s="29" t="s">
        <v>284</v>
      </c>
      <c r="M83" s="29" t="s">
        <v>179</v>
      </c>
      <c r="N83" s="29" t="s">
        <v>179</v>
      </c>
      <c r="O83" s="29" t="s">
        <v>179</v>
      </c>
      <c r="S83" s="2" t="str">
        <f t="shared" si="7"/>
        <v>PFOSA (perfluoroctansulfonamid)</v>
      </c>
      <c r="T83"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v>
      </c>
    </row>
    <row r="84" spans="5:20" x14ac:dyDescent="0.2">
      <c r="F84" s="3" t="s">
        <v>98</v>
      </c>
      <c r="G84" s="4" t="str">
        <f>IF((IFERROR(SEARCH(K84,Rådata!$B$1000),-1)+IFERROR(SEARCH(L84,Rådata!$B$1000),-1)+IFERROR(SEARCH(M84,Rådata!$B$1000),-1)+IFERROR(SEARCH(N84,Rådata!$B$1000),-1)+IFERROR(SEARCH(O84,Rådata!$B$1000),-1))&gt;0,"-","NEJ")</f>
        <v>NEJ</v>
      </c>
      <c r="K84" s="29" t="s">
        <v>142</v>
      </c>
      <c r="L84" s="29" t="s">
        <v>208</v>
      </c>
      <c r="M84" s="29" t="s">
        <v>260</v>
      </c>
      <c r="N84" s="29" t="s">
        <v>179</v>
      </c>
      <c r="O84" s="29" t="s">
        <v>179</v>
      </c>
      <c r="S84" s="2" t="str">
        <f t="shared" si="7"/>
        <v>6:2 FTS (6:2 fluorotelomersulfonsyre)</v>
      </c>
      <c r="T84"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v>
      </c>
    </row>
    <row r="85" spans="5:20" x14ac:dyDescent="0.2">
      <c r="F85" s="3" t="s">
        <v>99</v>
      </c>
      <c r="G85" s="4" t="str">
        <f>IF((IFERROR(SEARCH(K85,Rådata!$B$1000),-1)+IFERROR(SEARCH(L85,Rådata!$B$1000),-1)+IFERROR(SEARCH(M85,Rådata!$B$1000),-1)+IFERROR(SEARCH(N85,Rådata!$B$1000),-1)+IFERROR(SEARCH(O85,Rådata!$B$1000),-1))&gt;0,"-","NEJ")</f>
        <v>NEJ</v>
      </c>
      <c r="K85" s="29" t="s">
        <v>133</v>
      </c>
      <c r="L85" s="29" t="s">
        <v>285</v>
      </c>
      <c r="M85" s="29" t="s">
        <v>179</v>
      </c>
      <c r="N85" s="29" t="s">
        <v>179</v>
      </c>
      <c r="O85" s="29" t="s">
        <v>179</v>
      </c>
      <c r="S85" s="2" t="str">
        <f t="shared" si="7"/>
        <v>PFBA (perfluorbutansyre)</v>
      </c>
      <c r="T85"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v>
      </c>
    </row>
    <row r="86" spans="5:20" x14ac:dyDescent="0.2">
      <c r="F86" s="3" t="s">
        <v>100</v>
      </c>
      <c r="G86" s="4" t="str">
        <f>IF((IFERROR(SEARCH(K86,Rådata!$B$1000),-1)+IFERROR(SEARCH(L86,Rådata!$B$1000),-1)+IFERROR(SEARCH(M86,Rådata!$B$1000),-1)+IFERROR(SEARCH(N86,Rådata!$B$1000),-1)+IFERROR(SEARCH(O86,Rådata!$B$1000),-1))&gt;0,"-","NEJ")</f>
        <v>NEJ</v>
      </c>
      <c r="K86" s="29" t="s">
        <v>134</v>
      </c>
      <c r="L86" s="29" t="s">
        <v>288</v>
      </c>
      <c r="M86" s="29" t="s">
        <v>179</v>
      </c>
      <c r="N86" s="29" t="s">
        <v>179</v>
      </c>
      <c r="O86" s="29" t="s">
        <v>179</v>
      </c>
      <c r="S86" s="2" t="str">
        <f t="shared" si="7"/>
        <v>PFPeA (perfluorpentansyre)</v>
      </c>
      <c r="T86"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v>
      </c>
    </row>
    <row r="87" spans="5:20" x14ac:dyDescent="0.2">
      <c r="F87" s="3" t="s">
        <v>101</v>
      </c>
      <c r="G87" s="4" t="str">
        <f>IF((IFERROR(SEARCH(K87,Rådata!$B$1000),-1)+IFERROR(SEARCH(L87,Rådata!$B$1000),-1)+IFERROR(SEARCH(M87,Rådata!$B$1000),-1)+IFERROR(SEARCH(N87,Rådata!$B$1000),-1)+IFERROR(SEARCH(O87,Rådata!$B$1000),-1))&gt;0,"-","NEJ")</f>
        <v>NEJ</v>
      </c>
      <c r="K87" s="29" t="s">
        <v>135</v>
      </c>
      <c r="L87" s="29" t="s">
        <v>210</v>
      </c>
      <c r="M87" s="29" t="s">
        <v>286</v>
      </c>
      <c r="N87" s="29" t="s">
        <v>179</v>
      </c>
      <c r="O87" s="29" t="s">
        <v>179</v>
      </c>
      <c r="S87" s="2" t="str">
        <f t="shared" si="7"/>
        <v>PFHxA (perfluorhexansyre)</v>
      </c>
      <c r="T87"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v>
      </c>
    </row>
    <row r="88" spans="5:20" x14ac:dyDescent="0.2">
      <c r="F88" s="3" t="s">
        <v>102</v>
      </c>
      <c r="G88" s="4" t="str">
        <f>IF((IFERROR(SEARCH(K88,Rådata!$B$1000),-1)+IFERROR(SEARCH(L88,Rådata!$B$1000),-1)+IFERROR(SEARCH(M88,Rådata!$B$1000),-1)+IFERROR(SEARCH(N88,Rådata!$B$1000),-1)+IFERROR(SEARCH(O88,Rådata!$B$1000),-1))&gt;0,"-","NEJ")</f>
        <v>NEJ</v>
      </c>
      <c r="K88" s="29" t="s">
        <v>136</v>
      </c>
      <c r="L88" s="29" t="s">
        <v>211</v>
      </c>
      <c r="M88" s="29" t="s">
        <v>287</v>
      </c>
      <c r="N88" s="29" t="s">
        <v>179</v>
      </c>
      <c r="O88" s="29" t="s">
        <v>179</v>
      </c>
      <c r="S88" s="2" t="str">
        <f t="shared" si="7"/>
        <v>PFHpA (perfluorheptansyre)</v>
      </c>
      <c r="T88"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v>
      </c>
    </row>
    <row r="89" spans="5:20" x14ac:dyDescent="0.2">
      <c r="F89" s="3" t="s">
        <v>103</v>
      </c>
      <c r="G89" s="4" t="str">
        <f>IF((IFERROR(SEARCH(K89,Rådata!$B$1000),-1)+IFERROR(SEARCH(L89,Rådata!$B$1000),-1)+IFERROR(SEARCH(M89,Rådata!$B$1000),-1)+IFERROR(SEARCH(N89,Rådata!$B$1000),-1)+IFERROR(SEARCH(O89,Rådata!$B$1000),-1))&gt;0,"-","NEJ")</f>
        <v>NEJ</v>
      </c>
      <c r="K89" s="29" t="s">
        <v>139</v>
      </c>
      <c r="L89" s="29" t="s">
        <v>289</v>
      </c>
      <c r="M89" s="29" t="s">
        <v>179</v>
      </c>
      <c r="N89" s="29" t="s">
        <v>179</v>
      </c>
      <c r="O89" s="29" t="s">
        <v>179</v>
      </c>
      <c r="S89" s="2" t="str">
        <f t="shared" si="7"/>
        <v>PFOA (perfluoroctansyre)</v>
      </c>
      <c r="T89" t="str">
        <f t="shared" ref="T89:T154" si="8">IF(S89="",T88,T88&amp;", "&amp;S89)</f>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v>
      </c>
    </row>
    <row r="90" spans="5:20" x14ac:dyDescent="0.2">
      <c r="F90" s="3" t="s">
        <v>104</v>
      </c>
      <c r="G90" s="4" t="str">
        <f>IF((IFERROR(SEARCH(K90,Rådata!$B$1000),-1)+IFERROR(SEARCH(L90,Rådata!$B$1000),-1)+IFERROR(SEARCH(M90,Rådata!$B$1000),-1)+IFERROR(SEARCH(N90,Rådata!$B$1000),-1)+IFERROR(SEARCH(O90,Rådata!$B$1000),-1))&gt;0,"-","NEJ")</f>
        <v>NEJ</v>
      </c>
      <c r="K90" s="29" t="s">
        <v>137</v>
      </c>
      <c r="L90" s="42" t="s">
        <v>212</v>
      </c>
      <c r="M90" s="29" t="s">
        <v>290</v>
      </c>
      <c r="N90" s="29" t="s">
        <v>179</v>
      </c>
      <c r="O90" s="29" t="s">
        <v>179</v>
      </c>
      <c r="S90" s="2" t="str">
        <f t="shared" si="7"/>
        <v>PFNA (perfluornonansyre)</v>
      </c>
      <c r="T9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v>
      </c>
    </row>
    <row r="91" spans="5:20" x14ac:dyDescent="0.2">
      <c r="F91" s="3" t="s">
        <v>105</v>
      </c>
      <c r="G91" s="4" t="str">
        <f>IF((IFERROR(SEARCH(K91,Rådata!$B$1000),-1)+IFERROR(SEARCH(L91,Rådata!$B$1000),-1)+IFERROR(SEARCH(M91,Rådata!$B$1000),-1)+IFERROR(SEARCH(N91,Rådata!$B$1000),-1)+IFERROR(SEARCH(O91,Rådata!$B$1000),-1))&gt;0,"-","NEJ")</f>
        <v>NEJ</v>
      </c>
      <c r="K91" s="29" t="s">
        <v>138</v>
      </c>
      <c r="L91" s="29" t="s">
        <v>213</v>
      </c>
      <c r="M91" s="29" t="s">
        <v>291</v>
      </c>
      <c r="N91" s="29" t="s">
        <v>179</v>
      </c>
      <c r="O91" s="29" t="s">
        <v>179</v>
      </c>
      <c r="S91" s="2" t="str">
        <f t="shared" si="7"/>
        <v>PFDA (perfluordecansyre)</v>
      </c>
      <c r="T91"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v>
      </c>
    </row>
    <row r="92" spans="5:20" x14ac:dyDescent="0.2">
      <c r="F92" s="10" t="s">
        <v>106</v>
      </c>
      <c r="G92" s="4" t="str">
        <f>IF((IFERROR(SEARCH(K92,Rådata!$B$1000),-1)+IFERROR(SEARCH(L92,Rådata!$B$1000),-1)+IFERROR(SEARCH(M92,Rådata!$B$1000),-1)+IFERROR(SEARCH(N92,Rådata!$B$1000),-1)+IFERROR(SEARCH(O92,Rådata!$B$1000),-1))&gt;0,"-","NEJ")</f>
        <v>NEJ</v>
      </c>
      <c r="K92" s="29" t="s">
        <v>13</v>
      </c>
      <c r="L92" s="29" t="s">
        <v>209</v>
      </c>
      <c r="M92" s="29" t="s">
        <v>106</v>
      </c>
      <c r="N92" s="29" t="s">
        <v>292</v>
      </c>
      <c r="O92" s="29" t="s">
        <v>179</v>
      </c>
      <c r="S92" s="2" t="str">
        <f t="shared" si="7"/>
        <v>Sum af PFAS</v>
      </c>
      <c r="T92"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v>
      </c>
    </row>
    <row r="93" spans="5:20" x14ac:dyDescent="0.2">
      <c r="E93" s="53" t="s">
        <v>107</v>
      </c>
      <c r="F93" s="53"/>
      <c r="G93" s="13"/>
      <c r="K93" s="28"/>
      <c r="L93" s="29"/>
      <c r="M93" s="29"/>
      <c r="N93" s="29"/>
      <c r="O93" s="29"/>
      <c r="T93"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v>
      </c>
    </row>
    <row r="94" spans="5:20" x14ac:dyDescent="0.2">
      <c r="E94" s="53" t="s">
        <v>108</v>
      </c>
      <c r="F94" s="53"/>
      <c r="G94" s="13"/>
      <c r="H94" s="13" t="str">
        <f>IF(IFERROR(SEARCH("NEJ",CONCATENATE(" ",G95,G96,G97,G98,G99,G100,G101,G102,G104,G105,G106,G107,G108,G109,G110,G111,G112)),1)=1,"OK","NEJ")</f>
        <v>NEJ</v>
      </c>
      <c r="K94" s="28"/>
      <c r="L94" s="29"/>
      <c r="M94" s="29"/>
      <c r="N94" s="29"/>
      <c r="O94" s="29"/>
      <c r="T94"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v>
      </c>
    </row>
    <row r="95" spans="5:20" x14ac:dyDescent="0.2">
      <c r="F95" s="9" t="s">
        <v>17</v>
      </c>
      <c r="G95" s="4" t="str">
        <f>IF((IFERROR(SEARCH(K95,Rådata!$B$1000),-1)+IFERROR(SEARCH(L95,Rådata!$B$1000),-1)+IFERROR(SEARCH(M95,Rådata!$B$1000),-1)+IFERROR(SEARCH(N95,Rådata!$B$1000),-1)+IFERROR(SEARCH(O95,Rådata!$B$1000),-1))&gt;0,"-","NEJ")</f>
        <v>NEJ</v>
      </c>
      <c r="K95" s="29" t="str">
        <f t="shared" ref="K95:K104" si="9">F95</f>
        <v>Aldrin</v>
      </c>
      <c r="L95" s="29" t="s">
        <v>179</v>
      </c>
      <c r="M95" s="29" t="s">
        <v>179</v>
      </c>
      <c r="N95" s="29" t="s">
        <v>179</v>
      </c>
      <c r="O95" s="29" t="s">
        <v>179</v>
      </c>
      <c r="S95" s="2" t="str">
        <f t="shared" si="7"/>
        <v>Aldrin</v>
      </c>
      <c r="T95"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v>
      </c>
    </row>
    <row r="96" spans="5:20" x14ac:dyDescent="0.2">
      <c r="F96" s="3" t="s">
        <v>235</v>
      </c>
      <c r="G96" s="4" t="str">
        <f>IF((IFERROR(SEARCH(K96,Rådata!$B$1000),-1)+IFERROR(SEARCH(L96,Rådata!$B$1000),-1)+IFERROR(SEARCH(M96,Rådata!$B$1000),-1)+IFERROR(SEARCH(N96,Rådata!$B$1000),-1)+IFERROR(SEARCH(O96,Rådata!$B$1000),-1))&gt;0,"-","NEJ")</f>
        <v>NEJ</v>
      </c>
      <c r="K96" s="29" t="str">
        <f t="shared" si="9"/>
        <v>Dieldrin</v>
      </c>
      <c r="L96" s="29" t="s">
        <v>179</v>
      </c>
      <c r="M96" s="29" t="s">
        <v>179</v>
      </c>
      <c r="N96" s="29" t="s">
        <v>179</v>
      </c>
      <c r="O96" s="29" t="s">
        <v>179</v>
      </c>
      <c r="S96" s="2" t="str">
        <f t="shared" si="7"/>
        <v>Dieldrin</v>
      </c>
      <c r="T96"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v>
      </c>
    </row>
    <row r="97" spans="6:20" x14ac:dyDescent="0.2">
      <c r="F97" s="3" t="s">
        <v>236</v>
      </c>
      <c r="G97" s="4" t="str">
        <f>IF((IFERROR(SEARCH(K97,Rådata!$B$1000),-1)+IFERROR(SEARCH(L97,Rådata!$B$1000),-1)+IFERROR(SEARCH(M97,Rådata!$B$1000),-1)+IFERROR(SEARCH(N97,Rådata!$B$1000),-1)+IFERROR(SEARCH(O97,Rådata!$B$1000),-1))&gt;0,"-","NEJ")</f>
        <v>NEJ</v>
      </c>
      <c r="K97" s="29" t="str">
        <f t="shared" si="9"/>
        <v>Heptachlor</v>
      </c>
      <c r="L97" s="29" t="s">
        <v>179</v>
      </c>
      <c r="M97" s="29" t="s">
        <v>179</v>
      </c>
      <c r="N97" s="29" t="s">
        <v>179</v>
      </c>
      <c r="O97" s="29" t="s">
        <v>179</v>
      </c>
      <c r="S97" s="2" t="str">
        <f t="shared" si="7"/>
        <v>Heptachlor</v>
      </c>
      <c r="T97"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v>
      </c>
    </row>
    <row r="98" spans="6:20" x14ac:dyDescent="0.2">
      <c r="F98" s="3" t="s">
        <v>237</v>
      </c>
      <c r="G98" s="4" t="str">
        <f>IF((IFERROR(SEARCH(K98,Rådata!$B$1000),-1)+IFERROR(SEARCH(L98,Rådata!$B$1000),-1)+IFERROR(SEARCH(M98,Rådata!$B$1000),-1)+IFERROR(SEARCH(N98,Rådata!$B$1000),-1)+IFERROR(SEARCH(O98,Rådata!$B$1000),-1))&gt;0,"-","NEJ")</f>
        <v>NEJ</v>
      </c>
      <c r="K98" s="29" t="str">
        <f t="shared" si="9"/>
        <v>Heptachlorepoxid</v>
      </c>
      <c r="L98" s="29" t="s">
        <v>179</v>
      </c>
      <c r="M98" s="29" t="s">
        <v>179</v>
      </c>
      <c r="N98" s="29" t="s">
        <v>179</v>
      </c>
      <c r="O98" s="29" t="s">
        <v>179</v>
      </c>
      <c r="S98" s="2" t="str">
        <f t="shared" si="7"/>
        <v>Heptachlorepoxid</v>
      </c>
      <c r="T98"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v>
      </c>
    </row>
    <row r="99" spans="6:20" x14ac:dyDescent="0.2">
      <c r="F99" s="3" t="s">
        <v>19</v>
      </c>
      <c r="G99" s="4" t="str">
        <f>IF((IFERROR(SEARCH(K99,Rådata!$B$1000),-1)+IFERROR(SEARCH(L99,Rådata!$B$1000),-1)+IFERROR(SEARCH(M99,Rådata!$B$1000),-1)+IFERROR(SEARCH(N99,Rådata!$B$1000),-1)+IFERROR(SEARCH(O99,Rådata!$B$1000),-1))&gt;0,"-","NEJ")</f>
        <v>NEJ</v>
      </c>
      <c r="K99" s="29" t="str">
        <f t="shared" si="9"/>
        <v>Atrazin</v>
      </c>
      <c r="L99" s="29" t="s">
        <v>179</v>
      </c>
      <c r="M99" s="29" t="s">
        <v>179</v>
      </c>
      <c r="N99" s="29" t="s">
        <v>179</v>
      </c>
      <c r="O99" s="29" t="s">
        <v>179</v>
      </c>
      <c r="S99" s="2" t="str">
        <f t="shared" si="7"/>
        <v>Atrazin</v>
      </c>
      <c r="T9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v>
      </c>
    </row>
    <row r="100" spans="6:20" x14ac:dyDescent="0.2">
      <c r="F100" s="3" t="s">
        <v>20</v>
      </c>
      <c r="G100" s="4" t="str">
        <f>IF((IFERROR(SEARCH(K100,Rådata!$B$1000),-1)+IFERROR(SEARCH(L100,Rådata!$B$1000),-1)+IFERROR(SEARCH(M100,Rådata!$B$1000),-1)+IFERROR(SEARCH(N100,Rådata!$B$1000),-1)+IFERROR(SEARCH(O100,Rådata!$B$1000),-1))&gt;0,"-","NEJ")</f>
        <v>NEJ</v>
      </c>
      <c r="K100" s="29" t="str">
        <f t="shared" si="9"/>
        <v>Bentazon</v>
      </c>
      <c r="L100" s="29" t="s">
        <v>179</v>
      </c>
      <c r="M100" s="29" t="s">
        <v>179</v>
      </c>
      <c r="N100" s="29" t="s">
        <v>179</v>
      </c>
      <c r="O100" s="29" t="s">
        <v>179</v>
      </c>
      <c r="S100" s="2" t="str">
        <f t="shared" si="7"/>
        <v>Bentazon</v>
      </c>
      <c r="T10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v>
      </c>
    </row>
    <row r="101" spans="6:20" x14ac:dyDescent="0.2">
      <c r="F101" s="3" t="s">
        <v>28</v>
      </c>
      <c r="G101" s="4" t="str">
        <f>IF((IFERROR(SEARCH(K101,Rådata!$B$1000),-1)+IFERROR(SEARCH(L101,Rådata!$B$1000),-1)+IFERROR(SEARCH(M101,Rådata!$B$1000),-1)+IFERROR(SEARCH(N101,Rådata!$B$1000),-1)+IFERROR(SEARCH(O101,Rådata!$B$1000),-1))&gt;0,"-","NEJ")</f>
        <v>NEJ</v>
      </c>
      <c r="K101" s="29" t="str">
        <f t="shared" si="9"/>
        <v>Dichlobenil</v>
      </c>
      <c r="L101" s="29" t="s">
        <v>179</v>
      </c>
      <c r="M101" s="29" t="s">
        <v>179</v>
      </c>
      <c r="N101" s="29" t="s">
        <v>179</v>
      </c>
      <c r="O101" s="29" t="s">
        <v>179</v>
      </c>
      <c r="S101" s="2" t="str">
        <f t="shared" si="7"/>
        <v>Dichlobenil</v>
      </c>
      <c r="T101" t="str">
        <f t="shared" ref="T101:T119" si="10">IF(S101="",T100,T100&amp;", "&amp;S101)</f>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v>
      </c>
    </row>
    <row r="102" spans="6:20" x14ac:dyDescent="0.2">
      <c r="F102" s="3" t="s">
        <v>109</v>
      </c>
      <c r="G102" s="4" t="str">
        <f>IF((IFERROR(SEARCH(K102,Rådata!$B$1000),-1)+IFERROR(SEARCH(L102,Rådata!$B$1000),-1)+IFERROR(SEARCH(M102,Rådata!$B$1000),-1)+IFERROR(SEARCH(N102,Rådata!$B$1000),-1)+IFERROR(SEARCH(O102,Rådata!$B$1000),-1))&gt;0,"-","NEJ")</f>
        <v>NEJ</v>
      </c>
      <c r="K102" s="29" t="str">
        <f t="shared" si="9"/>
        <v>Dichlorprop</v>
      </c>
      <c r="L102" s="29" t="s">
        <v>179</v>
      </c>
      <c r="M102" s="29" t="s">
        <v>179</v>
      </c>
      <c r="N102" s="29" t="s">
        <v>179</v>
      </c>
      <c r="O102" s="29" t="s">
        <v>179</v>
      </c>
      <c r="S102" s="2" t="str">
        <f t="shared" si="7"/>
        <v>Dichlorprop</v>
      </c>
      <c r="T102"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v>
      </c>
    </row>
    <row r="103" spans="6:20" x14ac:dyDescent="0.2">
      <c r="F103" s="3" t="s">
        <v>244</v>
      </c>
      <c r="G103" s="4" t="str">
        <f>IF((IFERROR(SEARCH(K103,Rådata!$B$1000),-1)+IFERROR(SEARCH(L103,Rådata!$B$1000),-1)+IFERROR(SEARCH(M103,Rådata!$B$1000),-1)+IFERROR(SEARCH(N103,Rådata!$B$1000),-1)+IFERROR(SEARCH(O103,Rådata!$B$1000),-1))&gt;0,"-","NEJ")</f>
        <v>NEJ</v>
      </c>
      <c r="K103" s="29" t="str">
        <f>F103</f>
        <v xml:space="preserve">DMS </v>
      </c>
      <c r="L103" s="29" t="s">
        <v>245</v>
      </c>
      <c r="M103" s="29" t="s">
        <v>179</v>
      </c>
      <c r="N103" s="29" t="s">
        <v>179</v>
      </c>
      <c r="O103" s="29" t="s">
        <v>179</v>
      </c>
      <c r="S103" s="2" t="str">
        <f t="shared" si="7"/>
        <v xml:space="preserve">DMS </v>
      </c>
      <c r="T103" t="str">
        <f t="shared" si="10"/>
        <v xml:space="preserve">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v>
      </c>
    </row>
    <row r="104" spans="6:20" x14ac:dyDescent="0.2">
      <c r="F104" s="3" t="s">
        <v>30</v>
      </c>
      <c r="G104" s="4" t="str">
        <f>IF((IFERROR(SEARCH(K104,Rådata!$B$1000),-1)+IFERROR(SEARCH(L104,Rådata!$B$1000),-1)+IFERROR(SEARCH(M104,Rådata!$B$1000),-1)+IFERROR(SEARCH(N104,Rådata!$B$1000),-1)+IFERROR(SEARCH(O104,Rådata!$B$1000),-1))&gt;0,"-","NEJ")</f>
        <v>NEJ</v>
      </c>
      <c r="K104" s="29" t="str">
        <f t="shared" si="9"/>
        <v>Diuron</v>
      </c>
      <c r="L104" s="29" t="s">
        <v>179</v>
      </c>
      <c r="M104" s="29" t="s">
        <v>179</v>
      </c>
      <c r="N104" s="29" t="s">
        <v>179</v>
      </c>
      <c r="O104" s="29" t="s">
        <v>179</v>
      </c>
      <c r="S104" s="2" t="str">
        <f t="shared" si="7"/>
        <v>Diuron</v>
      </c>
      <c r="T104"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v>
      </c>
    </row>
    <row r="105" spans="6:20" x14ac:dyDescent="0.2">
      <c r="F105" s="3" t="s">
        <v>110</v>
      </c>
      <c r="G105" s="4" t="str">
        <f>IF((IFERROR(SEARCH(K105,Rådata!$B$1000),-1)+IFERROR(SEARCH(L105,Rådata!$B$1000),-1)+IFERROR(SEARCH(M105,Rådata!$B$1000),-1)+IFERROR(SEARCH(N105,Rådata!$B$1000),-1)+IFERROR(SEARCH(O105,Rådata!$B$1000),-1))&gt;0,"-","NEJ")</f>
        <v>NEJ</v>
      </c>
      <c r="K105" s="29" t="s">
        <v>143</v>
      </c>
      <c r="L105" s="29" t="s">
        <v>264</v>
      </c>
      <c r="M105" s="29" t="s">
        <v>179</v>
      </c>
      <c r="N105" s="29" t="s">
        <v>179</v>
      </c>
      <c r="O105" s="29" t="s">
        <v>179</v>
      </c>
      <c r="S105" s="2" t="str">
        <f t="shared" si="7"/>
        <v>ETU (Ethylenthiourea)</v>
      </c>
      <c r="T105"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v>
      </c>
    </row>
    <row r="106" spans="6:20" x14ac:dyDescent="0.2">
      <c r="F106" s="3" t="s">
        <v>31</v>
      </c>
      <c r="G106" s="4" t="str">
        <f>IF((IFERROR(SEARCH(K106,Rådata!$B$1000),-1)+IFERROR(SEARCH(L106,Rådata!$B$1000),-1)+IFERROR(SEARCH(M106,Rådata!$B$1000),-1)+IFERROR(SEARCH(N106,Rådata!$B$1000),-1)+IFERROR(SEARCH(O106,Rådata!$B$1000),-1))&gt;0,"-","NEJ")</f>
        <v>NEJ</v>
      </c>
      <c r="K106" s="29" t="str">
        <f>F106</f>
        <v>Glyphosat</v>
      </c>
      <c r="L106" s="29" t="s">
        <v>179</v>
      </c>
      <c r="M106" s="29" t="s">
        <v>179</v>
      </c>
      <c r="N106" s="29" t="s">
        <v>179</v>
      </c>
      <c r="O106" s="29" t="s">
        <v>179</v>
      </c>
      <c r="S106" s="2" t="str">
        <f t="shared" si="7"/>
        <v>Glyphosat</v>
      </c>
      <c r="T106"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v>
      </c>
    </row>
    <row r="107" spans="6:20" x14ac:dyDescent="0.2">
      <c r="F107" s="3" t="s">
        <v>32</v>
      </c>
      <c r="G107" s="4" t="str">
        <f>IF((IFERROR(SEARCH(K107,Rådata!$B$1000),-1)+IFERROR(SEARCH(L107,Rådata!$B$1000),-1)+IFERROR(SEARCH(M107,Rådata!$B$1000),-1)+IFERROR(SEARCH(N107,Rådata!$B$1000),-1)+IFERROR(SEARCH(O107,Rådata!$B$1000),-1))&gt;0,"-","NEJ")</f>
        <v>NEJ</v>
      </c>
      <c r="K107" s="29" t="str">
        <f>F107</f>
        <v>Hexazinon</v>
      </c>
      <c r="L107" s="29" t="s">
        <v>179</v>
      </c>
      <c r="M107" s="29" t="s">
        <v>179</v>
      </c>
      <c r="N107" s="29" t="s">
        <v>179</v>
      </c>
      <c r="O107" s="29" t="s">
        <v>179</v>
      </c>
      <c r="S107" s="2" t="str">
        <f t="shared" si="7"/>
        <v>Hexazinon</v>
      </c>
      <c r="T107"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v>
      </c>
    </row>
    <row r="108" spans="6:20" x14ac:dyDescent="0.2">
      <c r="F108" s="3" t="s">
        <v>35</v>
      </c>
      <c r="G108" s="4" t="str">
        <f>IF((IFERROR(SEARCH(K108,Rådata!$B$1000),-1)+IFERROR(SEARCH(L108,Rådata!$B$1000),-1)+IFERROR(SEARCH(M108,Rådata!$B$1000),-1)+IFERROR(SEARCH(N108,Rådata!$B$1000),-1)+IFERROR(SEARCH(O108,Rådata!$B$1000),-1))&gt;0,"-","NEJ")</f>
        <v>NEJ</v>
      </c>
      <c r="K108" s="29" t="str">
        <f>F108</f>
        <v>MCPA</v>
      </c>
      <c r="L108" s="29" t="s">
        <v>179</v>
      </c>
      <c r="M108" s="29" t="s">
        <v>179</v>
      </c>
      <c r="N108" s="29" t="s">
        <v>179</v>
      </c>
      <c r="O108" s="29" t="s">
        <v>179</v>
      </c>
      <c r="S108" s="2" t="str">
        <f t="shared" si="7"/>
        <v>MCPA</v>
      </c>
      <c r="T108"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v>
      </c>
    </row>
    <row r="109" spans="6:20" x14ac:dyDescent="0.2">
      <c r="F109" s="3" t="s">
        <v>111</v>
      </c>
      <c r="G109" s="4" t="str">
        <f>IF((IFERROR(SEARCH(K109,Rådata!$B$1000),-1)+IFERROR(SEARCH(L109,Rådata!$B$1000),-1)+IFERROR(SEARCH(M109,Rådata!$B$1000),-1)+IFERROR(SEARCH(N109,Rådata!$B$1000),-1)+IFERROR(SEARCH(O109,Rådata!$B$1000),-1))&gt;0,"-","NEJ")</f>
        <v>NEJ</v>
      </c>
      <c r="K109" s="29" t="str">
        <f>F109</f>
        <v>Mechlorprop</v>
      </c>
      <c r="L109" s="29" t="s">
        <v>179</v>
      </c>
      <c r="M109" s="29" t="s">
        <v>179</v>
      </c>
      <c r="N109" s="29" t="s">
        <v>179</v>
      </c>
      <c r="O109" s="29" t="s">
        <v>179</v>
      </c>
      <c r="S109" s="2" t="str">
        <f t="shared" si="7"/>
        <v>Mechlorprop</v>
      </c>
      <c r="T10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v>
      </c>
    </row>
    <row r="110" spans="6:20" x14ac:dyDescent="0.2">
      <c r="F110" s="3" t="s">
        <v>112</v>
      </c>
      <c r="G110" s="4" t="str">
        <f>IF((IFERROR(SEARCH(K110,Rådata!$B$1000),-1)+IFERROR(SEARCH(L110,Rådata!$B$1000),-1)+IFERROR(SEARCH(M110,Rådata!$B$1000),-1)+IFERROR(SEARCH(N110,Rådata!$B$1000),-1)+IFERROR(SEARCH(O110,Rådata!$B$1000),-1))&gt;0,"-","NEJ")</f>
        <v>NEJ</v>
      </c>
      <c r="K110" s="29" t="s">
        <v>144</v>
      </c>
      <c r="L110" s="29" t="s">
        <v>179</v>
      </c>
      <c r="M110" s="29" t="s">
        <v>179</v>
      </c>
      <c r="N110" s="29" t="s">
        <v>179</v>
      </c>
      <c r="O110" s="29" t="s">
        <v>179</v>
      </c>
      <c r="S110" s="2" t="str">
        <f t="shared" si="7"/>
        <v>Metalaxyl/metalaxyl-M</v>
      </c>
      <c r="T110"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v>
      </c>
    </row>
    <row r="111" spans="6:20" x14ac:dyDescent="0.2">
      <c r="F111" s="3" t="s">
        <v>36</v>
      </c>
      <c r="G111" s="4" t="str">
        <f>IF((IFERROR(SEARCH(K111,Rådata!$B$1000),-1)+IFERROR(SEARCH(L111,Rådata!$B$1000),-1)+IFERROR(SEARCH(M111,Rådata!$B$1000),-1)+IFERROR(SEARCH(N111,Rådata!$B$1000),-1)+IFERROR(SEARCH(O111,Rådata!$B$1000),-1))&gt;0,"-","NEJ")</f>
        <v>NEJ</v>
      </c>
      <c r="K111" s="29" t="str">
        <f>F111</f>
        <v>Metribuzin</v>
      </c>
      <c r="L111" s="29" t="s">
        <v>179</v>
      </c>
      <c r="M111" s="29" t="s">
        <v>179</v>
      </c>
      <c r="N111" s="29" t="s">
        <v>179</v>
      </c>
      <c r="O111" s="29" t="s">
        <v>179</v>
      </c>
      <c r="S111" s="2" t="str">
        <f t="shared" si="7"/>
        <v>Metribuzin</v>
      </c>
      <c r="T111"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v>
      </c>
    </row>
    <row r="112" spans="6:20" x14ac:dyDescent="0.2">
      <c r="F112" s="3" t="s">
        <v>40</v>
      </c>
      <c r="G112" s="4" t="str">
        <f>IF((IFERROR(SEARCH(K112,Rådata!$B$1000),-1)+IFERROR(SEARCH(L112,Rådata!$B$1000),-1)+IFERROR(SEARCH(M112,Rådata!$B$1000),-1)+IFERROR(SEARCH(N112,Rådata!$B$1000),-1)+IFERROR(SEARCH(O112,Rådata!$B$1000),-1))&gt;0,"-","NEJ")</f>
        <v>NEJ</v>
      </c>
      <c r="K112" s="29" t="str">
        <f>F112</f>
        <v>Simazin</v>
      </c>
      <c r="L112" s="29" t="s">
        <v>179</v>
      </c>
      <c r="M112" s="29" t="s">
        <v>179</v>
      </c>
      <c r="N112" s="29" t="s">
        <v>179</v>
      </c>
      <c r="O112" s="29" t="s">
        <v>179</v>
      </c>
      <c r="S112" s="2" t="str">
        <f t="shared" si="7"/>
        <v>Simazin</v>
      </c>
      <c r="T112"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v>
      </c>
    </row>
    <row r="113" spans="5:20" x14ac:dyDescent="0.2">
      <c r="E113" s="53" t="s">
        <v>113</v>
      </c>
      <c r="F113" s="53"/>
      <c r="G113" s="13"/>
      <c r="H113" s="13" t="str">
        <f>IF(IFERROR(SEARCH("NEJ",CONCATENATE(" ",G114,G115,G116,G117,G118,G119,G120,G121,G122,G123,G124,G126,G127,G128,G129,G130,G131,G132,G133,G134,G135,G136,G137,G138,G139,G140)),1)=1,"OK","NEJ")</f>
        <v>NEJ</v>
      </c>
      <c r="K113" s="28"/>
      <c r="L113" s="29"/>
      <c r="M113" s="29"/>
      <c r="N113" s="29"/>
      <c r="O113" s="29"/>
      <c r="T113"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v>
      </c>
    </row>
    <row r="114" spans="5:20" x14ac:dyDescent="0.2">
      <c r="F114" s="9" t="s">
        <v>114</v>
      </c>
      <c r="G114" s="4" t="str">
        <f>IF((IFERROR(SEARCH(K114,Rådata!$B$1000),-1)+IFERROR(SEARCH(L114,Rådata!$B$1000),-1)+IFERROR(SEARCH(M114,Rådata!$B$1000),-1)+IFERROR(SEARCH(N114,Rådata!$B$1000),-1)+IFERROR(SEARCH(O114,Rådata!$B$1000),-1))&gt;0,"-","NEJ")</f>
        <v>NEJ</v>
      </c>
      <c r="K114" s="29" t="s">
        <v>145</v>
      </c>
      <c r="L114" s="29" t="s">
        <v>179</v>
      </c>
      <c r="M114" s="29" t="s">
        <v>179</v>
      </c>
      <c r="N114" s="29" t="s">
        <v>179</v>
      </c>
      <c r="O114" s="29" t="s">
        <v>179</v>
      </c>
      <c r="S114" s="2" t="str">
        <f t="shared" si="7"/>
        <v>1,2,4-triazol</v>
      </c>
      <c r="T114"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v>
      </c>
    </row>
    <row r="115" spans="5:20" x14ac:dyDescent="0.2">
      <c r="F115" s="3" t="s">
        <v>115</v>
      </c>
      <c r="G115" s="4" t="str">
        <f>IF((IFERROR(SEARCH(K115,Rådata!$B$1000),-1)+IFERROR(SEARCH(L115,Rådata!$B$1000),-1)+IFERROR(SEARCH(M115,Rådata!$B$1000),-1)+IFERROR(SEARCH(N115,Rådata!$B$1000),-1)+IFERROR(SEARCH(O115,Rådata!$B$1000),-1))&gt;0,"-","NEJ")</f>
        <v>NEJ</v>
      </c>
      <c r="K115" s="29" t="str">
        <f>F115</f>
        <v>2,6-Dichlorbenzosyre</v>
      </c>
      <c r="L115" s="29" t="s">
        <v>179</v>
      </c>
      <c r="M115" s="29" t="s">
        <v>179</v>
      </c>
      <c r="N115" s="29" t="s">
        <v>179</v>
      </c>
      <c r="O115" s="29" t="s">
        <v>179</v>
      </c>
      <c r="S115" s="2" t="str">
        <f t="shared" si="7"/>
        <v>2,6-Dichlorbenzosyre</v>
      </c>
      <c r="T115"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v>
      </c>
    </row>
    <row r="116" spans="5:20" x14ac:dyDescent="0.2">
      <c r="F116" s="3" t="s">
        <v>116</v>
      </c>
      <c r="G116" s="4" t="str">
        <f>IF((IFERROR(SEARCH(K116,Rådata!$B$1000),-1)+IFERROR(SEARCH(L116,Rådata!$B$1000),-1)+IFERROR(SEARCH(M116,Rådata!$B$1000),-1)+IFERROR(SEARCH(N116,Rådata!$B$1000),-1)+IFERROR(SEARCH(O116,Rådata!$B$1000),-1))&gt;0,"-","NEJ")</f>
        <v>NEJ</v>
      </c>
      <c r="K116" s="29" t="str">
        <f>F116</f>
        <v>2,4-Dichlorphenol</v>
      </c>
      <c r="L116" s="29" t="s">
        <v>297</v>
      </c>
      <c r="M116" s="29" t="s">
        <v>179</v>
      </c>
      <c r="N116" s="29" t="s">
        <v>179</v>
      </c>
      <c r="O116" s="29" t="s">
        <v>179</v>
      </c>
      <c r="S116" s="2" t="str">
        <f t="shared" si="7"/>
        <v>2,4-Dichlorphenol</v>
      </c>
      <c r="T116"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v>
      </c>
    </row>
    <row r="117" spans="5:20" x14ac:dyDescent="0.2">
      <c r="F117" s="3" t="s">
        <v>117</v>
      </c>
      <c r="G117" s="4" t="str">
        <f>IF((IFERROR(SEARCH(K117,Rådata!$B$1000),-1)+IFERROR(SEARCH(L117,Rådata!$B$1000),-1)+IFERROR(SEARCH(M117,Rådata!$B$1000),-1)+IFERROR(SEARCH(N117,Rådata!$B$1000),-1)+IFERROR(SEARCH(O117,Rådata!$B$1000),-1))&gt;0,"-","NEJ")</f>
        <v>NEJ</v>
      </c>
      <c r="K117" s="29" t="str">
        <f>F117</f>
        <v>2,6-Dichlorphenol</v>
      </c>
      <c r="L117" s="29" t="s">
        <v>179</v>
      </c>
      <c r="M117" s="29" t="s">
        <v>179</v>
      </c>
      <c r="N117" s="29" t="s">
        <v>179</v>
      </c>
      <c r="O117" s="29" t="s">
        <v>179</v>
      </c>
      <c r="S117" s="2" t="str">
        <f t="shared" si="7"/>
        <v>2,6-Dichlorphenol</v>
      </c>
      <c r="T117"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v>
      </c>
    </row>
    <row r="118" spans="5:20" x14ac:dyDescent="0.2">
      <c r="F118" s="3" t="s">
        <v>118</v>
      </c>
      <c r="G118" s="4" t="str">
        <f>IF((IFERROR(SEARCH(K118,Rådata!$B$1000),-1)+IFERROR(SEARCH(L118,Rådata!$B$1000),-1)+IFERROR(SEARCH(M118,Rådata!$B$1000),-1)+IFERROR(SEARCH(N118,Rådata!$B$1000),-1)+IFERROR(SEARCH(O118,Rådata!$B$1000),-1))&gt;0,"-","NEJ")</f>
        <v>NEJ</v>
      </c>
      <c r="K118" s="29" t="s">
        <v>16</v>
      </c>
      <c r="L118" s="29" t="s">
        <v>179</v>
      </c>
      <c r="M118" s="29" t="s">
        <v>179</v>
      </c>
      <c r="N118" s="29" t="s">
        <v>179</v>
      </c>
      <c r="O118" s="29" t="s">
        <v>179</v>
      </c>
      <c r="S118" s="2" t="str">
        <f t="shared" si="7"/>
        <v>4CPP (2-(4-chlorphenoxy)propionsyre)</v>
      </c>
      <c r="T118"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v>
      </c>
    </row>
    <row r="119" spans="5:20" x14ac:dyDescent="0.2">
      <c r="F119" s="3" t="s">
        <v>119</v>
      </c>
      <c r="G119" s="4" t="str">
        <f>IF((IFERROR(SEARCH(K119,Rådata!$B$1000),-1)+IFERROR(SEARCH(L119,Rådata!$B$1000),-1)+IFERROR(SEARCH(M119,Rådata!$B$1000),-1)+IFERROR(SEARCH(N119,Rådata!$B$1000),-1)+IFERROR(SEARCH(O119,Rådata!$B$1000),-1))&gt;0,"-","NEJ")</f>
        <v>NEJ</v>
      </c>
      <c r="K119" s="29" t="s">
        <v>15</v>
      </c>
      <c r="L119" s="29" t="s">
        <v>179</v>
      </c>
      <c r="M119" s="29" t="s">
        <v>179</v>
      </c>
      <c r="N119" s="29" t="s">
        <v>179</v>
      </c>
      <c r="O119" s="29" t="s">
        <v>179</v>
      </c>
      <c r="S119" s="2" t="str">
        <f t="shared" si="7"/>
        <v>2,6-DCPP (2-(2,6-dichlorphenoxy-propionsyre))</v>
      </c>
      <c r="T11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v>
      </c>
    </row>
    <row r="120" spans="5:20" x14ac:dyDescent="0.2">
      <c r="F120" s="3" t="s">
        <v>120</v>
      </c>
      <c r="G120" s="4" t="str">
        <f>IF((IFERROR(SEARCH(K120,Rådata!$B$1000),-1)+IFERROR(SEARCH(L120,Rådata!$B$1000),-1)+IFERROR(SEARCH(M120,Rådata!$B$1000),-1)+IFERROR(SEARCH(N120,Rådata!$B$1000),-1)+IFERROR(SEARCH(O120,Rådata!$B$1000),-1))&gt;0,"-","NEJ")</f>
        <v>NEJ</v>
      </c>
      <c r="K120" s="29" t="str">
        <f>F120</f>
        <v>4-Nitrophenol</v>
      </c>
      <c r="L120" s="29" t="s">
        <v>179</v>
      </c>
      <c r="M120" s="29" t="s">
        <v>179</v>
      </c>
      <c r="N120" s="29" t="s">
        <v>179</v>
      </c>
      <c r="O120" s="29" t="s">
        <v>179</v>
      </c>
      <c r="S120" s="2" t="str">
        <f t="shared" si="7"/>
        <v>4-Nitrophenol</v>
      </c>
      <c r="T12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v>
      </c>
    </row>
    <row r="121" spans="5:20" x14ac:dyDescent="0.2">
      <c r="F121" s="3" t="s">
        <v>121</v>
      </c>
      <c r="G121" s="4" t="str">
        <f>IF((IFERROR(SEARCH(K121,Rådata!$B$1000),-1)+IFERROR(SEARCH(L121,Rådata!$B$1000),-1)+IFERROR(SEARCH(M121,Rådata!$B$1000),-1)+IFERROR(SEARCH(N121,Rådata!$B$1000),-1)+IFERROR(SEARCH(O121,Rådata!$B$1000),-1))&gt;0,"-","NEJ")</f>
        <v>NEJ</v>
      </c>
      <c r="K121" s="29" t="s">
        <v>18</v>
      </c>
      <c r="L121" s="29" t="s">
        <v>179</v>
      </c>
      <c r="M121" s="29" t="s">
        <v>179</v>
      </c>
      <c r="N121" s="29" t="s">
        <v>179</v>
      </c>
      <c r="O121" s="29" t="s">
        <v>179</v>
      </c>
      <c r="S121" s="2" t="str">
        <f t="shared" si="7"/>
        <v>AMPA (Aminomethylphosphorsyre)</v>
      </c>
      <c r="T121"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v>
      </c>
    </row>
    <row r="122" spans="5:20" x14ac:dyDescent="0.2">
      <c r="F122" s="3" t="s">
        <v>122</v>
      </c>
      <c r="G122" s="4" t="str">
        <f>IF((IFERROR(SEARCH(K122,Rådata!$B$1000),-1)+IFERROR(SEARCH(L122,Rådata!$B$1000),-1)+IFERROR(SEARCH(M122,Rådata!$B$1000),-1)+IFERROR(SEARCH(N122,Rådata!$B$1000),-1)+IFERROR(SEARCH(O122,Rådata!$B$1000),-1))&gt;0,"-","NEJ")</f>
        <v>NEJ</v>
      </c>
      <c r="K122" s="29" t="s">
        <v>146</v>
      </c>
      <c r="L122" s="29" t="s">
        <v>179</v>
      </c>
      <c r="M122" s="29" t="s">
        <v>179</v>
      </c>
      <c r="N122" s="29" t="s">
        <v>179</v>
      </c>
      <c r="O122" s="29" t="s">
        <v>179</v>
      </c>
      <c r="S122" s="2" t="str">
        <f t="shared" si="7"/>
        <v>BAM (2,6-Dichlorbenzamid)</v>
      </c>
      <c r="T122"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v>
      </c>
    </row>
    <row r="123" spans="5:20" x14ac:dyDescent="0.2">
      <c r="F123" s="3" t="s">
        <v>123</v>
      </c>
      <c r="G123" s="4" t="str">
        <f>IF((IFERROR(SEARCH(K123,Rådata!$B$1000),-1)+IFERROR(SEARCH(L123,Rådata!$B$1000),-1)+IFERROR(SEARCH(M123,Rådata!$B$1000),-1)+IFERROR(SEARCH(N123,Rådata!$B$1000),-1)+IFERROR(SEARCH(O123,Rådata!$B$1000),-1))&gt;0,"-","NEJ")</f>
        <v>NEJ</v>
      </c>
      <c r="K123" s="29" t="s">
        <v>149</v>
      </c>
      <c r="L123" s="29" t="s">
        <v>268</v>
      </c>
      <c r="M123" s="29" t="s">
        <v>179</v>
      </c>
      <c r="N123" s="29" t="s">
        <v>179</v>
      </c>
      <c r="O123" s="29" t="s">
        <v>179</v>
      </c>
      <c r="S123" s="2" t="str">
        <f t="shared" si="7"/>
        <v>N-(2, 6-dimethylphenyl)-N-(Methoxyacetyl)alanin (CGA62826)</v>
      </c>
      <c r="T123"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v>
      </c>
    </row>
    <row r="124" spans="5:20" x14ac:dyDescent="0.2">
      <c r="F124" s="3" t="s">
        <v>124</v>
      </c>
      <c r="G124" s="4" t="str">
        <f>IF((IFERROR(SEARCH(K124,Rådata!$B$1000),-1)+IFERROR(SEARCH(L124,Rådata!$B$1000),-1)+IFERROR(SEARCH(M124,Rådata!$B$1000),-1)+IFERROR(SEARCH(N124,Rådata!$B$1000),-1)+IFERROR(SEARCH(O124,Rådata!$B$1000),-1))&gt;0,"-","NEJ")</f>
        <v>NEJ</v>
      </c>
      <c r="K124" s="29" t="s">
        <v>21</v>
      </c>
      <c r="L124" s="29" t="s">
        <v>269</v>
      </c>
      <c r="M124" s="29" t="s">
        <v>179</v>
      </c>
      <c r="N124" s="29" t="s">
        <v>179</v>
      </c>
      <c r="O124" s="29" t="s">
        <v>179</v>
      </c>
      <c r="S124" s="2" t="str">
        <f t="shared" si="7"/>
        <v>N-(2-carboxy-6-methylphenyl) N-methoxyacetyl)alanin (CGA108906)</v>
      </c>
      <c r="T124"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v>
      </c>
    </row>
    <row r="125" spans="5:20" x14ac:dyDescent="0.2">
      <c r="F125" s="3" t="s">
        <v>298</v>
      </c>
      <c r="G125" s="4" t="str">
        <f>IF((IFERROR(SEARCH(K125,Rådata!$B$1000),-1)+IFERROR(SEARCH(L125,Rådata!$B$1000),-1)+IFERROR(SEARCH(M125,Rådata!$B$1000),-1)+IFERROR(SEARCH(N125,Rådata!$B$1000),-1)+IFERROR(SEARCH(O125,Rådata!$B$1000),-1))&gt;0,"-","NEJ")</f>
        <v>NEJ</v>
      </c>
      <c r="K125" s="29" t="str">
        <f>F125</f>
        <v>Chlorothalonil-amidsulfonsyre</v>
      </c>
      <c r="L125" s="29" t="s">
        <v>179</v>
      </c>
      <c r="M125" s="29" t="s">
        <v>179</v>
      </c>
      <c r="N125" s="29" t="s">
        <v>179</v>
      </c>
      <c r="O125" s="29" t="s">
        <v>179</v>
      </c>
      <c r="S125" s="2" t="str">
        <f t="shared" ref="S125" si="11">IF(G125="NEJ",F125,"")</f>
        <v>Chlorothalonil-amidsulfonsyre</v>
      </c>
      <c r="T125"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v>
      </c>
    </row>
    <row r="126" spans="5:20" x14ac:dyDescent="0.2">
      <c r="F126" s="3" t="s">
        <v>125</v>
      </c>
      <c r="G126" s="4" t="str">
        <f>IF((IFERROR(SEARCH(K126,Rådata!$B$1000),-1)+IFERROR(SEARCH(L126,Rådata!$B$1000),-1)+IFERROR(SEARCH(M126,Rådata!$B$1000),-1)+IFERROR(SEARCH(N126,Rådata!$B$1000),-1)+IFERROR(SEARCH(O126,Rådata!$B$1000),-1))&gt;0,"-","NEJ")</f>
        <v>NEJ</v>
      </c>
      <c r="K126" s="29" t="s">
        <v>24</v>
      </c>
      <c r="L126" s="29" t="s">
        <v>191</v>
      </c>
      <c r="M126" s="29" t="s">
        <v>252</v>
      </c>
      <c r="N126" s="29" t="s">
        <v>262</v>
      </c>
      <c r="O126" s="29" t="s">
        <v>271</v>
      </c>
      <c r="S126" s="2" t="str">
        <f t="shared" si="7"/>
        <v>DEIA (Desethyldesisopropyl-atrazin)</v>
      </c>
      <c r="T126"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v>
      </c>
    </row>
    <row r="127" spans="5:20" x14ac:dyDescent="0.2">
      <c r="F127" s="3" t="s">
        <v>25</v>
      </c>
      <c r="G127" s="4" t="str">
        <f>IF((IFERROR(SEARCH(K127,Rådata!$B$1000),-1)+IFERROR(SEARCH(L127,Rådata!$B$1000),-1)+IFERROR(SEARCH(M127,Rådata!$B$1000),-1)+IFERROR(SEARCH(N127,Rådata!$B$1000),-1)+IFERROR(SEARCH(O127,Rådata!$B$1000),-1))&gt;0,"-","NEJ")</f>
        <v>NEJ</v>
      </c>
      <c r="K127" s="29" t="str">
        <f>F127</f>
        <v>Desethyl-hydroxy-atrazin</v>
      </c>
      <c r="L127" s="29" t="s">
        <v>185</v>
      </c>
      <c r="M127" s="29" t="s">
        <v>272</v>
      </c>
      <c r="N127" s="29" t="s">
        <v>179</v>
      </c>
      <c r="O127" s="29" t="s">
        <v>179</v>
      </c>
      <c r="S127" s="2" t="str">
        <f t="shared" si="7"/>
        <v>Desethyl-hydroxy-atrazin</v>
      </c>
      <c r="T127"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v>
      </c>
    </row>
    <row r="128" spans="5:20" x14ac:dyDescent="0.2">
      <c r="F128" s="3" t="s">
        <v>23</v>
      </c>
      <c r="G128" s="4" t="str">
        <f>IF((IFERROR(SEARCH(K128,Rådata!$B$1000),-1)+IFERROR(SEARCH(L128,Rådata!$B$1000),-1)+IFERROR(SEARCH(M128,Rådata!$B$1000),-1)+IFERROR(SEARCH(N128,Rådata!$B$1000),-1)+IFERROR(SEARCH(O128,Rådata!$B$1000),-1))&gt;0,"-","NEJ")</f>
        <v>NEJ</v>
      </c>
      <c r="K128" s="29" t="str">
        <f>F128</f>
        <v>Desethyl-atrazin</v>
      </c>
      <c r="L128" s="29" t="s">
        <v>186</v>
      </c>
      <c r="M128" s="29" t="s">
        <v>219</v>
      </c>
      <c r="N128" s="29" t="s">
        <v>179</v>
      </c>
      <c r="O128" s="29" t="s">
        <v>179</v>
      </c>
      <c r="S128" s="2" t="str">
        <f t="shared" si="7"/>
        <v>Desethyl-atrazin</v>
      </c>
      <c r="T128"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v>
      </c>
    </row>
    <row r="129" spans="5:20" x14ac:dyDescent="0.2">
      <c r="F129" s="3" t="s">
        <v>26</v>
      </c>
      <c r="G129" s="4" t="str">
        <f>IF((IFERROR(SEARCH(K129,Rådata!$B$1000),-1)+IFERROR(SEARCH(L129,Rådata!$B$1000),-1)+IFERROR(SEARCH(M129,Rådata!$B$1000),-1)+IFERROR(SEARCH(N129,Rådata!$B$1000),-1)+IFERROR(SEARCH(O129,Rådata!$B$1000),-1))&gt;0,"-","NEJ")</f>
        <v>NEJ</v>
      </c>
      <c r="K129" s="29" t="str">
        <f>F129</f>
        <v>Desethyl-terbutylazin</v>
      </c>
      <c r="L129" s="29" t="s">
        <v>187</v>
      </c>
      <c r="M129" s="29" t="s">
        <v>253</v>
      </c>
      <c r="N129" s="29" t="s">
        <v>179</v>
      </c>
      <c r="O129" s="29" t="s">
        <v>179</v>
      </c>
      <c r="S129" s="2" t="str">
        <f t="shared" si="7"/>
        <v>Desethyl-terbutylazin</v>
      </c>
      <c r="T12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v>
      </c>
    </row>
    <row r="130" spans="5:20" x14ac:dyDescent="0.2">
      <c r="F130" s="3" t="s">
        <v>27</v>
      </c>
      <c r="G130" s="4" t="str">
        <f>IF((IFERROR(SEARCH(K130,Rådata!$B$1000),-1)+IFERROR(SEARCH(L130,Rådata!$B$1000),-1)+IFERROR(SEARCH(M130,Rådata!$B$1000),-1)+IFERROR(SEARCH(N130,Rådata!$B$1000),-1)+IFERROR(SEARCH(O130,Rådata!$B$1000),-1))&gt;0,"-","NEJ")</f>
        <v>NEJ</v>
      </c>
      <c r="K130" s="29" t="str">
        <f>F130</f>
        <v>Desisopropyl-atrazin</v>
      </c>
      <c r="L130" s="29" t="s">
        <v>188</v>
      </c>
      <c r="M130" s="29" t="s">
        <v>259</v>
      </c>
      <c r="N130" s="29" t="s">
        <v>179</v>
      </c>
      <c r="O130" s="29" t="s">
        <v>179</v>
      </c>
      <c r="S130" s="2" t="str">
        <f t="shared" si="7"/>
        <v>Desisopropyl-atrazin</v>
      </c>
      <c r="T13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v>
      </c>
    </row>
    <row r="131" spans="5:20" x14ac:dyDescent="0.2">
      <c r="F131" s="3" t="s">
        <v>22</v>
      </c>
      <c r="G131" s="4" t="str">
        <f>IF((IFERROR(SEARCH(K131,Rådata!$B$1000),-1)+IFERROR(SEARCH(L131,Rådata!$B$1000),-1)+IFERROR(SEARCH(M131,Rådata!$B$1000),-1)+IFERROR(SEARCH(N131,Rådata!$B$1000),-1)+IFERROR(SEARCH(O131,Rådata!$B$1000),-1))&gt;0,"-","NEJ")</f>
        <v>NEJ</v>
      </c>
      <c r="K131" s="29" t="str">
        <f>F131</f>
        <v>Deisopropyl-hydroxy-atrazin</v>
      </c>
      <c r="L131" s="29" t="s">
        <v>193</v>
      </c>
      <c r="M131" s="29" t="s">
        <v>194</v>
      </c>
      <c r="N131" s="29" t="s">
        <v>251</v>
      </c>
      <c r="O131" s="29" t="s">
        <v>273</v>
      </c>
      <c r="S131" s="2" t="str">
        <f t="shared" si="7"/>
        <v>Deisopropyl-hydroxy-atrazin</v>
      </c>
      <c r="T131"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v>
      </c>
    </row>
    <row r="132" spans="5:20" x14ac:dyDescent="0.2">
      <c r="F132" s="3" t="s">
        <v>126</v>
      </c>
      <c r="G132" s="4" t="str">
        <f>IF((IFERROR(SEARCH(K132,Rådata!$B$1000),-1)+IFERROR(SEARCH(L132,Rådata!$B$1000),-1)+IFERROR(SEARCH(M132,Rådata!$B$1000),-1)+IFERROR(SEARCH(N132,Rådata!$B$1000),-1)+IFERROR(SEARCH(O132,Rådata!$B$1000),-1))&gt;0,"-","NEJ")</f>
        <v>NEJ</v>
      </c>
      <c r="K132" s="29" t="s">
        <v>148</v>
      </c>
      <c r="L132" s="29" t="s">
        <v>189</v>
      </c>
      <c r="M132" s="29" t="s">
        <v>195</v>
      </c>
      <c r="N132" s="29" t="s">
        <v>263</v>
      </c>
      <c r="O132" s="29" t="s">
        <v>179</v>
      </c>
      <c r="S132" s="2" t="str">
        <f t="shared" si="7"/>
        <v>Desphenyl-chloridazon</v>
      </c>
      <c r="T132"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v>
      </c>
    </row>
    <row r="133" spans="5:20" x14ac:dyDescent="0.2">
      <c r="F133" s="3" t="s">
        <v>29</v>
      </c>
      <c r="G133" s="4" t="str">
        <f>IF((IFERROR(SEARCH(K133,Rådata!$B$1000),-1)+IFERROR(SEARCH(L133,Rådata!$B$1000),-1)+IFERROR(SEARCH(M133,Rådata!$B$1000),-1)+IFERROR(SEARCH(N133,Rådata!$B$1000),-1)+IFERROR(SEARCH(O133,Rådata!$B$1000),-1))&gt;0,"-","NEJ")</f>
        <v>NEJ</v>
      </c>
      <c r="K133" s="29" t="str">
        <f>F133</f>
        <v>Didealkyl-hydroxy-atrazin</v>
      </c>
      <c r="L133" s="29" t="s">
        <v>190</v>
      </c>
      <c r="M133" s="29" t="s">
        <v>278</v>
      </c>
      <c r="N133" s="29" t="s">
        <v>179</v>
      </c>
      <c r="O133" s="29" t="s">
        <v>179</v>
      </c>
      <c r="S133" s="2" t="str">
        <f t="shared" si="7"/>
        <v>Didealkyl-hydroxy-atrazin</v>
      </c>
      <c r="T133"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v>
      </c>
    </row>
    <row r="134" spans="5:20" x14ac:dyDescent="0.2">
      <c r="F134" s="3" t="s">
        <v>33</v>
      </c>
      <c r="G134" s="4" t="str">
        <f>IF((IFERROR(SEARCH(K134,Rådata!$B$1000),-1)+IFERROR(SEARCH(L134,Rådata!$B$1000),-1)+IFERROR(SEARCH(M134,Rådata!$B$1000),-1)+IFERROR(SEARCH(N134,Rådata!$B$1000),-1)+IFERROR(SEARCH(O134,Rådata!$B$1000),-1))&gt;0,"-","NEJ")</f>
        <v>NEJ</v>
      </c>
      <c r="K134" s="29" t="str">
        <f>F134</f>
        <v>Hydroxyatrazin</v>
      </c>
      <c r="L134" s="29" t="s">
        <v>179</v>
      </c>
      <c r="M134" s="29" t="s">
        <v>179</v>
      </c>
      <c r="N134" s="29" t="s">
        <v>179</v>
      </c>
      <c r="O134" s="29" t="s">
        <v>179</v>
      </c>
      <c r="S134" s="2" t="str">
        <f t="shared" si="7"/>
        <v>Hydroxyatrazin</v>
      </c>
      <c r="T134"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v>
      </c>
    </row>
    <row r="135" spans="5:20" x14ac:dyDescent="0.2">
      <c r="F135" s="3" t="s">
        <v>34</v>
      </c>
      <c r="G135" s="4" t="str">
        <f>IF((IFERROR(SEARCH(K135,Rådata!$B$1000),-1)+IFERROR(SEARCH(L135,Rådata!$B$1000),-1)+IFERROR(SEARCH(M135,Rådata!$B$1000),-1)+IFERROR(SEARCH(N135,Rådata!$B$1000),-1)+IFERROR(SEARCH(O135,Rådata!$B$1000),-1))&gt;0,"-","NEJ")</f>
        <v>NEJ</v>
      </c>
      <c r="K135" s="29" t="str">
        <f>F135</f>
        <v>Hydroxysimazin</v>
      </c>
      <c r="L135" s="29" t="s">
        <v>258</v>
      </c>
      <c r="M135" s="29" t="s">
        <v>179</v>
      </c>
      <c r="N135" s="29" t="s">
        <v>179</v>
      </c>
      <c r="O135" s="29" t="s">
        <v>179</v>
      </c>
      <c r="S135" s="2" t="str">
        <f t="shared" si="7"/>
        <v>Hydroxysimazin</v>
      </c>
      <c r="T135"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 Hydroxysimazin</v>
      </c>
    </row>
    <row r="136" spans="5:20" x14ac:dyDescent="0.2">
      <c r="F136" s="3" t="s">
        <v>127</v>
      </c>
      <c r="G136" s="4" t="str">
        <f>IF((IFERROR(SEARCH(K136,Rådata!$B$1000),-1)+IFERROR(SEARCH(L136,Rådata!$B$1000),-1)+IFERROR(SEARCH(M136,Rådata!$B$1000),-1)+IFERROR(SEARCH(N136,Rådata!$B$1000),-1)+IFERROR(SEARCH(O136,Rådata!$B$1000),-1))&gt;0,"-","NEJ")</f>
        <v>NEJ</v>
      </c>
      <c r="K136" s="29" t="s">
        <v>147</v>
      </c>
      <c r="L136" s="29" t="s">
        <v>127</v>
      </c>
      <c r="M136" s="29" t="s">
        <v>196</v>
      </c>
      <c r="N136" s="29" t="s">
        <v>267</v>
      </c>
      <c r="O136" s="29" t="s">
        <v>179</v>
      </c>
      <c r="S136" s="2" t="str">
        <f t="shared" ref="S136:S198" si="12">IF(G136="NEJ",F136,"")</f>
        <v>Methyl-desphenyl-chloridazon</v>
      </c>
      <c r="T136"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 Hydroxysimazin, Methyl-desphenyl-chloridazon</v>
      </c>
    </row>
    <row r="137" spans="5:20" x14ac:dyDescent="0.2">
      <c r="F137" s="3" t="s">
        <v>38</v>
      </c>
      <c r="G137" s="4" t="str">
        <f>IF((IFERROR(SEARCH(K137,Rådata!$B$1000),-1)+IFERROR(SEARCH(L137,Rådata!$B$1000),-1)+IFERROR(SEARCH(M137,Rådata!$B$1000),-1)+IFERROR(SEARCH(N137,Rådata!$B$1000),-1)+IFERROR(SEARCH(O137,Rådata!$B$1000),-1))&gt;0,"-","NEJ")</f>
        <v>NEJ</v>
      </c>
      <c r="K137" s="29" t="str">
        <f>F137</f>
        <v>Metribuzin-desamino-diketo</v>
      </c>
      <c r="L137" s="29" t="s">
        <v>197</v>
      </c>
      <c r="M137" s="29" t="s">
        <v>254</v>
      </c>
      <c r="N137" s="29" t="s">
        <v>276</v>
      </c>
      <c r="O137" s="29" t="s">
        <v>179</v>
      </c>
      <c r="S137" s="2" t="str">
        <f t="shared" si="12"/>
        <v>Metribuzin-desamino-diketo</v>
      </c>
      <c r="T137"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 Hydroxysimazin, Methyl-desphenyl-chloridazon, Metribuzin-desamino-diketo</v>
      </c>
    </row>
    <row r="138" spans="5:20" x14ac:dyDescent="0.2">
      <c r="F138" s="3" t="s">
        <v>39</v>
      </c>
      <c r="G138" s="4" t="str">
        <f>IF((IFERROR(SEARCH(K138,Rådata!$B$1000),-1)+IFERROR(SEARCH(L138,Rådata!$B$1000),-1)+IFERROR(SEARCH(M138,Rådata!$B$1000),-1)+IFERROR(SEARCH(N138,Rådata!$B$1000),-1)+IFERROR(SEARCH(O138,Rådata!$B$1000),-1))&gt;0,"-","NEJ")</f>
        <v>NEJ</v>
      </c>
      <c r="K138" s="29" t="str">
        <f>F138</f>
        <v>Metribuzin-diketo</v>
      </c>
      <c r="L138" s="29" t="s">
        <v>221</v>
      </c>
      <c r="M138" s="29" t="s">
        <v>277</v>
      </c>
      <c r="N138" s="29" t="s">
        <v>179</v>
      </c>
      <c r="O138" s="29" t="s">
        <v>179</v>
      </c>
      <c r="S138" s="2" t="str">
        <f t="shared" si="12"/>
        <v>Metribuzin-diketo</v>
      </c>
      <c r="T138"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v>
      </c>
    </row>
    <row r="139" spans="5:20" x14ac:dyDescent="0.2">
      <c r="F139" s="3" t="s">
        <v>37</v>
      </c>
      <c r="G139" s="4" t="str">
        <f>IF((IFERROR(SEARCH(K139,Rådata!$B$1000),-1)+IFERROR(SEARCH(L139,Rådata!$B$1000),-1)+IFERROR(SEARCH(M139,Rådata!$B$1000),-1)+IFERROR(SEARCH(N139,Rådata!$B$1000),-1)+IFERROR(SEARCH(O139,Rådata!$B$1000),-1))&gt;0,"-","NEJ")</f>
        <v>NEJ</v>
      </c>
      <c r="K139" s="29" t="str">
        <f>F139</f>
        <v>Metribuzin-desamino</v>
      </c>
      <c r="L139" s="29" t="s">
        <v>270</v>
      </c>
      <c r="M139" s="29" t="s">
        <v>179</v>
      </c>
      <c r="N139" s="29" t="s">
        <v>179</v>
      </c>
      <c r="O139" s="29" t="s">
        <v>179</v>
      </c>
      <c r="S139" s="2" t="str">
        <f t="shared" si="12"/>
        <v>Metribuzin-desamino</v>
      </c>
      <c r="T1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v>
      </c>
    </row>
    <row r="140" spans="5:20" x14ac:dyDescent="0.2">
      <c r="F140" s="3" t="s">
        <v>128</v>
      </c>
      <c r="G140" s="4" t="str">
        <f>IF((IFERROR(SEARCH(K140,Rådata!$B$1000),-1)+IFERROR(SEARCH(L140,Rådata!$B$1000),-1)+IFERROR(SEARCH(M140,Rådata!$B$1000),-1)+IFERROR(SEARCH(N140,Rådata!$B$1000),-1)+IFERROR(SEARCH(O140,Rådata!$B$1000),-1))&gt;0,"-","NEJ")</f>
        <v>NEJ</v>
      </c>
      <c r="K140" s="29" t="str">
        <f>F140</f>
        <v>Sum af pesticider</v>
      </c>
      <c r="L140" s="29" t="s">
        <v>180</v>
      </c>
      <c r="M140" s="29" t="s">
        <v>181</v>
      </c>
      <c r="N140" s="29" t="s">
        <v>274</v>
      </c>
      <c r="O140" s="29" t="s">
        <v>179</v>
      </c>
      <c r="S140" s="2" t="str">
        <f t="shared" si="12"/>
        <v>Sum af pesticider</v>
      </c>
      <c r="T14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 Sum af pesticider</v>
      </c>
    </row>
    <row r="142" spans="5:20" x14ac:dyDescent="0.2">
      <c r="E142" s="54" t="s">
        <v>176</v>
      </c>
      <c r="F142" s="54"/>
      <c r="G142" s="15" t="str">
        <f>IF(IFERROR(SEARCH("NEJ",CONCATENATE(" ",H144,H146,H151)),1)=1,"OK","NEJ")</f>
        <v>NEJ</v>
      </c>
      <c r="H142" t="str">
        <f>IF(G142="OK","",RIGHT(T159,LEN(T159)))</f>
        <v>Nitrit, Coliforme bakterier, E. coli, Kimtal ved 22 °C, Enterokokker, Aluminium, Arsen, Bly, Cadmium, Chrom, Kobber, Nikkel, Zink</v>
      </c>
      <c r="K142" s="31"/>
    </row>
    <row r="143" spans="5:20" x14ac:dyDescent="0.2">
      <c r="F143" s="17"/>
      <c r="G143" s="5"/>
    </row>
    <row r="144" spans="5:20" x14ac:dyDescent="0.2">
      <c r="E144" s="53" t="s">
        <v>63</v>
      </c>
      <c r="F144" s="53"/>
      <c r="G144" s="12"/>
      <c r="H144" s="13" t="str">
        <f>IF(IFERROR(SEARCH("NEJ"," "&amp;G145),1)=1,"OK","NEJ")</f>
        <v>NEJ</v>
      </c>
      <c r="K144" s="27"/>
    </row>
    <row r="145" spans="5:20" x14ac:dyDescent="0.2">
      <c r="F145" s="7" t="s">
        <v>4</v>
      </c>
      <c r="G145" s="4" t="str">
        <f>IF((IFERROR(SEARCH(K145,Rådata!$B$1000),-1)+IFERROR(SEARCH(L145,Rådata!$B$1000),-1)+IFERROR(SEARCH(M145,Rådata!$B$1000),-1)+IFERROR(SEARCH(N145,Rådata!$B$1000),-1)+IFERROR(SEARCH(O145,Rådata!$B$1000),-1))&gt;0,"-","NEJ")</f>
        <v>NEJ</v>
      </c>
      <c r="K145" s="2" t="str">
        <f>K18</f>
        <v>Nitrit</v>
      </c>
      <c r="L145" s="2" t="str">
        <f t="shared" ref="L145:M145" si="13">L18</f>
        <v>Her kan et synonym indsættes</v>
      </c>
      <c r="M145" s="2" t="str">
        <f t="shared" si="13"/>
        <v>Her kan et synonym indsættes</v>
      </c>
      <c r="N145" s="2" t="str">
        <f t="shared" ref="N145:O145" si="14">N18</f>
        <v>Her kan et synonym indsættes</v>
      </c>
      <c r="O145" s="2" t="str">
        <f t="shared" si="14"/>
        <v>Her kan et synonym indsættes</v>
      </c>
      <c r="S145" s="2" t="str">
        <f t="shared" si="12"/>
        <v>Nitrit</v>
      </c>
      <c r="T145" t="str">
        <f>S145</f>
        <v>Nitrit</v>
      </c>
    </row>
    <row r="146" spans="5:20" x14ac:dyDescent="0.2">
      <c r="E146" s="53" t="s">
        <v>150</v>
      </c>
      <c r="F146" s="53"/>
      <c r="G146" s="12"/>
      <c r="H146" s="13" t="str">
        <f>IF(IFERROR(SEARCH("NEJ",CONCATENATE(" ",G147,G148,G149,G150)),1)=1,"OK","NEJ")</f>
        <v>NEJ</v>
      </c>
      <c r="K146" s="30"/>
      <c r="L146" s="2"/>
      <c r="M146" s="2"/>
      <c r="N146" s="2"/>
      <c r="O146" s="2"/>
      <c r="T146" t="str">
        <f t="shared" si="8"/>
        <v>Nitrit</v>
      </c>
    </row>
    <row r="147" spans="5:20" x14ac:dyDescent="0.2">
      <c r="F147" s="3" t="s">
        <v>58</v>
      </c>
      <c r="G147" s="4" t="str">
        <f>IF((IFERROR(SEARCH(K147,Rådata!$B$1000),-1)+IFERROR(SEARCH(L147,Rådata!$B$1000),-1)+IFERROR(SEARCH(M147,Rådata!$B$1000),-1)+IFERROR(SEARCH(N147,Rådata!$B$1000),-1)+IFERROR(SEARCH(O147,Rådata!$B$1000),-1))&gt;0,"-","NEJ")</f>
        <v>NEJ</v>
      </c>
      <c r="K147" s="2" t="str">
        <f>K15</f>
        <v>Coliforme bakterier</v>
      </c>
      <c r="L147" s="2" t="str">
        <f t="shared" ref="L147:M147" si="15">L15</f>
        <v>Coliforme bakt.</v>
      </c>
      <c r="M147" s="2" t="str">
        <f t="shared" si="15"/>
        <v>Her kan et synonym indsættes</v>
      </c>
      <c r="N147" s="2" t="str">
        <f t="shared" ref="N147:O147" si="16">N15</f>
        <v>Her kan et synonym indsættes</v>
      </c>
      <c r="O147" s="2" t="str">
        <f t="shared" si="16"/>
        <v>Her kan et synonym indsættes</v>
      </c>
      <c r="S147" s="2" t="str">
        <f t="shared" si="12"/>
        <v>Coliforme bakterier</v>
      </c>
      <c r="T147" t="str">
        <f t="shared" si="8"/>
        <v>Nitrit, Coliforme bakterier</v>
      </c>
    </row>
    <row r="148" spans="5:20" x14ac:dyDescent="0.2">
      <c r="F148" s="3" t="s">
        <v>59</v>
      </c>
      <c r="G148" s="4" t="str">
        <f>IF((IFERROR(SEARCH(K148,Rådata!$B$1000),-1)+IFERROR(SEARCH(L148,Rådata!$B$1000),-1)+IFERROR(SEARCH(M148,Rådata!$B$1000),-1)+IFERROR(SEARCH(N148,Rådata!$B$1000),-1)+IFERROR(SEARCH(O148,Rådata!$B$1000),-1))&gt;0,"-","NEJ")</f>
        <v>NEJ</v>
      </c>
      <c r="K148" s="2" t="str">
        <f>K16</f>
        <v>Escherichia coli</v>
      </c>
      <c r="L148" s="2" t="str">
        <f t="shared" ref="L148" si="17">L16</f>
        <v>E. coli</v>
      </c>
      <c r="M148" s="2" t="str">
        <f>M16</f>
        <v>E.coli</v>
      </c>
      <c r="N148" s="2" t="str">
        <f>N16</f>
        <v>Her kan et synonym indsættes</v>
      </c>
      <c r="O148" s="2" t="str">
        <f>O16</f>
        <v>Her kan et synonym indsættes</v>
      </c>
      <c r="S148" s="2" t="str">
        <f t="shared" si="12"/>
        <v>E. coli</v>
      </c>
      <c r="T148" t="str">
        <f t="shared" si="8"/>
        <v>Nitrit, Coliforme bakterier, E. coli</v>
      </c>
    </row>
    <row r="149" spans="5:20" x14ac:dyDescent="0.2">
      <c r="F149" s="3" t="s">
        <v>57</v>
      </c>
      <c r="G149" s="4" t="str">
        <f>IF((IFERROR(SEARCH(K149,Rådata!$B$1000),-1)+IFERROR(SEARCH(L149,Rådata!$B$1000),-1)+IFERROR(SEARCH(M149,Rådata!$B$1000),-1)+IFERROR(SEARCH(N149,Rådata!$B$1000),-1)+IFERROR(SEARCH(O149,Rådata!$B$1000),-1))&gt;0,"-","NEJ")</f>
        <v>NEJ</v>
      </c>
      <c r="K149" s="2" t="str">
        <f>K14</f>
        <v>Kimtal</v>
      </c>
      <c r="L149" s="2" t="str">
        <f t="shared" ref="L149:M149" si="18">L14</f>
        <v>Her kan et synonym indsættes</v>
      </c>
      <c r="M149" s="2" t="str">
        <f t="shared" si="18"/>
        <v>Her kan et synonym indsættes</v>
      </c>
      <c r="N149" s="2" t="str">
        <f t="shared" ref="N149:O149" si="19">N14</f>
        <v>Her kan et synonym indsættes</v>
      </c>
      <c r="O149" s="2" t="str">
        <f t="shared" si="19"/>
        <v>Her kan et synonym indsættes</v>
      </c>
      <c r="S149" s="2" t="str">
        <f t="shared" si="12"/>
        <v>Kimtal ved 22 °C</v>
      </c>
      <c r="T149" t="str">
        <f t="shared" si="8"/>
        <v>Nitrit, Coliforme bakterier, E. coli, Kimtal ved 22 °C</v>
      </c>
    </row>
    <row r="150" spans="5:20" x14ac:dyDescent="0.2">
      <c r="F150" s="10" t="s">
        <v>3</v>
      </c>
      <c r="G150" s="4" t="str">
        <f>IF((IFERROR(SEARCH(K150,Rådata!$B$1000),-1)+IFERROR(SEARCH(L150,Rådata!$B$1000),-1)+IFERROR(SEARCH(M150,Rådata!$B$1000),-1)+IFERROR(SEARCH(N150,Rådata!$B$1000),-1)+IFERROR(SEARCH(O150,Rådata!$B$1000),-1))&gt;0,"-","NEJ")</f>
        <v>NEJ</v>
      </c>
      <c r="K150" s="2" t="str">
        <f>K23</f>
        <v>Enterokokker</v>
      </c>
      <c r="L150" s="2" t="str">
        <f t="shared" ref="L150:M150" si="20">L23</f>
        <v>Fækale streptokokker</v>
      </c>
      <c r="M150" s="2" t="str">
        <f t="shared" si="20"/>
        <v>Her kan et synonym indsættes</v>
      </c>
      <c r="N150" s="2" t="str">
        <f t="shared" ref="N150:O150" si="21">N23</f>
        <v>Her kan et synonym indsættes</v>
      </c>
      <c r="O150" s="2" t="str">
        <f t="shared" si="21"/>
        <v>Her kan et synonym indsættes</v>
      </c>
      <c r="S150" s="2" t="str">
        <f t="shared" si="12"/>
        <v>Enterokokker</v>
      </c>
      <c r="T150" t="str">
        <f t="shared" si="8"/>
        <v>Nitrit, Coliforme bakterier, E. coli, Kimtal ved 22 °C, Enterokokker</v>
      </c>
    </row>
    <row r="151" spans="5:20" x14ac:dyDescent="0.2">
      <c r="E151" s="51" t="s">
        <v>151</v>
      </c>
      <c r="F151" s="51"/>
      <c r="G151" s="13"/>
      <c r="H151" s="13" t="str">
        <f>IF(IFERROR(SEARCH("NEJ",CONCATENATE(" ",G152,G153,G154,G155,G156,G157,G158,G159)),1)=1,"OK","NEJ")</f>
        <v>NEJ</v>
      </c>
      <c r="K151" s="2"/>
      <c r="L151" s="2"/>
      <c r="M151" s="2"/>
      <c r="N151" s="2"/>
      <c r="O151" s="2"/>
      <c r="T151" t="str">
        <f t="shared" si="8"/>
        <v>Nitrit, Coliforme bakterier, E. coli, Kimtal ved 22 °C, Enterokokker</v>
      </c>
    </row>
    <row r="152" spans="5:20" x14ac:dyDescent="0.2">
      <c r="F152" s="3" t="s">
        <v>71</v>
      </c>
      <c r="G152" s="4" t="str">
        <f>IF((IFERROR(SEARCH(K152,Rådata!$B$1000),-1)+IFERROR(SEARCH(L152,Rådata!$B$1000),-1)+IFERROR(SEARCH(M152,Rådata!$B$1000),-1)+IFERROR(SEARCH(N152,Rådata!$B$1000),-1)+IFERROR(SEARCH(O152,Rådata!$B$1000),-1))&gt;0,"-","NEJ")</f>
        <v>NEJ</v>
      </c>
      <c r="K152" s="2" t="str">
        <f>K36</f>
        <v>Aluminium</v>
      </c>
      <c r="L152" s="2" t="str">
        <f t="shared" ref="L152:M152" si="22">L36</f>
        <v>Her kan et synonym indsættes</v>
      </c>
      <c r="M152" s="2" t="str">
        <f t="shared" si="22"/>
        <v>Her kan et synonym indsættes</v>
      </c>
      <c r="N152" s="2" t="str">
        <f t="shared" ref="N152:O152" si="23">N36</f>
        <v>Her kan et synonym indsættes</v>
      </c>
      <c r="O152" s="2" t="str">
        <f t="shared" si="23"/>
        <v>Her kan et synonym indsættes</v>
      </c>
      <c r="S152" s="2" t="str">
        <f t="shared" si="12"/>
        <v>Aluminium</v>
      </c>
      <c r="T152" t="str">
        <f t="shared" si="8"/>
        <v>Nitrit, Coliforme bakterier, E. coli, Kimtal ved 22 °C, Enterokokker, Aluminium</v>
      </c>
    </row>
    <row r="153" spans="5:20" x14ac:dyDescent="0.2">
      <c r="F153" s="3" t="s">
        <v>73</v>
      </c>
      <c r="G153" s="4" t="str">
        <f>IF((IFERROR(SEARCH(K153,Rådata!$B$1000),-1)+IFERROR(SEARCH(L153,Rådata!$B$1000),-1)+IFERROR(SEARCH(M153,Rådata!$B$1000),-1)+IFERROR(SEARCH(N153,Rådata!$B$1000),-1)+IFERROR(SEARCH(O153,Rådata!$B$1000),-1))&gt;0,"-","NEJ")</f>
        <v>NEJ</v>
      </c>
      <c r="K153" s="2" t="str">
        <f>K38</f>
        <v>Arsen</v>
      </c>
      <c r="L153" s="2" t="str">
        <f t="shared" ref="L153:M153" si="24">L38</f>
        <v>Her kan et synonym indsættes</v>
      </c>
      <c r="M153" s="2" t="str">
        <f t="shared" si="24"/>
        <v>Her kan et synonym indsættes</v>
      </c>
      <c r="N153" s="2" t="str">
        <f t="shared" ref="N153:O153" si="25">N38</f>
        <v>Her kan et synonym indsættes</v>
      </c>
      <c r="O153" s="2" t="str">
        <f t="shared" si="25"/>
        <v>Her kan et synonym indsættes</v>
      </c>
      <c r="S153" s="2" t="str">
        <f t="shared" si="12"/>
        <v>Arsen</v>
      </c>
      <c r="T153" t="str">
        <f t="shared" si="8"/>
        <v>Nitrit, Coliforme bakterier, E. coli, Kimtal ved 22 °C, Enterokokker, Aluminium, Arsen</v>
      </c>
    </row>
    <row r="154" spans="5:20" x14ac:dyDescent="0.2">
      <c r="F154" s="3" t="s">
        <v>74</v>
      </c>
      <c r="G154" s="4" t="str">
        <f>IF((IFERROR(SEARCH(K154,Rådata!$B$1000),-1)+IFERROR(SEARCH(L154,Rådata!$B$1000),-1)+IFERROR(SEARCH(M154,Rådata!$B$1000),-1)+IFERROR(SEARCH(N154,Rådata!$B$1000),-1)+IFERROR(SEARCH(O154,Rådata!$B$1000),-1))&gt;0,"-","NEJ")</f>
        <v>NEJ</v>
      </c>
      <c r="K154" s="2" t="str">
        <f>K39</f>
        <v>Bly</v>
      </c>
      <c r="L154" s="2" t="str">
        <f t="shared" ref="L154:M154" si="26">L39</f>
        <v>Her kan et synonym indsættes</v>
      </c>
      <c r="M154" s="2" t="str">
        <f t="shared" si="26"/>
        <v>Her kan et synonym indsættes</v>
      </c>
      <c r="N154" s="2" t="str">
        <f t="shared" ref="N154:O154" si="27">N39</f>
        <v>Her kan et synonym indsættes</v>
      </c>
      <c r="O154" s="2" t="str">
        <f t="shared" si="27"/>
        <v>Her kan et synonym indsættes</v>
      </c>
      <c r="S154" s="2" t="str">
        <f t="shared" si="12"/>
        <v>Bly</v>
      </c>
      <c r="T154" t="str">
        <f t="shared" si="8"/>
        <v>Nitrit, Coliforme bakterier, E. coli, Kimtal ved 22 °C, Enterokokker, Aluminium, Arsen, Bly</v>
      </c>
    </row>
    <row r="155" spans="5:20" x14ac:dyDescent="0.2">
      <c r="F155" s="3" t="s">
        <v>76</v>
      </c>
      <c r="G155" s="4" t="str">
        <f>IF((IFERROR(SEARCH(K155,Rådata!$B$1000),-1)+IFERROR(SEARCH(L155,Rådata!$B$1000),-1)+IFERROR(SEARCH(M155,Rådata!$B$1000),-1)+IFERROR(SEARCH(N155,Rådata!$B$1000),-1)+IFERROR(SEARCH(O155,Rådata!$B$1000),-1))&gt;0,"-","NEJ")</f>
        <v>NEJ</v>
      </c>
      <c r="K155" s="2" t="str">
        <f>K41</f>
        <v>Cadmium</v>
      </c>
      <c r="L155" s="2" t="str">
        <f t="shared" ref="L155:M155" si="28">L41</f>
        <v>Her kan et synonym indsættes</v>
      </c>
      <c r="M155" s="2" t="str">
        <f t="shared" si="28"/>
        <v>Her kan et synonym indsættes</v>
      </c>
      <c r="N155" s="2" t="str">
        <f t="shared" ref="N155:O155" si="29">N41</f>
        <v>Her kan et synonym indsættes</v>
      </c>
      <c r="O155" s="2" t="str">
        <f t="shared" si="29"/>
        <v>Her kan et synonym indsættes</v>
      </c>
      <c r="S155" s="2" t="str">
        <f t="shared" si="12"/>
        <v>Cadmium</v>
      </c>
      <c r="T155" t="str">
        <f t="shared" ref="T155:T220" si="30">IF(S155="",T154,T154&amp;", "&amp;S155)</f>
        <v>Nitrit, Coliforme bakterier, E. coli, Kimtal ved 22 °C, Enterokokker, Aluminium, Arsen, Bly, Cadmium</v>
      </c>
    </row>
    <row r="156" spans="5:20" x14ac:dyDescent="0.2">
      <c r="F156" s="3" t="s">
        <v>77</v>
      </c>
      <c r="G156" s="4" t="str">
        <f>IF((IFERROR(SEARCH(K156,Rådata!$B$1000),-1)+IFERROR(SEARCH(L156,Rådata!$B$1000),-1)+IFERROR(SEARCH(M156,Rådata!$B$1000),-1)+IFERROR(SEARCH(N156,Rådata!$B$1000),-1)+IFERROR(SEARCH(O156,Rådata!$B$1000),-1))&gt;0,"-","NEJ")</f>
        <v>NEJ</v>
      </c>
      <c r="K156" s="2" t="str">
        <f>K43</f>
        <v>Chrom</v>
      </c>
      <c r="L156" s="2" t="str">
        <f t="shared" ref="L156:M156" si="31">L43</f>
        <v>krom</v>
      </c>
      <c r="M156" s="2" t="str">
        <f t="shared" si="31"/>
        <v>Her kan et synonym indsættes</v>
      </c>
      <c r="N156" s="2" t="str">
        <f t="shared" ref="N156:O156" si="32">N43</f>
        <v>Her kan et synonym indsættes</v>
      </c>
      <c r="O156" s="2" t="str">
        <f t="shared" si="32"/>
        <v>Her kan et synonym indsættes</v>
      </c>
      <c r="S156" s="2" t="str">
        <f t="shared" si="12"/>
        <v>Chrom</v>
      </c>
      <c r="T156" t="str">
        <f t="shared" si="30"/>
        <v>Nitrit, Coliforme bakterier, E. coli, Kimtal ved 22 °C, Enterokokker, Aluminium, Arsen, Bly, Cadmium, Chrom</v>
      </c>
    </row>
    <row r="157" spans="5:20" x14ac:dyDescent="0.2">
      <c r="F157" s="3" t="s">
        <v>79</v>
      </c>
      <c r="G157" s="4" t="str">
        <f>IF((IFERROR(SEARCH(K157,Rådata!$B$1000),-1)+IFERROR(SEARCH(L157,Rådata!$B$1000),-1)+IFERROR(SEARCH(M157,Rådata!$B$1000),-1)+IFERROR(SEARCH(N157,Rådata!$B$1000),-1)+IFERROR(SEARCH(O157,Rådata!$B$1000),-1))&gt;0,"-","NEJ")</f>
        <v>NEJ</v>
      </c>
      <c r="K157" s="2" t="str">
        <f>K45</f>
        <v>Kobber</v>
      </c>
      <c r="L157" s="2" t="str">
        <f t="shared" ref="L157:M157" si="33">L45</f>
        <v>Copper</v>
      </c>
      <c r="M157" s="2" t="str">
        <f t="shared" si="33"/>
        <v>Her kan et synonym indsættes</v>
      </c>
      <c r="N157" s="2" t="str">
        <f t="shared" ref="N157:O157" si="34">N45</f>
        <v>Her kan et synonym indsættes</v>
      </c>
      <c r="O157" s="2" t="str">
        <f t="shared" si="34"/>
        <v>Her kan et synonym indsættes</v>
      </c>
      <c r="S157" s="2" t="str">
        <f t="shared" si="12"/>
        <v>Kobber</v>
      </c>
      <c r="T157" t="str">
        <f t="shared" si="30"/>
        <v>Nitrit, Coliforme bakterier, E. coli, Kimtal ved 22 °C, Enterokokker, Aluminium, Arsen, Bly, Cadmium, Chrom, Kobber</v>
      </c>
    </row>
    <row r="158" spans="5:20" x14ac:dyDescent="0.2">
      <c r="F158" s="3" t="s">
        <v>81</v>
      </c>
      <c r="G158" s="4" t="str">
        <f>IF((IFERROR(SEARCH(K158,Rådata!$B$1000),-1)+IFERROR(SEARCH(L158,Rådata!$B$1000),-1)+IFERROR(SEARCH(M158,Rådata!$B$1000),-1)+IFERROR(SEARCH(N158,Rådata!$B$1000),-1)+IFERROR(SEARCH(O158,Rådata!$B$1000),-1))&gt;0,"-","NEJ")</f>
        <v>NEJ</v>
      </c>
      <c r="K158" s="2" t="str">
        <f>K47</f>
        <v>Nikkel</v>
      </c>
      <c r="L158" s="2" t="str">
        <f t="shared" ref="L158:M158" si="35">L47</f>
        <v>Her kan et synonym indsættes</v>
      </c>
      <c r="M158" s="2" t="str">
        <f t="shared" si="35"/>
        <v>Her kan et synonym indsættes</v>
      </c>
      <c r="N158" s="2" t="str">
        <f t="shared" ref="N158:O158" si="36">N47</f>
        <v>Her kan et synonym indsættes</v>
      </c>
      <c r="O158" s="2" t="str">
        <f t="shared" si="36"/>
        <v>Her kan et synonym indsættes</v>
      </c>
      <c r="S158" s="2" t="str">
        <f t="shared" si="12"/>
        <v>Nikkel</v>
      </c>
      <c r="T158" t="str">
        <f t="shared" si="30"/>
        <v>Nitrit, Coliforme bakterier, E. coli, Kimtal ved 22 °C, Enterokokker, Aluminium, Arsen, Bly, Cadmium, Chrom, Kobber, Nikkel</v>
      </c>
    </row>
    <row r="159" spans="5:20" x14ac:dyDescent="0.2">
      <c r="F159" s="10" t="s">
        <v>84</v>
      </c>
      <c r="G159" s="4" t="str">
        <f>IF((IFERROR(SEARCH(K159,Rådata!$B$1000),-1)+IFERROR(SEARCH(L159,Rådata!$B$1000),-1)+IFERROR(SEARCH(M159,Rådata!$B$1000),-1)+IFERROR(SEARCH(N159,Rådata!$B$1000),-1)+IFERROR(SEARCH(O159,Rådata!$B$1000),-1))&gt;0,"-","NEJ")</f>
        <v>NEJ</v>
      </c>
      <c r="K159" s="2" t="str">
        <f>K50</f>
        <v>Zink</v>
      </c>
      <c r="L159" s="2" t="str">
        <f t="shared" ref="L159:M159" si="37">L50</f>
        <v>Her kan et synonym indsættes</v>
      </c>
      <c r="M159" s="2" t="str">
        <f t="shared" si="37"/>
        <v>Her kan et synonym indsættes</v>
      </c>
      <c r="N159" s="2" t="str">
        <f t="shared" ref="N159:O159" si="38">N50</f>
        <v>Her kan et synonym indsættes</v>
      </c>
      <c r="O159" s="2" t="str">
        <f t="shared" si="38"/>
        <v>Her kan et synonym indsættes</v>
      </c>
      <c r="S159" s="2" t="str">
        <f t="shared" si="12"/>
        <v>Zink</v>
      </c>
      <c r="T159" t="str">
        <f t="shared" si="30"/>
        <v>Nitrit, Coliforme bakterier, E. coli, Kimtal ved 22 °C, Enterokokker, Aluminium, Arsen, Bly, Cadmium, Chrom, Kobber, Nikkel, Zink</v>
      </c>
    </row>
    <row r="160" spans="5:20" x14ac:dyDescent="0.2">
      <c r="E160" s="52" t="s">
        <v>152</v>
      </c>
      <c r="F160" s="52"/>
      <c r="G160" s="18"/>
      <c r="H160" s="18" t="str">
        <f>IF(IFERROR(SEARCH("NEJ",CONCATENATE(" ",G161,G162,G163)),1)=1,"OK","NEJ")</f>
        <v>NEJ</v>
      </c>
      <c r="K160" s="2"/>
      <c r="L160" s="2"/>
      <c r="M160" s="2"/>
      <c r="N160" s="2"/>
      <c r="O160" s="2"/>
    </row>
    <row r="161" spans="5:19" x14ac:dyDescent="0.2">
      <c r="F161" s="9" t="s">
        <v>8</v>
      </c>
      <c r="G161" s="4" t="str">
        <f>IF((IFERROR(SEARCH(K161,Rådata!$B$1000),-1)+IFERROR(SEARCH(L161,Rådata!$B$1000),-1)+IFERROR(SEARCH(M161,Rådata!$B$1000),-1)+IFERROR(SEARCH(N161,Rådata!$B$1000),-1)+IFERROR(SEARCH(O161,Rådata!$B$1000),-1))&gt;0,"-","NEJ")</f>
        <v>NEJ</v>
      </c>
      <c r="K161" s="2" t="str">
        <f>K52</f>
        <v>Acrylamid</v>
      </c>
      <c r="L161" s="2" t="str">
        <f t="shared" ref="L161:M161" si="39">L52</f>
        <v>Her kan et synonym indsættes</v>
      </c>
      <c r="M161" s="2" t="str">
        <f t="shared" si="39"/>
        <v>Her kan et synonym indsættes</v>
      </c>
      <c r="N161" s="2" t="str">
        <f t="shared" ref="N161:O161" si="40">N52</f>
        <v>Her kan et synonym indsættes</v>
      </c>
      <c r="O161" s="2" t="str">
        <f t="shared" si="40"/>
        <v>Her kan et synonym indsættes</v>
      </c>
      <c r="S161" s="33"/>
    </row>
    <row r="162" spans="5:19" x14ac:dyDescent="0.2">
      <c r="F162" s="3" t="s">
        <v>9</v>
      </c>
      <c r="G162" s="4" t="str">
        <f>IF((IFERROR(SEARCH(K162,Rådata!$B$1000),-1)+IFERROR(SEARCH(L162,Rådata!$B$1000),-1)+IFERROR(SEARCH(M162,Rådata!$B$1000),-1)+IFERROR(SEARCH(N162,Rådata!$B$1000),-1)+IFERROR(SEARCH(O162,Rådata!$B$1000),-1))&gt;0,"-","NEJ")</f>
        <v>NEJ</v>
      </c>
      <c r="K162" s="2" t="str">
        <f>K53</f>
        <v>Epichlorhydrin</v>
      </c>
      <c r="L162" s="2" t="str">
        <f>L53</f>
        <v>Her kan et synonym indsættes</v>
      </c>
      <c r="M162" s="2" t="str">
        <f>M53</f>
        <v>Her kan et synonym indsættes</v>
      </c>
      <c r="N162" s="2" t="str">
        <f>N53</f>
        <v>Her kan et synonym indsættes</v>
      </c>
      <c r="O162" s="2" t="str">
        <f>O53</f>
        <v>Her kan et synonym indsættes</v>
      </c>
      <c r="S162" s="33"/>
    </row>
    <row r="163" spans="5:19" x14ac:dyDescent="0.2">
      <c r="F163" s="10" t="s">
        <v>41</v>
      </c>
      <c r="G163" s="4" t="str">
        <f>IF((IFERROR(SEARCH(K163,Rådata!$B$1000),-1)+IFERROR(SEARCH(L163,Rådata!$B$1000),-1)+IFERROR(SEARCH(M163,Rådata!$B$1000),-1)+IFERROR(SEARCH(N163,Rådata!$B$1000),-1)+IFERROR(SEARCH(O163,Rådata!$B$1000),-1))&gt;0,"-","NEJ")</f>
        <v>NEJ</v>
      </c>
      <c r="K163" s="2" t="str">
        <f>K54</f>
        <v>Vinylchlorid</v>
      </c>
      <c r="L163" s="2" t="str">
        <f>L54</f>
        <v>Her kan et synonym indsættes</v>
      </c>
      <c r="M163" s="2" t="str">
        <f>M54</f>
        <v>Her kan et synonym indsættes</v>
      </c>
      <c r="N163" s="2" t="str">
        <f>N54</f>
        <v>Her kan et synonym indsættes</v>
      </c>
      <c r="O163" s="2" t="str">
        <f>O54</f>
        <v>Her kan et synonym indsættes</v>
      </c>
      <c r="S163" s="33"/>
    </row>
    <row r="164" spans="5:19" x14ac:dyDescent="0.2">
      <c r="E164" s="52" t="s">
        <v>182</v>
      </c>
      <c r="F164" s="52"/>
      <c r="G164" s="18"/>
      <c r="H164" s="18" t="str">
        <f>IF(IFERROR(SEARCH("NEJ",CONCATENATE(" ",G165,G166,G167,G168,G169,G170,G171,G172,G173,G174,G175,G176)),1)=1,"OK","NEJ")</f>
        <v>NEJ</v>
      </c>
      <c r="K164" s="2"/>
      <c r="L164" s="2"/>
      <c r="M164" s="2"/>
      <c r="N164" s="2"/>
      <c r="O164" s="2"/>
    </row>
    <row r="165" spans="5:19" x14ac:dyDescent="0.2">
      <c r="F165" s="9" t="s">
        <v>42</v>
      </c>
      <c r="G165" s="4" t="str">
        <f>IF((IFERROR(SEARCH(K165,Rådata!$B$1000),-1)+IFERROR(SEARCH(L165,Rådata!$B$1000),-1)+IFERROR(SEARCH(M165,Rådata!$B$1000),-1)+IFERROR(SEARCH(N165,Rådata!$B$1000),-1)+IFERROR(SEARCH(O165,Rådata!$B$1000),-1))&gt;0,"-","NEJ")</f>
        <v>NEJ</v>
      </c>
      <c r="K165" s="2" t="str">
        <f>K58</f>
        <v>Dichlormethan</v>
      </c>
      <c r="L165" s="2" t="str">
        <f t="shared" ref="L165:M165" si="41">L58</f>
        <v>Dichlormetan</v>
      </c>
      <c r="M165" s="2" t="str">
        <f t="shared" si="41"/>
        <v>Her kan et synonym indsættes</v>
      </c>
      <c r="N165" s="2" t="str">
        <f t="shared" ref="N165:O165" si="42">N58</f>
        <v>Her kan et synonym indsættes</v>
      </c>
      <c r="O165" s="2" t="str">
        <f t="shared" si="42"/>
        <v>Her kan et synonym indsættes</v>
      </c>
      <c r="S165" s="33"/>
    </row>
    <row r="166" spans="5:19" x14ac:dyDescent="0.2">
      <c r="F166" s="3" t="s">
        <v>92</v>
      </c>
      <c r="G166" s="4" t="str">
        <f>IF((IFERROR(SEARCH(K166,Rådata!$B$1000),-1)+IFERROR(SEARCH(L166,Rådata!$B$1000),-1)+IFERROR(SEARCH(M166,Rådata!$B$1000),-1)+IFERROR(SEARCH(N166,Rådata!$B$1000),-1)+IFERROR(SEARCH(O166,Rådata!$B$1000),-1))&gt;0,"-","NEJ")</f>
        <v>NEJ</v>
      </c>
      <c r="K166" s="2" t="str">
        <f>K59</f>
        <v>Trichlormethan</v>
      </c>
      <c r="L166" s="2" t="str">
        <f>L59</f>
        <v>Chloroform</v>
      </c>
      <c r="M166" s="2" t="str">
        <f>M59</f>
        <v>Her kan et synonym indsættes</v>
      </c>
      <c r="N166" s="2" t="str">
        <f t="shared" ref="N166:O166" si="43">N59</f>
        <v>Her kan et synonym indsættes</v>
      </c>
      <c r="O166" s="2" t="str">
        <f t="shared" si="43"/>
        <v>Her kan et synonym indsættes</v>
      </c>
      <c r="S166" s="33"/>
    </row>
    <row r="167" spans="5:19" x14ac:dyDescent="0.2">
      <c r="F167" s="3" t="s">
        <v>44</v>
      </c>
      <c r="G167" s="4" t="str">
        <f>IF((IFERROR(SEARCH(K167,Rådata!$B$1000),-1)+IFERROR(SEARCH(L167,Rådata!$B$1000),-1)+IFERROR(SEARCH(M167,Rådata!$B$1000),-1)+IFERROR(SEARCH(N167,Rådata!$B$1000),-1)+IFERROR(SEARCH(O167,Rådata!$B$1000),-1))&gt;0,"-","NEJ")</f>
        <v>NEJ</v>
      </c>
      <c r="K167" s="2" t="str">
        <f>K60</f>
        <v>1,2-dichlorethan</v>
      </c>
      <c r="L167" s="2" t="str">
        <f>L60</f>
        <v>Her kan et synonym indsættes</v>
      </c>
      <c r="M167" s="2" t="str">
        <f>M60</f>
        <v>Her kan et synonym indsættes</v>
      </c>
      <c r="N167" s="2" t="str">
        <f t="shared" ref="N167:O167" si="44">N60</f>
        <v>Her kan et synonym indsættes</v>
      </c>
      <c r="O167" s="2" t="str">
        <f t="shared" si="44"/>
        <v>Her kan et synonym indsættes</v>
      </c>
      <c r="S167" s="33"/>
    </row>
    <row r="168" spans="5:19" x14ac:dyDescent="0.2">
      <c r="F168" s="3" t="s">
        <v>47</v>
      </c>
      <c r="G168" s="4" t="str">
        <f>IF((IFERROR(SEARCH(K168,Rådata!$B$1000),-1)+IFERROR(SEARCH(L168,Rådata!$B$1000),-1)+IFERROR(SEARCH(M168,Rådata!$B$1000),-1)+IFERROR(SEARCH(N168,Rådata!$B$1000),-1)+IFERROR(SEARCH(O168,Rådata!$B$1000),-1))&gt;0,"-","NEJ")</f>
        <v>NEJ</v>
      </c>
      <c r="K168" s="2" t="str">
        <f>K61</f>
        <v>Trichlorethen</v>
      </c>
      <c r="L168" s="2" t="str">
        <f>L61</f>
        <v>Trichlorethylen</v>
      </c>
      <c r="M168" s="2" t="str">
        <f>M61</f>
        <v>Her kan et synonym indsættes</v>
      </c>
      <c r="N168" s="2" t="str">
        <f t="shared" ref="N168:O168" si="45">N61</f>
        <v>Her kan et synonym indsættes</v>
      </c>
      <c r="O168" s="2" t="str">
        <f t="shared" si="45"/>
        <v>Her kan et synonym indsættes</v>
      </c>
      <c r="S168" s="33"/>
    </row>
    <row r="169" spans="5:19" x14ac:dyDescent="0.2">
      <c r="F169" s="3" t="s">
        <v>50</v>
      </c>
      <c r="G169" s="4" t="str">
        <f>IF((IFERROR(SEARCH(K169,Rådata!$B$1000),-1)+IFERROR(SEARCH(L169,Rådata!$B$1000),-1)+IFERROR(SEARCH(M169,Rådata!$B$1000),-1)+IFERROR(SEARCH(N169,Rådata!$B$1000),-1)+IFERROR(SEARCH(O169,Rådata!$B$1000),-1))&gt;0,"-","NEJ")</f>
        <v>NEJ</v>
      </c>
      <c r="K169" s="2" t="str">
        <f>K62</f>
        <v>Tetrachlorethen</v>
      </c>
      <c r="L169" s="2" t="str">
        <f>L62</f>
        <v>Tetrachlorethylen</v>
      </c>
      <c r="M169" s="2" t="str">
        <f>M62</f>
        <v>Her kan et synonym indsættes</v>
      </c>
      <c r="N169" s="2" t="str">
        <f t="shared" ref="N169:O169" si="46">N62</f>
        <v>Her kan et synonym indsættes</v>
      </c>
      <c r="O169" s="2" t="str">
        <f t="shared" si="46"/>
        <v>Her kan et synonym indsættes</v>
      </c>
      <c r="S169" s="33"/>
    </row>
    <row r="170" spans="5:19" x14ac:dyDescent="0.2">
      <c r="F170" s="3" t="s">
        <v>43</v>
      </c>
      <c r="G170" s="4" t="str">
        <f>IF((IFERROR(SEARCH(K170,Rådata!$B$1000),-1)+IFERROR(SEARCH(L170,Rådata!$B$1000),-1)+IFERROR(SEARCH(M170,Rådata!$B$1000),-1)+IFERROR(SEARCH(N170,Rådata!$B$1000),-1)+IFERROR(SEARCH(O170,Rådata!$B$1000),-1))&gt;0,"-","NEJ")</f>
        <v>NEJ</v>
      </c>
      <c r="K170" s="2" t="str">
        <f>K63</f>
        <v>1,1-dichlorethen</v>
      </c>
      <c r="L170" s="2" t="str">
        <f>L63</f>
        <v>1,1-dichlorethylen</v>
      </c>
      <c r="M170" s="2" t="str">
        <f>M63</f>
        <v>Her kan et synonym indsættes</v>
      </c>
      <c r="N170" s="2" t="str">
        <f t="shared" ref="N170:O170" si="47">N63</f>
        <v>Her kan et synonym indsættes</v>
      </c>
      <c r="O170" s="2" t="str">
        <f t="shared" si="47"/>
        <v>Her kan et synonym indsættes</v>
      </c>
      <c r="S170" s="33"/>
    </row>
    <row r="171" spans="5:19" x14ac:dyDescent="0.2">
      <c r="F171" s="3" t="s">
        <v>230</v>
      </c>
      <c r="G171" s="4" t="str">
        <f>IF((IFERROR(SEARCH(K171,Rådata!$B$1000),-1)+IFERROR(SEARCH(L171,Rådata!$B$1000),-1)+IFERROR(SEARCH(M171,Rådata!$B$1000),-1)+IFERROR(SEARCH(N171,Rådata!$B$1000),-1)+IFERROR(SEARCH(O171,Rådata!$B$1000),-1))&gt;0,"-","NEJ")</f>
        <v>NEJ</v>
      </c>
      <c r="K171" s="2" t="str">
        <f>K64</f>
        <v>Cis-1,2-dichlorethen</v>
      </c>
      <c r="L171" s="2" t="str">
        <f>L64</f>
        <v>cis-1,2-dichlorethylen</v>
      </c>
      <c r="M171" s="2" t="str">
        <f>M64</f>
        <v>Cis-1,2-dichloreth</v>
      </c>
      <c r="N171" s="2" t="str">
        <f t="shared" ref="N171:O171" si="48">N64</f>
        <v>Her kan et synonym indsættes</v>
      </c>
      <c r="O171" s="2" t="str">
        <f t="shared" si="48"/>
        <v>Her kan et synonym indsættes</v>
      </c>
      <c r="S171" s="33"/>
    </row>
    <row r="172" spans="5:19" x14ac:dyDescent="0.2">
      <c r="F172" s="3" t="s">
        <v>93</v>
      </c>
      <c r="G172" s="4" t="str">
        <f>IF((IFERROR(SEARCH(K172,Rådata!$B$1000),-1)+IFERROR(SEARCH(L172,Rådata!$B$1000),-1)+IFERROR(SEARCH(M172,Rådata!$B$1000),-1)+IFERROR(SEARCH(N172,Rådata!$B$1000),-1)+IFERROR(SEARCH(O172,Rådata!$B$1000),-1))&gt;0,"-","NEJ")</f>
        <v>NEJ</v>
      </c>
      <c r="K172" s="2" t="str">
        <f>K65</f>
        <v>Trans-1,2-dichlorethen</v>
      </c>
      <c r="L172" s="2" t="str">
        <f>L65</f>
        <v>Trans-1,2-dichlorethylen</v>
      </c>
      <c r="M172" s="2" t="str">
        <f>M65</f>
        <v>Trans-1,2-dichloreth</v>
      </c>
      <c r="N172" s="2" t="str">
        <f t="shared" ref="N172:O172" si="49">N65</f>
        <v>Her kan et synonym indsættes</v>
      </c>
      <c r="O172" s="2" t="str">
        <f t="shared" si="49"/>
        <v>Her kan et synonym indsættes</v>
      </c>
      <c r="S172" s="33"/>
    </row>
    <row r="173" spans="5:19" x14ac:dyDescent="0.2">
      <c r="F173" s="3" t="s">
        <v>45</v>
      </c>
      <c r="G173" s="4" t="str">
        <f>IF((IFERROR(SEARCH(K173,Rådata!$B$1000),-1)+IFERROR(SEARCH(L173,Rådata!$B$1000),-1)+IFERROR(SEARCH(M173,Rådata!$B$1000),-1)+IFERROR(SEARCH(N173,Rådata!$B$1000),-1)+IFERROR(SEARCH(O173,Rådata!$B$1000),-1))&gt;0,"-","NEJ")</f>
        <v>NEJ</v>
      </c>
      <c r="K173" s="2" t="str">
        <f>K66</f>
        <v>1,1,1-trichlorethan</v>
      </c>
      <c r="L173" s="2" t="str">
        <f>L66</f>
        <v>Her kan et synonym indsættes</v>
      </c>
      <c r="M173" s="2" t="str">
        <f>M66</f>
        <v>Her kan et synonym indsættes</v>
      </c>
      <c r="N173" s="2" t="str">
        <f t="shared" ref="N173:O173" si="50">N66</f>
        <v>Her kan et synonym indsættes</v>
      </c>
      <c r="O173" s="2" t="str">
        <f t="shared" si="50"/>
        <v>Her kan et synonym indsættes</v>
      </c>
      <c r="S173" s="33"/>
    </row>
    <row r="174" spans="5:19" x14ac:dyDescent="0.2">
      <c r="F174" s="3" t="s">
        <v>46</v>
      </c>
      <c r="G174" s="4" t="str">
        <f>IF((IFERROR(SEARCH(K174,Rådata!$B$1000),-1)+IFERROR(SEARCH(L174,Rådata!$B$1000),-1)+IFERROR(SEARCH(M174,Rådata!$B$1000),-1)+IFERROR(SEARCH(N174,Rådata!$B$1000),-1)+IFERROR(SEARCH(O174,Rådata!$B$1000),-1))&gt;0,"-","NEJ")</f>
        <v>NEJ</v>
      </c>
      <c r="K174" s="2" t="str">
        <f>K67</f>
        <v>1,1,2-trichlorethan</v>
      </c>
      <c r="L174" s="2" t="str">
        <f>L67</f>
        <v>Her kan et synonym indsættes</v>
      </c>
      <c r="M174" s="2" t="str">
        <f>M67</f>
        <v>Her kan et synonym indsættes</v>
      </c>
      <c r="N174" s="2" t="str">
        <f t="shared" ref="N174:O174" si="51">N67</f>
        <v>Her kan et synonym indsættes</v>
      </c>
      <c r="O174" s="2" t="str">
        <f t="shared" si="51"/>
        <v>Her kan et synonym indsættes</v>
      </c>
      <c r="S174" s="33"/>
    </row>
    <row r="175" spans="5:19" x14ac:dyDescent="0.2">
      <c r="F175" s="3" t="s">
        <v>49</v>
      </c>
      <c r="G175" s="4" t="str">
        <f>IF((IFERROR(SEARCH(K175,Rådata!$B$1000),-1)+IFERROR(SEARCH(L175,Rådata!$B$1000),-1)+IFERROR(SEARCH(M175,Rådata!$B$1000),-1)+IFERROR(SEARCH(N175,Rådata!$B$1000),-1)+IFERROR(SEARCH(O175,Rådata!$B$1000),-1))&gt;0,"-","NEJ")</f>
        <v>NEJ</v>
      </c>
      <c r="K175" s="2" t="str">
        <f>K68</f>
        <v>1,1,2,2-tetrachlorethan</v>
      </c>
      <c r="L175" s="2" t="str">
        <f>L68</f>
        <v>Her kan et synonym indsættes</v>
      </c>
      <c r="M175" s="2" t="str">
        <f>M68</f>
        <v>Her kan et synonym indsættes</v>
      </c>
      <c r="N175" s="2" t="str">
        <f t="shared" ref="N175:O175" si="52">N68</f>
        <v>Her kan et synonym indsættes</v>
      </c>
      <c r="O175" s="2" t="str">
        <f t="shared" si="52"/>
        <v>Her kan et synonym indsættes</v>
      </c>
      <c r="S175" s="33"/>
    </row>
    <row r="176" spans="5:19" x14ac:dyDescent="0.2">
      <c r="F176" s="10" t="s">
        <v>48</v>
      </c>
      <c r="G176" s="4" t="str">
        <f>IF((IFERROR(SEARCH(K176,Rådata!$B$1000),-1)+IFERROR(SEARCH(L176,Rådata!$B$1000),-1)+IFERROR(SEARCH(M176,Rådata!$B$1000),-1)+IFERROR(SEARCH(N176,Rådata!$B$1000),-1)+IFERROR(SEARCH(O176,Rådata!$B$1000),-1))&gt;0,"-","NEJ")</f>
        <v>NEJ</v>
      </c>
      <c r="K176" s="2" t="str">
        <f>K69</f>
        <v>1,1,1,2-tetrachlorethan</v>
      </c>
      <c r="L176" s="2" t="str">
        <f>L69</f>
        <v>Her kan et synonym indsættes</v>
      </c>
      <c r="M176" s="2" t="str">
        <f>M69</f>
        <v>Her kan et synonym indsættes</v>
      </c>
      <c r="N176" s="2" t="str">
        <f t="shared" ref="N176:O176" si="53">N69</f>
        <v>Her kan et synonym indsættes</v>
      </c>
      <c r="O176" s="2" t="str">
        <f t="shared" si="53"/>
        <v>Her kan et synonym indsættes</v>
      </c>
      <c r="S176" s="33"/>
    </row>
    <row r="177" spans="5:20" x14ac:dyDescent="0.2">
      <c r="E177" s="52" t="s">
        <v>153</v>
      </c>
      <c r="F177" s="52"/>
      <c r="G177" s="18"/>
      <c r="H177" s="18" t="str">
        <f>IF(IFERROR(SEARCH("NEJ"," "&amp;G178),1)=1,"OK","NEJ")</f>
        <v>NEJ</v>
      </c>
      <c r="K177" s="2"/>
      <c r="L177" s="2"/>
      <c r="M177" s="2"/>
      <c r="N177" s="2"/>
      <c r="O177" s="2"/>
    </row>
    <row r="178" spans="5:20" x14ac:dyDescent="0.2">
      <c r="F178" s="7" t="s">
        <v>10</v>
      </c>
      <c r="G178" s="4" t="str">
        <f>IF((IFERROR(SEARCH(K178,Rådata!$B$1000),-1)+IFERROR(SEARCH(L178,Rådata!$B$1000),-1)+IFERROR(SEARCH(M178,Rådata!$B$1000),-1)+IFERROR(SEARCH(N178,Rådata!$B$1000),-1)+IFERROR(SEARCH(O178,Rådata!$B$1000),-1))&gt;0,"-","NEJ")</f>
        <v>NEJ</v>
      </c>
      <c r="K178" s="2" t="str">
        <f>K71</f>
        <v>Benzen</v>
      </c>
      <c r="L178" s="2" t="str">
        <f t="shared" ref="L178:M178" si="54">L71</f>
        <v>Her kan et synonym indsættes</v>
      </c>
      <c r="M178" s="2" t="str">
        <f t="shared" si="54"/>
        <v>Her kan et synonym indsættes</v>
      </c>
      <c r="N178" s="2" t="str">
        <f t="shared" ref="N178:O178" si="55">N71</f>
        <v>Her kan et synonym indsættes</v>
      </c>
      <c r="O178" s="2" t="str">
        <f t="shared" si="55"/>
        <v>Her kan et synonym indsættes</v>
      </c>
      <c r="S178" s="33"/>
    </row>
    <row r="179" spans="5:20" x14ac:dyDescent="0.2">
      <c r="E179" s="52" t="s">
        <v>154</v>
      </c>
      <c r="F179" s="52"/>
      <c r="G179" s="18"/>
      <c r="H179" s="18" t="str">
        <f>IF(IFERROR(SEARCH("NEJ",CONCATENATE(" ",G180,G181,G182,G183,G184,G185)),1)=1,"OK","NEJ")</f>
        <v>NEJ</v>
      </c>
      <c r="K179" s="2"/>
      <c r="L179" s="2"/>
      <c r="M179" s="2"/>
      <c r="N179" s="2"/>
      <c r="O179" s="2"/>
    </row>
    <row r="180" spans="5:20" x14ac:dyDescent="0.2">
      <c r="F180" s="9" t="s">
        <v>12</v>
      </c>
      <c r="G180" s="4" t="str">
        <f>IF((IFERROR(SEARCH(K180,Rådata!$B$1000),-1)+IFERROR(SEARCH(L180,Rådata!$B$1000),-1)+IFERROR(SEARCH(M180,Rådata!$B$1000),-1)+IFERROR(SEARCH(N180,Rådata!$B$1000),-1)+IFERROR(SEARCH(O180,Rådata!$B$1000),-1))&gt;0,"-","NEJ")</f>
        <v>NEJ</v>
      </c>
      <c r="K180" s="2" t="str">
        <f>K73</f>
        <v>Benzo(a)pyren</v>
      </c>
      <c r="L180" s="2" t="str">
        <f t="shared" ref="L180:M180" si="56">L73</f>
        <v>Benz[a]pyren</v>
      </c>
      <c r="M180" s="2" t="str">
        <f t="shared" si="56"/>
        <v>Benz(a)pyren</v>
      </c>
      <c r="N180" s="2" t="str">
        <f t="shared" ref="N180:O180" si="57">N73</f>
        <v>Her kan et synonym indsættes</v>
      </c>
      <c r="O180" s="2" t="str">
        <f t="shared" si="57"/>
        <v>Her kan et synonym indsættes</v>
      </c>
      <c r="S180" s="33"/>
    </row>
    <row r="181" spans="5:20" x14ac:dyDescent="0.2">
      <c r="F181" s="3" t="s">
        <v>11</v>
      </c>
      <c r="G181" s="4" t="str">
        <f>IF((IFERROR(SEARCH(K181,Rådata!$B$1000),-1)+IFERROR(SEARCH(L181,Rådata!$B$1000),-1)+IFERROR(SEARCH(M181,Rådata!$B$1000),-1)+IFERROR(SEARCH(N181,Rådata!$B$1000),-1)+IFERROR(SEARCH(O181,Rådata!$B$1000),-1))&gt;0,"-","NEJ")</f>
        <v>NEJ</v>
      </c>
      <c r="K181" s="2" t="str">
        <f>K74</f>
        <v>Fluoranthen</v>
      </c>
      <c r="L181" s="2" t="str">
        <f>L74</f>
        <v>Her kan et synonym indsættes</v>
      </c>
      <c r="M181" s="2" t="str">
        <f>M74</f>
        <v>Her kan et synonym indsættes</v>
      </c>
      <c r="N181" s="2" t="str">
        <f t="shared" ref="N181:O181" si="58">N74</f>
        <v>Her kan et synonym indsættes</v>
      </c>
      <c r="O181" s="2" t="str">
        <f t="shared" si="58"/>
        <v>Her kan et synonym indsættes</v>
      </c>
      <c r="S181" s="33"/>
    </row>
    <row r="182" spans="5:20" x14ac:dyDescent="0.2">
      <c r="F182" s="3" t="s">
        <v>231</v>
      </c>
      <c r="G182" s="4" t="str">
        <f>IF((IFERROR(SEARCH(K182,Rådata!$B$1000),-1)+IFERROR(SEARCH(L182,Rådata!$B$1000),-1)+IFERROR(SEARCH(M182,Rådata!$B$1000),-1)+IFERROR(SEARCH(N182,Rådata!$B$1000),-1)+IFERROR(SEARCH(O182,Rådata!$B$1000),-1))&gt;0,"-","NEJ")</f>
        <v>NEJ</v>
      </c>
      <c r="K182" s="2" t="str">
        <f>K75</f>
        <v>Benzo(b)fluoranthen</v>
      </c>
      <c r="L182" s="2" t="str">
        <f>L75</f>
        <v>Benzo(b+j+k)fluoranthen</v>
      </c>
      <c r="M182" s="2" t="str">
        <f>M75</f>
        <v>Benz(b)fluoranthen</v>
      </c>
      <c r="N182" s="2" t="str">
        <f t="shared" ref="N182:O182" si="59">N75</f>
        <v>Benz(b+j+k)fluoranthen</v>
      </c>
      <c r="O182" s="2" t="str">
        <f t="shared" si="59"/>
        <v>Her kan et synonym indsættes</v>
      </c>
      <c r="S182" s="33"/>
    </row>
    <row r="183" spans="5:20" x14ac:dyDescent="0.2">
      <c r="F183" s="3" t="s">
        <v>232</v>
      </c>
      <c r="G183" s="4" t="str">
        <f>IF((IFERROR(SEARCH(K183,Rådata!$B$1000),-1)+IFERROR(SEARCH(L183,Rådata!$B$1000),-1)+IFERROR(SEARCH(M183,Rådata!$B$1000),-1)+IFERROR(SEARCH(N183,Rådata!$B$1000),-1)+IFERROR(SEARCH(O183,Rådata!$B$1000),-1))&gt;0,"-","NEJ")</f>
        <v>NEJ</v>
      </c>
      <c r="K183" s="2" t="str">
        <f>K76</f>
        <v>Benzo(k)fluoranthen</v>
      </c>
      <c r="L183" s="2" t="str">
        <f>L76</f>
        <v>Benzo(b+j+k)fluoranthen</v>
      </c>
      <c r="M183" s="2" t="str">
        <f>M76</f>
        <v>Benz(k)fluoranthen</v>
      </c>
      <c r="N183" s="2" t="str">
        <f t="shared" ref="N183:O183" si="60">N76</f>
        <v>Benz(b+j+k)fluoranthen</v>
      </c>
      <c r="O183" s="2" t="str">
        <f t="shared" si="60"/>
        <v>Her kan et synonym indsættes</v>
      </c>
      <c r="S183" s="33"/>
    </row>
    <row r="184" spans="5:20" x14ac:dyDescent="0.2">
      <c r="F184" s="3" t="s">
        <v>233</v>
      </c>
      <c r="G184" s="4" t="str">
        <f>IF((IFERROR(SEARCH(K184,Rådata!$B$1000),-1)+IFERROR(SEARCH(L184,Rådata!$B$1000),-1)+IFERROR(SEARCH(M184,Rådata!$B$1000),-1)+IFERROR(SEARCH(N184,Rådata!$B$1000),-1)+IFERROR(SEARCH(O184,Rådata!$B$1000),-1))&gt;0,"-","NEJ")</f>
        <v>NEJ</v>
      </c>
      <c r="K184" s="2" t="str">
        <f>K77</f>
        <v>benzo(g,h,i)perylen</v>
      </c>
      <c r="L184" s="2" t="str">
        <f>L77</f>
        <v>benz(g,h,i)perylen</v>
      </c>
      <c r="M184" s="2" t="str">
        <f>M77</f>
        <v>benz(ghi)perylen</v>
      </c>
      <c r="N184" s="2" t="str">
        <f t="shared" ref="N184:O184" si="61">N77</f>
        <v>Her kan et synonym indsættes</v>
      </c>
      <c r="O184" s="2" t="str">
        <f t="shared" si="61"/>
        <v>Her kan et synonym indsættes</v>
      </c>
      <c r="S184" s="33"/>
    </row>
    <row r="185" spans="5:20" x14ac:dyDescent="0.2">
      <c r="F185" s="3" t="s">
        <v>234</v>
      </c>
      <c r="G185" s="4" t="str">
        <f>IF((IFERROR(SEARCH(K185,Rådata!$B$1000),-1)+IFERROR(SEARCH(L185,Rådata!$B$1000),-1)+IFERROR(SEARCH(M185,Rådata!$B$1000),-1)+IFERROR(SEARCH(N185,Rådata!$B$1000),-1)+IFERROR(SEARCH(O185,Rådata!$B$1000),-1))&gt;0,"-","NEJ")</f>
        <v>NEJ</v>
      </c>
      <c r="K185" s="2" t="str">
        <f>K78</f>
        <v>Indeno(1,2,3-cd)pyren</v>
      </c>
      <c r="L185" s="2" t="str">
        <f>L78</f>
        <v>Her kan et synonym indsættes</v>
      </c>
      <c r="M185" s="2" t="str">
        <f>M78</f>
        <v>Her kan et synonym indsættes</v>
      </c>
      <c r="N185" s="2" t="str">
        <f t="shared" ref="N185:O185" si="62">N78</f>
        <v>Her kan et synonym indsættes</v>
      </c>
      <c r="O185" s="2" t="str">
        <f t="shared" si="62"/>
        <v>Her kan et synonym indsættes</v>
      </c>
      <c r="S185" s="33"/>
    </row>
    <row r="186" spans="5:20" x14ac:dyDescent="0.2">
      <c r="S186" t="str">
        <f t="shared" si="12"/>
        <v/>
      </c>
    </row>
    <row r="187" spans="5:20" x14ac:dyDescent="0.2">
      <c r="E187" s="54" t="s">
        <v>175</v>
      </c>
      <c r="F187" s="54"/>
      <c r="G187" s="15" t="str">
        <f>IF(IFERROR(SEARCH("NEJ",CONCATENATE(" ",H189,H194,H210,H215,H234)),1)=1,"OK","NEJ")</f>
        <v>NEJ</v>
      </c>
      <c r="H187" t="str">
        <f>IF(G187="OK","",RIGHT(T261,LEN(T261)))</f>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 Sum af pesticider</v>
      </c>
      <c r="K187" s="31"/>
    </row>
    <row r="188" spans="5:20" x14ac:dyDescent="0.2">
      <c r="F188" s="17"/>
      <c r="G188" s="8"/>
    </row>
    <row r="189" spans="5:20" x14ac:dyDescent="0.2">
      <c r="E189" s="51" t="s">
        <v>62</v>
      </c>
      <c r="F189" s="51"/>
      <c r="G189" s="14"/>
      <c r="H189" s="13" t="str">
        <f>IF(IFERROR(SEARCH("NEJ",CONCATENATE(" ",G190,G191,G192,G193)),1)=1,"OK","NEJ")</f>
        <v>NEJ</v>
      </c>
    </row>
    <row r="190" spans="5:20" x14ac:dyDescent="0.2">
      <c r="F190" s="9" t="s">
        <v>58</v>
      </c>
      <c r="G190" s="4" t="str">
        <f>IF((IFERROR(SEARCH(K190,Rådata!$B$1000),-1)+IFERROR(SEARCH(L190,Rådata!$B$1000),-1)+IFERROR(SEARCH(M190,Rådata!$B$1000),-1)+IFERROR(SEARCH(N190,Rådata!$B$1000),-1)+IFERROR(SEARCH(O190,Rådata!$B$1000),-1))&gt;0,"-","NEJ")</f>
        <v>NEJ</v>
      </c>
      <c r="K190" s="2" t="str">
        <f>K15</f>
        <v>Coliforme bakterier</v>
      </c>
      <c r="L190" s="2" t="str">
        <f t="shared" ref="L190:M190" si="63">L15</f>
        <v>Coliforme bakt.</v>
      </c>
      <c r="M190" s="2" t="str">
        <f t="shared" si="63"/>
        <v>Her kan et synonym indsættes</v>
      </c>
      <c r="N190" s="2" t="str">
        <f t="shared" ref="N190:O190" si="64">N15</f>
        <v>Her kan et synonym indsættes</v>
      </c>
      <c r="O190" s="2" t="str">
        <f t="shared" si="64"/>
        <v>Her kan et synonym indsættes</v>
      </c>
      <c r="S190" s="2" t="str">
        <f t="shared" si="12"/>
        <v>Coliforme bakterier</v>
      </c>
      <c r="T190" t="str">
        <f>S190</f>
        <v>Coliforme bakterier</v>
      </c>
    </row>
    <row r="191" spans="5:20" x14ac:dyDescent="0.2">
      <c r="F191" s="3" t="s">
        <v>59</v>
      </c>
      <c r="G191" s="4" t="str">
        <f>IF((IFERROR(SEARCH(K191,Rådata!$B$1000),-1)+IFERROR(SEARCH(L191,Rådata!$B$1000),-1)+IFERROR(SEARCH(M191,Rådata!$B$1000),-1)+IFERROR(SEARCH(N191,Rådata!$B$1000),-1)+IFERROR(SEARCH(O191,Rådata!$B$1000),-1))&gt;0,"-","NEJ")</f>
        <v>NEJ</v>
      </c>
      <c r="K191" s="2" t="str">
        <f>K16</f>
        <v>Escherichia coli</v>
      </c>
      <c r="L191" s="2" t="str">
        <f t="shared" ref="L191:M191" si="65">L16</f>
        <v>E. coli</v>
      </c>
      <c r="M191" s="2" t="str">
        <f t="shared" si="65"/>
        <v>E.coli</v>
      </c>
      <c r="N191" s="2" t="str">
        <f t="shared" ref="N191:O191" si="66">N16</f>
        <v>Her kan et synonym indsættes</v>
      </c>
      <c r="O191" s="2" t="str">
        <f t="shared" si="66"/>
        <v>Her kan et synonym indsættes</v>
      </c>
      <c r="S191" s="2" t="str">
        <f t="shared" si="12"/>
        <v>E. coli</v>
      </c>
      <c r="T191" t="str">
        <f t="shared" si="30"/>
        <v>Coliforme bakterier, E. coli</v>
      </c>
    </row>
    <row r="192" spans="5:20" x14ac:dyDescent="0.2">
      <c r="F192" s="3" t="s">
        <v>155</v>
      </c>
      <c r="G192" s="4" t="str">
        <f>IF((IFERROR(SEARCH(K192,Rådata!$B$1000),-1)+IFERROR(SEARCH(L192,Rådata!$B$1000),-1)+IFERROR(SEARCH(M192,Rådata!$B$1000),-1)+IFERROR(SEARCH(N192,Rådata!$B$1000),-1)+IFERROR(SEARCH(O192,Rådata!$B$1000),-1))&gt;0,"-","NEJ")</f>
        <v>NEJ</v>
      </c>
      <c r="K192" s="2" t="str">
        <f>K14</f>
        <v>Kimtal</v>
      </c>
      <c r="L192" s="2" t="str">
        <f t="shared" ref="L192:M192" si="67">L14</f>
        <v>Her kan et synonym indsættes</v>
      </c>
      <c r="M192" s="2" t="str">
        <f t="shared" si="67"/>
        <v>Her kan et synonym indsættes</v>
      </c>
      <c r="N192" s="2" t="str">
        <f t="shared" ref="N192:O192" si="68">N14</f>
        <v>Her kan et synonym indsættes</v>
      </c>
      <c r="O192" s="2" t="str">
        <f t="shared" si="68"/>
        <v>Her kan et synonym indsættes</v>
      </c>
      <c r="S192" s="2" t="str">
        <f t="shared" si="12"/>
        <v>Kimtal v. 22 ºC</v>
      </c>
      <c r="T192" t="str">
        <f t="shared" si="30"/>
        <v>Coliforme bakterier, E. coli, Kimtal v. 22 ºC</v>
      </c>
    </row>
    <row r="193" spans="5:20" x14ac:dyDescent="0.2">
      <c r="F193" s="10" t="s">
        <v>3</v>
      </c>
      <c r="G193" s="4" t="str">
        <f>IF((IFERROR(SEARCH(K193,Rådata!$B$1000),-1)+IFERROR(SEARCH(L193,Rådata!$B$1000),-1)+IFERROR(SEARCH(M193,Rådata!$B$1000),-1)+IFERROR(SEARCH(N193,Rådata!$B$1000),-1)+IFERROR(SEARCH(O193,Rådata!$B$1000),-1))&gt;0,"-","NEJ")</f>
        <v>NEJ</v>
      </c>
      <c r="K193" s="2" t="str">
        <f>K23</f>
        <v>Enterokokker</v>
      </c>
      <c r="L193" s="2" t="str">
        <f t="shared" ref="L193:M193" si="69">L23</f>
        <v>Fækale streptokokker</v>
      </c>
      <c r="M193" s="2" t="str">
        <f t="shared" si="69"/>
        <v>Her kan et synonym indsættes</v>
      </c>
      <c r="N193" s="2" t="str">
        <f t="shared" ref="N193:O193" si="70">N23</f>
        <v>Her kan et synonym indsættes</v>
      </c>
      <c r="O193" s="2" t="str">
        <f t="shared" si="70"/>
        <v>Her kan et synonym indsættes</v>
      </c>
      <c r="S193" s="2" t="str">
        <f t="shared" si="12"/>
        <v>Enterokokker</v>
      </c>
      <c r="T193" t="str">
        <f t="shared" si="30"/>
        <v>Coliforme bakterier, E. coli, Kimtal v. 22 ºC, Enterokokker</v>
      </c>
    </row>
    <row r="194" spans="5:20" x14ac:dyDescent="0.2">
      <c r="E194" s="51" t="s">
        <v>63</v>
      </c>
      <c r="F194" s="51"/>
      <c r="G194" s="13"/>
      <c r="H194" s="13" t="str">
        <f>IF(IFERROR(SEARCH("NEJ",CONCATENATE(" ",G195,G196,G197,G198,G199,G200,G201,G202,G203,G204,G205,G207,G208,G209)),1)=1,"OK","NEJ")</f>
        <v>NEJ</v>
      </c>
      <c r="K194" s="2"/>
      <c r="L194" s="2"/>
      <c r="M194" s="2"/>
      <c r="N194" s="2"/>
      <c r="O194" s="2"/>
      <c r="T194" t="str">
        <f t="shared" si="30"/>
        <v>Coliforme bakterier, E. coli, Kimtal v. 22 ºC, Enterokokker</v>
      </c>
    </row>
    <row r="195" spans="5:20" x14ac:dyDescent="0.2">
      <c r="F195" s="9" t="s">
        <v>64</v>
      </c>
      <c r="G195" s="4" t="str">
        <f>IF((IFERROR(SEARCH(K195,Rådata!$B$1000),-1)+IFERROR(SEARCH(L195,Rådata!$B$1000),-1)+IFERROR(SEARCH(M195,Rådata!$B$1000),-1)+IFERROR(SEARCH(N195,Rådata!$B$1000),-1)+IFERROR(SEARCH(O195,Rådata!$B$1000),-1))&gt;0,"-","NEJ")</f>
        <v>NEJ</v>
      </c>
      <c r="K195" s="2" t="str">
        <f t="shared" ref="K195:K209" si="71">F195</f>
        <v>Temperatur</v>
      </c>
      <c r="L195" s="2" t="s">
        <v>179</v>
      </c>
      <c r="M195" s="2" t="s">
        <v>179</v>
      </c>
      <c r="N195" s="2" t="s">
        <v>179</v>
      </c>
      <c r="O195" s="2" t="s">
        <v>179</v>
      </c>
      <c r="S195" s="2" t="str">
        <f t="shared" si="12"/>
        <v>Temperatur</v>
      </c>
      <c r="T195" t="str">
        <f t="shared" si="30"/>
        <v>Coliforme bakterier, E. coli, Kimtal v. 22 ºC, Enterokokker, Temperatur</v>
      </c>
    </row>
    <row r="196" spans="5:20" x14ac:dyDescent="0.2">
      <c r="F196" s="3" t="s">
        <v>51</v>
      </c>
      <c r="G196" s="4" t="str">
        <f>IF((IFERROR(SEARCH(K196,Rådata!$B$1000),-1)+IFERROR(SEARCH(L196,Rådata!$B$1000),-1)+IFERROR(SEARCH(M196,Rådata!$B$1000),-1)+IFERROR(SEARCH(N196,Rådata!$B$1000),-1)+IFERROR(SEARCH(O196,Rådata!$B$1000),-1))&gt;0,"-","NEJ")</f>
        <v>NEJ</v>
      </c>
      <c r="K196" s="2" t="str">
        <f>K12</f>
        <v>pH</v>
      </c>
      <c r="L196" s="2" t="str">
        <f t="shared" ref="L196:M196" si="72">L12</f>
        <v>Her kan et synonym indsættes</v>
      </c>
      <c r="M196" s="2" t="str">
        <f t="shared" si="72"/>
        <v>Her kan et synonym indsættes</v>
      </c>
      <c r="N196" s="2" t="str">
        <f t="shared" ref="N196:O196" si="73">N12</f>
        <v>Her kan et synonym indsættes</v>
      </c>
      <c r="O196" s="2" t="str">
        <f t="shared" si="73"/>
        <v>Her kan et synonym indsættes</v>
      </c>
      <c r="S196" s="2" t="str">
        <f t="shared" si="12"/>
        <v>pH</v>
      </c>
      <c r="T196" t="str">
        <f t="shared" si="30"/>
        <v>Coliforme bakterier, E. coli, Kimtal v. 22 ºC, Enterokokker, Temperatur, pH</v>
      </c>
    </row>
    <row r="197" spans="5:20" x14ac:dyDescent="0.2">
      <c r="F197" s="3" t="s">
        <v>52</v>
      </c>
      <c r="G197" s="4" t="str">
        <f>IF((IFERROR(SEARCH(K197,Rådata!$B$1000),-1)+IFERROR(SEARCH(L197,Rådata!$B$1000),-1)+IFERROR(SEARCH(M197,Rådata!$B$1000),-1)+IFERROR(SEARCH(N197,Rådata!$B$1000),-1)+IFERROR(SEARCH(O197,Rådata!$B$1000),-1))&gt;0,"-","NEJ")</f>
        <v>NEJ</v>
      </c>
      <c r="K197" s="2" t="str">
        <f>K13</f>
        <v>Ledningsevne</v>
      </c>
      <c r="L197" s="2" t="str">
        <f t="shared" ref="L197:M197" si="74">L13</f>
        <v>Konduktivitet</v>
      </c>
      <c r="M197" s="2" t="str">
        <f t="shared" si="74"/>
        <v>Her kan et synonym indsættes</v>
      </c>
      <c r="N197" s="2" t="str">
        <f t="shared" ref="N197:O197" si="75">N13</f>
        <v>Her kan et synonym indsættes</v>
      </c>
      <c r="O197" s="2" t="str">
        <f t="shared" si="75"/>
        <v>Her kan et synonym indsættes</v>
      </c>
      <c r="S197" s="2" t="str">
        <f t="shared" si="12"/>
        <v>Ledningsevne</v>
      </c>
      <c r="T197" t="str">
        <f t="shared" si="30"/>
        <v>Coliforme bakterier, E. coli, Kimtal v. 22 ºC, Enterokokker, Temperatur, pH, Ledningsevne</v>
      </c>
    </row>
    <row r="198" spans="5:20" x14ac:dyDescent="0.2">
      <c r="F198" s="3" t="s">
        <v>65</v>
      </c>
      <c r="G198" s="4" t="str">
        <f>IF((IFERROR(SEARCH(K198,Rådata!$B$1000),-1)+IFERROR(SEARCH(L198,Rådata!$B$1000),-1)+IFERROR(SEARCH(M198,Rådata!$B$1000),-1)+IFERROR(SEARCH(N198,Rådata!$B$1000),-1)+IFERROR(SEARCH(O198,Rådata!$B$1000),-1))&gt;0,"-","NEJ")</f>
        <v>NEJ</v>
      </c>
      <c r="K198" s="2" t="str">
        <f>K26</f>
        <v>NVOC</v>
      </c>
      <c r="L198" s="2" t="str">
        <f t="shared" ref="L198:M198" si="76">L26</f>
        <v>Her kan et synonym indsættes</v>
      </c>
      <c r="M198" s="2" t="str">
        <f t="shared" si="76"/>
        <v>Her kan et synonym indsættes</v>
      </c>
      <c r="N198" s="2" t="str">
        <f t="shared" ref="N198:O198" si="77">N26</f>
        <v>Her kan et synonym indsættes</v>
      </c>
      <c r="O198" s="2" t="str">
        <f t="shared" si="77"/>
        <v>Her kan et synonym indsættes</v>
      </c>
      <c r="S198" s="2" t="str">
        <f t="shared" si="12"/>
        <v>NVOC</v>
      </c>
      <c r="T198" t="str">
        <f t="shared" si="30"/>
        <v>Coliforme bakterier, E. coli, Kimtal v. 22 ºC, Enterokokker, Temperatur, pH, Ledningsevne, NVOC</v>
      </c>
    </row>
    <row r="199" spans="5:20" x14ac:dyDescent="0.2">
      <c r="F199" s="23" t="s">
        <v>66</v>
      </c>
      <c r="G199" s="18" t="str">
        <f>IF((IFERROR(SEARCH(K199,Rådata!$B$1000),-1)+IFERROR(SEARCH(L199,Rådata!$B$1000),-1)+IFERROR(SEARCH(M199,Rådata!$B$1000),-1)+IFERROR(SEARCH(N199,Rådata!$B$1000),-1)+IFERROR(SEARCH(O199,Rådata!$B$1000),-1))&gt;0,"-","NEJ")</f>
        <v>NEJ</v>
      </c>
      <c r="K199" s="2" t="str">
        <f>K27</f>
        <v>Natrium</v>
      </c>
      <c r="L199" s="2" t="str">
        <f t="shared" ref="L199:M199" si="78">L27</f>
        <v>Her kan et synonym indsættes</v>
      </c>
      <c r="M199" s="2" t="str">
        <f t="shared" si="78"/>
        <v>Her kan et synonym indsættes</v>
      </c>
      <c r="N199" s="2" t="str">
        <f t="shared" ref="N199:O199" si="79">N27</f>
        <v>Her kan et synonym indsættes</v>
      </c>
      <c r="O199" s="2" t="str">
        <f t="shared" si="79"/>
        <v>Her kan et synonym indsættes</v>
      </c>
      <c r="S199" s="33"/>
      <c r="T199" t="str">
        <f t="shared" si="30"/>
        <v>Coliforme bakterier, E. coli, Kimtal v. 22 ºC, Enterokokker, Temperatur, pH, Ledningsevne, NVOC</v>
      </c>
    </row>
    <row r="200" spans="5:20" x14ac:dyDescent="0.2">
      <c r="F200" s="3" t="s">
        <v>67</v>
      </c>
      <c r="G200" s="4" t="str">
        <f>IF((IFERROR(SEARCH(K200,Rådata!$B$1000),-1)+IFERROR(SEARCH(L200,Rådata!$B$1000),-1)+IFERROR(SEARCH(M200,Rådata!$B$1000),-1)+IFERROR(SEARCH(N200,Rådata!$B$1000),-1)+IFERROR(SEARCH(O200,Rådata!$B$1000),-1))&gt;0,"-","NEJ")</f>
        <v>NEJ</v>
      </c>
      <c r="K200" s="2" t="str">
        <f>K28</f>
        <v>Ammonium</v>
      </c>
      <c r="L200" s="2" t="str">
        <f t="shared" ref="L200:M200" si="80">L28</f>
        <v>Her kan et synonym indsættes</v>
      </c>
      <c r="M200" s="2" t="str">
        <f t="shared" si="80"/>
        <v>Her kan et synonym indsættes</v>
      </c>
      <c r="N200" s="2" t="str">
        <f t="shared" ref="N200:O200" si="81">N28</f>
        <v>Her kan et synonym indsættes</v>
      </c>
      <c r="O200" s="2" t="str">
        <f t="shared" si="81"/>
        <v>Her kan et synonym indsættes</v>
      </c>
      <c r="S200" s="2" t="str">
        <f t="shared" ref="S200:S267" si="82">IF(G200="NEJ",F200,"")</f>
        <v>Ammonium</v>
      </c>
      <c r="T200" t="str">
        <f t="shared" si="30"/>
        <v>Coliforme bakterier, E. coli, Kimtal v. 22 ºC, Enterokokker, Temperatur, pH, Ledningsevne, NVOC, Ammonium</v>
      </c>
    </row>
    <row r="201" spans="5:20" x14ac:dyDescent="0.2">
      <c r="F201" s="3" t="s">
        <v>60</v>
      </c>
      <c r="G201" s="4" t="str">
        <f>IF((IFERROR(SEARCH(K201,Rådata!$B$1000),-1)+IFERROR(SEARCH(L201,Rådata!$B$1000),-1)+IFERROR(SEARCH(M201,Rådata!$B$1000),-1)+IFERROR(SEARCH(N201,Rådata!$B$1000),-1)+IFERROR(SEARCH(O201,Rådata!$B$1000),-1))&gt;0,"-","NEJ")</f>
        <v>NEJ</v>
      </c>
      <c r="K201" s="2" t="str">
        <f>K17</f>
        <v>Jern</v>
      </c>
      <c r="L201" s="2" t="str">
        <f t="shared" ref="L201:M201" si="83">L17</f>
        <v>Her kan et synonym indsættes</v>
      </c>
      <c r="M201" s="2" t="str">
        <f t="shared" si="83"/>
        <v>Her kan et synonym indsættes</v>
      </c>
      <c r="N201" s="2" t="str">
        <f t="shared" ref="N201:O201" si="84">N17</f>
        <v>Her kan et synonym indsættes</v>
      </c>
      <c r="O201" s="2" t="str">
        <f t="shared" si="84"/>
        <v>Her kan et synonym indsættes</v>
      </c>
      <c r="S201" s="2" t="str">
        <f t="shared" si="82"/>
        <v>Jern</v>
      </c>
      <c r="T201" t="str">
        <f t="shared" si="30"/>
        <v>Coliforme bakterier, E. coli, Kimtal v. 22 ºC, Enterokokker, Temperatur, pH, Ledningsevne, NVOC, Ammonium, Jern</v>
      </c>
    </row>
    <row r="202" spans="5:20" x14ac:dyDescent="0.2">
      <c r="F202" s="3" t="s">
        <v>68</v>
      </c>
      <c r="G202" s="4" t="str">
        <f>IF((IFERROR(SEARCH(K202,Rådata!$B$1000),-1)+IFERROR(SEARCH(L202,Rådata!$B$1000),-1)+IFERROR(SEARCH(M202,Rådata!$B$1000),-1)+IFERROR(SEARCH(N202,Rådata!$B$1000),-1)+IFERROR(SEARCH(O202,Rådata!$B$1000),-1))&gt;0,"-","NEJ")</f>
        <v>NEJ</v>
      </c>
      <c r="K202" s="2" t="str">
        <f>K29</f>
        <v>Mangan</v>
      </c>
      <c r="L202" s="2" t="str">
        <f t="shared" ref="L202:M202" si="85">L29</f>
        <v>Her kan et synonym indsættes</v>
      </c>
      <c r="M202" s="2" t="str">
        <f t="shared" si="85"/>
        <v>Her kan et synonym indsættes</v>
      </c>
      <c r="N202" s="2" t="str">
        <f t="shared" ref="N202:O202" si="86">N29</f>
        <v>Her kan et synonym indsættes</v>
      </c>
      <c r="O202" s="2" t="str">
        <f t="shared" si="86"/>
        <v>Her kan et synonym indsættes</v>
      </c>
      <c r="S202" s="2" t="str">
        <f t="shared" si="82"/>
        <v>Mangan</v>
      </c>
      <c r="T202" t="str">
        <f t="shared" si="30"/>
        <v>Coliforme bakterier, E. coli, Kimtal v. 22 ºC, Enterokokker, Temperatur, pH, Ledningsevne, NVOC, Ammonium, Jern, Mangan</v>
      </c>
    </row>
    <row r="203" spans="5:20" x14ac:dyDescent="0.2">
      <c r="F203" s="3" t="s">
        <v>4</v>
      </c>
      <c r="G203" s="4" t="str">
        <f>IF((IFERROR(SEARCH(K203,Rådata!$B$1000),-1)+IFERROR(SEARCH(L203,Rådata!$B$1000),-1)+IFERROR(SEARCH(M203,Rådata!$B$1000),-1)+IFERROR(SEARCH(N203,Rådata!$B$1000),-1)+IFERROR(SEARCH(O203,Rådata!$B$1000),-1))&gt;0,"-","NEJ")</f>
        <v>NEJ</v>
      </c>
      <c r="K203" s="2" t="str">
        <f>K18</f>
        <v>Nitrit</v>
      </c>
      <c r="L203" s="2" t="str">
        <f t="shared" ref="L203:M203" si="87">L18</f>
        <v>Her kan et synonym indsættes</v>
      </c>
      <c r="M203" s="2" t="str">
        <f t="shared" si="87"/>
        <v>Her kan et synonym indsættes</v>
      </c>
      <c r="N203" s="2" t="str">
        <f t="shared" ref="N203:O203" si="88">N18</f>
        <v>Her kan et synonym indsættes</v>
      </c>
      <c r="O203" s="2" t="str">
        <f t="shared" si="88"/>
        <v>Her kan et synonym indsættes</v>
      </c>
      <c r="S203" s="2" t="str">
        <f t="shared" si="82"/>
        <v>Nitrit</v>
      </c>
      <c r="T203" t="str">
        <f t="shared" si="30"/>
        <v>Coliforme bakterier, E. coli, Kimtal v. 22 ºC, Enterokokker, Temperatur, pH, Ledningsevne, NVOC, Ammonium, Jern, Mangan, Nitrit</v>
      </c>
    </row>
    <row r="204" spans="5:20" x14ac:dyDescent="0.2">
      <c r="F204" s="3" t="s">
        <v>5</v>
      </c>
      <c r="G204" s="4" t="str">
        <f>IF((IFERROR(SEARCH(K204,Rådata!$B$1000),-1)+IFERROR(SEARCH(L204,Rådata!$B$1000),-1)+IFERROR(SEARCH(M204,Rådata!$B$1000),-1)+IFERROR(SEARCH(N204,Rådata!$B$1000),-1)+IFERROR(SEARCH(O204,Rådata!$B$1000),-1))&gt;0,"-","NEJ")</f>
        <v>NEJ</v>
      </c>
      <c r="K204" s="2" t="str">
        <f>K32</f>
        <v>Nitrat</v>
      </c>
      <c r="L204" s="2" t="str">
        <f t="shared" ref="L204:M204" si="89">L32</f>
        <v>Her kan et synonym indsættes</v>
      </c>
      <c r="M204" s="2" t="str">
        <f t="shared" si="89"/>
        <v>Her kan et synonym indsættes</v>
      </c>
      <c r="N204" s="2" t="str">
        <f t="shared" ref="N204:O204" si="90">N32</f>
        <v>Her kan et synonym indsættes</v>
      </c>
      <c r="O204" s="2" t="str">
        <f t="shared" si="90"/>
        <v>Her kan et synonym indsættes</v>
      </c>
      <c r="S204" s="2" t="str">
        <f t="shared" si="82"/>
        <v>Nitrat</v>
      </c>
      <c r="T204" t="str">
        <f t="shared" si="30"/>
        <v>Coliforme bakterier, E. coli, Kimtal v. 22 ºC, Enterokokker, Temperatur, pH, Ledningsevne, NVOC, Ammonium, Jern, Mangan, Nitrit, Nitrat</v>
      </c>
    </row>
    <row r="205" spans="5:20" x14ac:dyDescent="0.2">
      <c r="F205" s="3" t="s">
        <v>156</v>
      </c>
      <c r="G205" s="4" t="str">
        <f>IF((IFERROR(SEARCH(K205,Rådata!$B$1000),-1)+IFERROR(SEARCH(L205,Rådata!$B$1000),-1)+IFERROR(SEARCH(M205,Rådata!$B$1000),-1)+IFERROR(SEARCH(N205,Rådata!$B$1000),-1)+IFERROR(SEARCH(O205,Rådata!$B$1000),-1))&gt;0,"-","NEJ")</f>
        <v>NEJ</v>
      </c>
      <c r="K205" s="29" t="str">
        <f t="shared" si="71"/>
        <v>Ilt</v>
      </c>
      <c r="L205" s="29" t="s">
        <v>179</v>
      </c>
      <c r="M205" s="29" t="s">
        <v>179</v>
      </c>
      <c r="N205" s="29" t="s">
        <v>179</v>
      </c>
      <c r="O205" s="29" t="s">
        <v>179</v>
      </c>
      <c r="S205" s="2" t="str">
        <f t="shared" si="82"/>
        <v>Ilt</v>
      </c>
      <c r="T205" t="str">
        <f t="shared" si="30"/>
        <v>Coliforme bakterier, E. coli, Kimtal v. 22 ºC, Enterokokker, Temperatur, pH, Ledningsevne, NVOC, Ammonium, Jern, Mangan, Nitrit, Nitrat, Ilt</v>
      </c>
    </row>
    <row r="206" spans="5:20" x14ac:dyDescent="0.2">
      <c r="F206" s="45" t="s">
        <v>165</v>
      </c>
      <c r="G206" s="18" t="str">
        <f>IF((IFERROR(SEARCH(K206,Rådata!$B$1000),-1)+IFERROR(SEARCH(L206,Rådata!$B$1000),-1)+IFERROR(SEARCH(M206,Rådata!$B$1000),-1)+IFERROR(SEARCH(N206,Rådata!$B$1000),-1)+IFERROR(SEARCH(O206,Rådata!$B$1000),-1))&gt;0,"-","NEJ")</f>
        <v>NEJ</v>
      </c>
      <c r="K206" s="29" t="str">
        <f t="shared" si="71"/>
        <v>Aggressivt kuldioxid</v>
      </c>
      <c r="L206" s="29" t="s">
        <v>183</v>
      </c>
      <c r="M206" s="29" t="s">
        <v>266</v>
      </c>
      <c r="N206" s="29" t="s">
        <v>179</v>
      </c>
      <c r="O206" s="29" t="s">
        <v>179</v>
      </c>
      <c r="S206" s="33"/>
      <c r="T206" t="str">
        <f>IF(S206="",T205,T205&amp;", "&amp;S206)</f>
        <v>Coliforme bakterier, E. coli, Kimtal v. 22 ºC, Enterokokker, Temperatur, pH, Ledningsevne, NVOC, Ammonium, Jern, Mangan, Nitrit, Nitrat, Ilt</v>
      </c>
    </row>
    <row r="207" spans="5:20" x14ac:dyDescent="0.2">
      <c r="F207" s="23" t="s">
        <v>157</v>
      </c>
      <c r="G207" s="18" t="str">
        <f>IF((IFERROR(SEARCH(K207,Rådata!$B$1000),-1)+IFERROR(SEARCH(L207,Rådata!$B$1000),-1)+IFERROR(SEARCH(M207,Rådata!$B$1000),-1)+IFERROR(SEARCH(N207,Rådata!$B$1000),-1)+IFERROR(SEARCH(O207,Rådata!$B$1000),-1))&gt;0,"-","NEJ")</f>
        <v>NEJ</v>
      </c>
      <c r="K207" s="29" t="str">
        <f t="shared" si="71"/>
        <v>Methan</v>
      </c>
      <c r="L207" s="29" t="s">
        <v>226</v>
      </c>
      <c r="M207" s="29" t="s">
        <v>179</v>
      </c>
      <c r="N207" s="29" t="s">
        <v>179</v>
      </c>
      <c r="O207" s="29" t="s">
        <v>179</v>
      </c>
      <c r="S207" s="33"/>
      <c r="T207" t="str">
        <f t="shared" si="30"/>
        <v>Coliforme bakterier, E. coli, Kimtal v. 22 ºC, Enterokokker, Temperatur, pH, Ledningsevne, NVOC, Ammonium, Jern, Mangan, Nitrit, Nitrat, Ilt</v>
      </c>
    </row>
    <row r="208" spans="5:20" x14ac:dyDescent="0.2">
      <c r="F208" s="23" t="s">
        <v>158</v>
      </c>
      <c r="G208" s="18" t="str">
        <f>IF((IFERROR(SEARCH(K208,Rådata!$B$1000),-1)+IFERROR(SEARCH(L208,Rådata!$B$1000),-1)+IFERROR(SEARCH(M208,Rådata!$B$1000),-1)+IFERROR(SEARCH(N208,Rådata!$B$1000),-1)+IFERROR(SEARCH(O208,Rådata!$B$1000),-1))&gt;0,"-","NEJ")</f>
        <v>NEJ</v>
      </c>
      <c r="K208" s="29" t="str">
        <f t="shared" si="71"/>
        <v>Svovlbrinte</v>
      </c>
      <c r="L208" s="29" t="s">
        <v>225</v>
      </c>
      <c r="M208" s="29" t="s">
        <v>179</v>
      </c>
      <c r="N208" s="29" t="s">
        <v>179</v>
      </c>
      <c r="O208" s="29" t="s">
        <v>179</v>
      </c>
      <c r="S208" s="33"/>
      <c r="T208" t="str">
        <f t="shared" si="30"/>
        <v>Coliforme bakterier, E. coli, Kimtal v. 22 ºC, Enterokokker, Temperatur, pH, Ledningsevne, NVOC, Ammonium, Jern, Mangan, Nitrit, Nitrat, Ilt</v>
      </c>
    </row>
    <row r="209" spans="5:20" x14ac:dyDescent="0.2">
      <c r="F209" s="10" t="s">
        <v>159</v>
      </c>
      <c r="G209" s="4" t="str">
        <f>IF((IFERROR(SEARCH(K209,Rådata!$B$1000),-1)+IFERROR(SEARCH(L209,Rådata!$B$1000),-1)+IFERROR(SEARCH(M209,Rådata!$B$1000),-1)+IFERROR(SEARCH(N209,Rådata!$B$1000),-1)+IFERROR(SEARCH(O209,Rådata!$B$1000),-1))&gt;0,"-","NEJ")</f>
        <v>NEJ</v>
      </c>
      <c r="K209" s="29" t="str">
        <f t="shared" si="71"/>
        <v>Hårdhed</v>
      </c>
      <c r="L209" s="29" t="s">
        <v>179</v>
      </c>
      <c r="M209" s="29" t="s">
        <v>179</v>
      </c>
      <c r="N209" s="29" t="s">
        <v>179</v>
      </c>
      <c r="O209" s="29" t="s">
        <v>179</v>
      </c>
      <c r="S209" s="2" t="str">
        <f t="shared" si="82"/>
        <v>Hårdhed</v>
      </c>
      <c r="T209" t="str">
        <f t="shared" si="30"/>
        <v>Coliforme bakterier, E. coli, Kimtal v. 22 ºC, Enterokokker, Temperatur, pH, Ledningsevne, NVOC, Ammonium, Jern, Mangan, Nitrit, Nitrat, Ilt, Hårdhed</v>
      </c>
    </row>
    <row r="210" spans="5:20" x14ac:dyDescent="0.2">
      <c r="E210" s="51" t="s">
        <v>70</v>
      </c>
      <c r="F210" s="51"/>
      <c r="G210" s="13"/>
      <c r="H210" s="13" t="str">
        <f>IF(IFERROR(SEARCH("NEJ",CONCATENATE(" ",G212,G213)),1)=1,"OK","NEJ")</f>
        <v>NEJ</v>
      </c>
      <c r="K210" s="2"/>
      <c r="L210" s="2"/>
      <c r="M210" s="2"/>
      <c r="N210" s="2"/>
      <c r="O210" s="2"/>
      <c r="T210" t="str">
        <f t="shared" si="30"/>
        <v>Coliforme bakterier, E. coli, Kimtal v. 22 ºC, Enterokokker, Temperatur, pH, Ledningsevne, NVOC, Ammonium, Jern, Mangan, Nitrit, Nitrat, Ilt, Hårdhed</v>
      </c>
    </row>
    <row r="211" spans="5:20" x14ac:dyDescent="0.2">
      <c r="E211" s="22"/>
      <c r="F211" s="46" t="s">
        <v>71</v>
      </c>
      <c r="G211" s="18" t="str">
        <f>IF((IFERROR(SEARCH(K211,Rådata!$B$1000),-1)+IFERROR(SEARCH(L211,Rådata!$B$1000),-1)+IFERROR(SEARCH(M211,Rådata!$B$1000),-1)+IFERROR(SEARCH(N211,Rådata!$B$1000),-1)+IFERROR(SEARCH(O211,Rådata!$B$1000),-1))&gt;0,"-","NEJ")</f>
        <v>NEJ</v>
      </c>
      <c r="H211" s="21"/>
      <c r="K211" s="2" t="str">
        <f>K36</f>
        <v>Aluminium</v>
      </c>
      <c r="L211" s="2" t="str">
        <f t="shared" ref="L211:O211" si="91">L36</f>
        <v>Her kan et synonym indsættes</v>
      </c>
      <c r="M211" s="2" t="str">
        <f t="shared" si="91"/>
        <v>Her kan et synonym indsættes</v>
      </c>
      <c r="N211" s="2" t="str">
        <f t="shared" si="91"/>
        <v>Her kan et synonym indsættes</v>
      </c>
      <c r="O211" s="2" t="str">
        <f t="shared" si="91"/>
        <v>Her kan et synonym indsættes</v>
      </c>
      <c r="S211" s="33"/>
      <c r="T211" t="str">
        <f t="shared" si="30"/>
        <v>Coliforme bakterier, E. coli, Kimtal v. 22 ºC, Enterokokker, Temperatur, pH, Ledningsevne, NVOC, Ammonium, Jern, Mangan, Nitrit, Nitrat, Ilt, Hårdhed</v>
      </c>
    </row>
    <row r="212" spans="5:20" x14ac:dyDescent="0.2">
      <c r="F212" s="9" t="s">
        <v>73</v>
      </c>
      <c r="G212" s="4" t="str">
        <f>IF((IFERROR(SEARCH(K212,Rådata!$B$1000),-1)+IFERROR(SEARCH(L212,Rådata!$B$1000),-1)+IFERROR(SEARCH(M212,Rådata!$B$1000),-1)+IFERROR(SEARCH(N212,Rådata!$B$1000),-1)+IFERROR(SEARCH(O212,Rådata!$B$1000),-1))&gt;0,"-","NEJ")</f>
        <v>NEJ</v>
      </c>
      <c r="K212" s="2" t="str">
        <f>K38</f>
        <v>Arsen</v>
      </c>
      <c r="L212" s="2" t="str">
        <f t="shared" ref="L212:M212" si="92">L38</f>
        <v>Her kan et synonym indsættes</v>
      </c>
      <c r="M212" s="2" t="str">
        <f t="shared" si="92"/>
        <v>Her kan et synonym indsættes</v>
      </c>
      <c r="N212" s="2" t="str">
        <f t="shared" ref="N212:O212" si="93">N38</f>
        <v>Her kan et synonym indsættes</v>
      </c>
      <c r="O212" s="2" t="str">
        <f t="shared" si="93"/>
        <v>Her kan et synonym indsættes</v>
      </c>
      <c r="S212" s="2" t="str">
        <f t="shared" si="82"/>
        <v>Arsen</v>
      </c>
      <c r="T212" t="str">
        <f t="shared" si="30"/>
        <v>Coliforme bakterier, E. coli, Kimtal v. 22 ºC, Enterokokker, Temperatur, pH, Ledningsevne, NVOC, Ammonium, Jern, Mangan, Nitrit, Nitrat, Ilt, Hårdhed, Arsen</v>
      </c>
    </row>
    <row r="213" spans="5:20" x14ac:dyDescent="0.2">
      <c r="F213" s="3" t="s">
        <v>81</v>
      </c>
      <c r="G213" s="4" t="str">
        <f>IF((IFERROR(SEARCH(K213,Rådata!$B$1000),-1)+IFERROR(SEARCH(L213,Rådata!$B$1000),-1)+IFERROR(SEARCH(M213,Rådata!$B$1000),-1)+IFERROR(SEARCH(N213,Rådata!$B$1000),-1)+IFERROR(SEARCH(O213,Rådata!$B$1000),-1))&gt;0,"-","NEJ")</f>
        <v>NEJ</v>
      </c>
      <c r="K213" s="2" t="str">
        <f>K47</f>
        <v>Nikkel</v>
      </c>
      <c r="L213" s="2" t="str">
        <f t="shared" ref="L213:M213" si="94">L47</f>
        <v>Her kan et synonym indsættes</v>
      </c>
      <c r="M213" s="2" t="str">
        <f t="shared" si="94"/>
        <v>Her kan et synonym indsættes</v>
      </c>
      <c r="N213" s="2" t="str">
        <f t="shared" ref="N213:O213" si="95">N47</f>
        <v>Her kan et synonym indsættes</v>
      </c>
      <c r="O213" s="2" t="str">
        <f t="shared" si="95"/>
        <v>Her kan et synonym indsættes</v>
      </c>
      <c r="S213" s="2" t="str">
        <f t="shared" si="82"/>
        <v>Nikkel</v>
      </c>
      <c r="T213" t="str">
        <f t="shared" si="30"/>
        <v>Coliforme bakterier, E. coli, Kimtal v. 22 ºC, Enterokokker, Temperatur, pH, Ledningsevne, NVOC, Ammonium, Jern, Mangan, Nitrit, Nitrat, Ilt, Hårdhed, Arsen, Nikkel</v>
      </c>
    </row>
    <row r="214" spans="5:20" x14ac:dyDescent="0.2">
      <c r="E214" s="53" t="s">
        <v>107</v>
      </c>
      <c r="F214" s="53"/>
      <c r="G214" s="13"/>
      <c r="K214" s="30"/>
      <c r="L214" s="2"/>
      <c r="M214" s="2"/>
      <c r="N214" s="2"/>
      <c r="O214" s="2"/>
      <c r="T214" t="str">
        <f t="shared" si="30"/>
        <v>Coliforme bakterier, E. coli, Kimtal v. 22 ºC, Enterokokker, Temperatur, pH, Ledningsevne, NVOC, Ammonium, Jern, Mangan, Nitrit, Nitrat, Ilt, Hårdhed, Arsen, Nikkel</v>
      </c>
    </row>
    <row r="215" spans="5:20" x14ac:dyDescent="0.2">
      <c r="E215" s="53" t="s">
        <v>108</v>
      </c>
      <c r="F215" s="53"/>
      <c r="G215" s="13"/>
      <c r="H215" s="13" t="str">
        <f>IF(IFERROR(SEARCH("NEJ",CONCATENATE(" ",G216,G217,G218,G219,G220,G221,G222,G223,G225,G226,G227,G228,G229,G230,G231,G232,G233)),1)=1,"OK","NEJ")</f>
        <v>NEJ</v>
      </c>
      <c r="K215" s="30"/>
      <c r="L215" s="2"/>
      <c r="M215" s="2"/>
      <c r="N215" s="2"/>
      <c r="O215" s="2"/>
      <c r="T215" t="str">
        <f t="shared" si="30"/>
        <v>Coliforme bakterier, E. coli, Kimtal v. 22 ºC, Enterokokker, Temperatur, pH, Ledningsevne, NVOC, Ammonium, Jern, Mangan, Nitrit, Nitrat, Ilt, Hårdhed, Arsen, Nikkel</v>
      </c>
    </row>
    <row r="216" spans="5:20" x14ac:dyDescent="0.2">
      <c r="F216" s="9" t="s">
        <v>17</v>
      </c>
      <c r="G216" s="4" t="str">
        <f>IF((IFERROR(SEARCH(K216,Rådata!$B$1000),-1)+IFERROR(SEARCH(L216,Rådata!$B$1000),-1)+IFERROR(SEARCH(M216,Rådata!$B$1000),-1)+IFERROR(SEARCH(N216,Rådata!$B$1000),-1)+IFERROR(SEARCH(O216,Rådata!$B$1000),-1))&gt;0,"-","NEJ")</f>
        <v>NEJ</v>
      </c>
      <c r="K216" s="2" t="str">
        <f>K95</f>
        <v>Aldrin</v>
      </c>
      <c r="L216" s="2" t="str">
        <f t="shared" ref="L216:M216" si="96">L95</f>
        <v>Her kan et synonym indsættes</v>
      </c>
      <c r="M216" s="2" t="str">
        <f t="shared" si="96"/>
        <v>Her kan et synonym indsættes</v>
      </c>
      <c r="N216" s="2" t="str">
        <f t="shared" ref="N216:O216" si="97">N95</f>
        <v>Her kan et synonym indsættes</v>
      </c>
      <c r="O216" s="2" t="str">
        <f t="shared" si="97"/>
        <v>Her kan et synonym indsættes</v>
      </c>
      <c r="S216" s="2" t="str">
        <f t="shared" si="82"/>
        <v>Aldrin</v>
      </c>
      <c r="T216" t="str">
        <f t="shared" si="30"/>
        <v>Coliforme bakterier, E. coli, Kimtal v. 22 ºC, Enterokokker, Temperatur, pH, Ledningsevne, NVOC, Ammonium, Jern, Mangan, Nitrit, Nitrat, Ilt, Hårdhed, Arsen, Nikkel, Aldrin</v>
      </c>
    </row>
    <row r="217" spans="5:20" x14ac:dyDescent="0.2">
      <c r="F217" s="3" t="s">
        <v>235</v>
      </c>
      <c r="G217" s="4" t="str">
        <f>IF((IFERROR(SEARCH(K217,Rådata!$B$1000),-1)+IFERROR(SEARCH(L217,Rådata!$B$1000),-1)+IFERROR(SEARCH(M217,Rådata!$B$1000),-1)+IFERROR(SEARCH(N217,Rådata!$B$1000),-1)+IFERROR(SEARCH(O217,Rådata!$B$1000),-1))&gt;0,"-","NEJ")</f>
        <v>NEJ</v>
      </c>
      <c r="K217" s="2" t="str">
        <f>K96</f>
        <v>Dieldrin</v>
      </c>
      <c r="L217" s="2" t="str">
        <f>L96</f>
        <v>Her kan et synonym indsættes</v>
      </c>
      <c r="M217" s="2" t="str">
        <f>M96</f>
        <v>Her kan et synonym indsættes</v>
      </c>
      <c r="N217" s="2" t="str">
        <f t="shared" ref="N217:O217" si="98">N96</f>
        <v>Her kan et synonym indsættes</v>
      </c>
      <c r="O217" s="2" t="str">
        <f t="shared" si="98"/>
        <v>Her kan et synonym indsættes</v>
      </c>
      <c r="S217" s="2" t="str">
        <f t="shared" si="82"/>
        <v>Dieldrin</v>
      </c>
      <c r="T217" t="str">
        <f t="shared" si="30"/>
        <v>Coliforme bakterier, E. coli, Kimtal v. 22 ºC, Enterokokker, Temperatur, pH, Ledningsevne, NVOC, Ammonium, Jern, Mangan, Nitrit, Nitrat, Ilt, Hårdhed, Arsen, Nikkel, Aldrin, Dieldrin</v>
      </c>
    </row>
    <row r="218" spans="5:20" x14ac:dyDescent="0.2">
      <c r="F218" s="3" t="s">
        <v>236</v>
      </c>
      <c r="G218" s="4" t="str">
        <f>IF((IFERROR(SEARCH(K218,Rådata!$B$1000),-1)+IFERROR(SEARCH(L218,Rådata!$B$1000),-1)+IFERROR(SEARCH(M218,Rådata!$B$1000),-1)+IFERROR(SEARCH(N218,Rådata!$B$1000),-1)+IFERROR(SEARCH(O218,Rådata!$B$1000),-1))&gt;0,"-","NEJ")</f>
        <v>NEJ</v>
      </c>
      <c r="K218" s="2" t="str">
        <f>K97</f>
        <v>Heptachlor</v>
      </c>
      <c r="L218" s="2" t="str">
        <f>L97</f>
        <v>Her kan et synonym indsættes</v>
      </c>
      <c r="M218" s="2" t="str">
        <f>M97</f>
        <v>Her kan et synonym indsættes</v>
      </c>
      <c r="N218" s="2" t="str">
        <f t="shared" ref="N218:O218" si="99">N97</f>
        <v>Her kan et synonym indsættes</v>
      </c>
      <c r="O218" s="2" t="str">
        <f t="shared" si="99"/>
        <v>Her kan et synonym indsættes</v>
      </c>
      <c r="S218" s="2" t="str">
        <f t="shared" si="82"/>
        <v>Heptachlor</v>
      </c>
      <c r="T218" t="str">
        <f t="shared" si="30"/>
        <v>Coliforme bakterier, E. coli, Kimtal v. 22 ºC, Enterokokker, Temperatur, pH, Ledningsevne, NVOC, Ammonium, Jern, Mangan, Nitrit, Nitrat, Ilt, Hårdhed, Arsen, Nikkel, Aldrin, Dieldrin, Heptachlor</v>
      </c>
    </row>
    <row r="219" spans="5:20" x14ac:dyDescent="0.2">
      <c r="F219" s="3" t="s">
        <v>237</v>
      </c>
      <c r="G219" s="4" t="str">
        <f>IF((IFERROR(SEARCH(K219,Rådata!$B$1000),-1)+IFERROR(SEARCH(L219,Rådata!$B$1000),-1)+IFERROR(SEARCH(M219,Rådata!$B$1000),-1)+IFERROR(SEARCH(N219,Rådata!$B$1000),-1)+IFERROR(SEARCH(O219,Rådata!$B$1000),-1))&gt;0,"-","NEJ")</f>
        <v>NEJ</v>
      </c>
      <c r="K219" s="2" t="str">
        <f>K98</f>
        <v>Heptachlorepoxid</v>
      </c>
      <c r="L219" s="2" t="str">
        <f>L98</f>
        <v>Her kan et synonym indsættes</v>
      </c>
      <c r="M219" s="2" t="str">
        <f>M98</f>
        <v>Her kan et synonym indsættes</v>
      </c>
      <c r="N219" s="2" t="str">
        <f t="shared" ref="N219:O219" si="100">N98</f>
        <v>Her kan et synonym indsættes</v>
      </c>
      <c r="O219" s="2" t="str">
        <f t="shared" si="100"/>
        <v>Her kan et synonym indsættes</v>
      </c>
      <c r="S219" s="2" t="str">
        <f t="shared" si="82"/>
        <v>Heptachlorepoxid</v>
      </c>
      <c r="T219" t="str">
        <f t="shared" si="30"/>
        <v>Coliforme bakterier, E. coli, Kimtal v. 22 ºC, Enterokokker, Temperatur, pH, Ledningsevne, NVOC, Ammonium, Jern, Mangan, Nitrit, Nitrat, Ilt, Hårdhed, Arsen, Nikkel, Aldrin, Dieldrin, Heptachlor, Heptachlorepoxid</v>
      </c>
    </row>
    <row r="220" spans="5:20" x14ac:dyDescent="0.2">
      <c r="F220" s="3" t="s">
        <v>19</v>
      </c>
      <c r="G220" s="4" t="str">
        <f>IF((IFERROR(SEARCH(K220,Rådata!$B$1000),-1)+IFERROR(SEARCH(L220,Rådata!$B$1000),-1)+IFERROR(SEARCH(M220,Rådata!$B$1000),-1)+IFERROR(SEARCH(N220,Rådata!$B$1000),-1)+IFERROR(SEARCH(O220,Rådata!$B$1000),-1))&gt;0,"-","NEJ")</f>
        <v>NEJ</v>
      </c>
      <c r="K220" s="2" t="str">
        <f>K99</f>
        <v>Atrazin</v>
      </c>
      <c r="L220" s="2" t="str">
        <f>L99</f>
        <v>Her kan et synonym indsættes</v>
      </c>
      <c r="M220" s="2" t="str">
        <f>M99</f>
        <v>Her kan et synonym indsættes</v>
      </c>
      <c r="N220" s="2" t="str">
        <f t="shared" ref="N220:O220" si="101">N99</f>
        <v>Her kan et synonym indsættes</v>
      </c>
      <c r="O220" s="2" t="str">
        <f t="shared" si="101"/>
        <v>Her kan et synonym indsættes</v>
      </c>
      <c r="S220" s="2" t="str">
        <f t="shared" si="82"/>
        <v>Atrazin</v>
      </c>
      <c r="T220" t="str">
        <f t="shared" si="30"/>
        <v>Coliforme bakterier, E. coli, Kimtal v. 22 ºC, Enterokokker, Temperatur, pH, Ledningsevne, NVOC, Ammonium, Jern, Mangan, Nitrit, Nitrat, Ilt, Hårdhed, Arsen, Nikkel, Aldrin, Dieldrin, Heptachlor, Heptachlorepoxid, Atrazin</v>
      </c>
    </row>
    <row r="221" spans="5:20" x14ac:dyDescent="0.2">
      <c r="F221" s="3" t="s">
        <v>20</v>
      </c>
      <c r="G221" s="4" t="str">
        <f>IF((IFERROR(SEARCH(K221,Rådata!$B$1000),-1)+IFERROR(SEARCH(L221,Rådata!$B$1000),-1)+IFERROR(SEARCH(M221,Rådata!$B$1000),-1)+IFERROR(SEARCH(N221,Rådata!$B$1000),-1)+IFERROR(SEARCH(O221,Rådata!$B$1000),-1))&gt;0,"-","NEJ")</f>
        <v>NEJ</v>
      </c>
      <c r="K221" s="2" t="str">
        <f>K100</f>
        <v>Bentazon</v>
      </c>
      <c r="L221" s="2" t="str">
        <f>L100</f>
        <v>Her kan et synonym indsættes</v>
      </c>
      <c r="M221" s="2" t="str">
        <f>M100</f>
        <v>Her kan et synonym indsættes</v>
      </c>
      <c r="N221" s="2" t="str">
        <f t="shared" ref="N221:O221" si="102">N100</f>
        <v>Her kan et synonym indsættes</v>
      </c>
      <c r="O221" s="2" t="str">
        <f t="shared" si="102"/>
        <v>Her kan et synonym indsættes</v>
      </c>
      <c r="S221" s="2" t="str">
        <f t="shared" si="82"/>
        <v>Bentazon</v>
      </c>
      <c r="T221" t="str">
        <f t="shared" ref="T221:T261" si="103">IF(S221="",T220,T220&amp;", "&amp;S221)</f>
        <v>Coliforme bakterier, E. coli, Kimtal v. 22 ºC, Enterokokker, Temperatur, pH, Ledningsevne, NVOC, Ammonium, Jern, Mangan, Nitrit, Nitrat, Ilt, Hårdhed, Arsen, Nikkel, Aldrin, Dieldrin, Heptachlor, Heptachlorepoxid, Atrazin, Bentazon</v>
      </c>
    </row>
    <row r="222" spans="5:20" x14ac:dyDescent="0.2">
      <c r="F222" s="3" t="s">
        <v>28</v>
      </c>
      <c r="G222" s="4" t="str">
        <f>IF((IFERROR(SEARCH(K222,Rådata!$B$1000),-1)+IFERROR(SEARCH(L222,Rådata!$B$1000),-1)+IFERROR(SEARCH(M222,Rådata!$B$1000),-1)+IFERROR(SEARCH(N222,Rådata!$B$1000),-1)+IFERROR(SEARCH(O222,Rådata!$B$1000),-1))&gt;0,"-","NEJ")</f>
        <v>NEJ</v>
      </c>
      <c r="K222" s="2" t="str">
        <f>K101</f>
        <v>Dichlobenil</v>
      </c>
      <c r="L222" s="2" t="str">
        <f>L101</f>
        <v>Her kan et synonym indsættes</v>
      </c>
      <c r="M222" s="2" t="str">
        <f>M101</f>
        <v>Her kan et synonym indsættes</v>
      </c>
      <c r="N222" s="2" t="str">
        <f t="shared" ref="N222:O222" si="104">N101</f>
        <v>Her kan et synonym indsættes</v>
      </c>
      <c r="O222" s="2" t="str">
        <f t="shared" si="104"/>
        <v>Her kan et synonym indsættes</v>
      </c>
      <c r="S222" s="2" t="str">
        <f t="shared" si="82"/>
        <v>Dichlobenil</v>
      </c>
      <c r="T222" t="str">
        <f t="shared" si="103"/>
        <v>Coliforme bakterier, E. coli, Kimtal v. 22 ºC, Enterokokker, Temperatur, pH, Ledningsevne, NVOC, Ammonium, Jern, Mangan, Nitrit, Nitrat, Ilt, Hårdhed, Arsen, Nikkel, Aldrin, Dieldrin, Heptachlor, Heptachlorepoxid, Atrazin, Bentazon, Dichlobenil</v>
      </c>
    </row>
    <row r="223" spans="5:20" x14ac:dyDescent="0.2">
      <c r="F223" s="3" t="s">
        <v>109</v>
      </c>
      <c r="G223" s="4" t="str">
        <f>IF((IFERROR(SEARCH(K223,Rådata!$B$1000),-1)+IFERROR(SEARCH(L223,Rådata!$B$1000),-1)+IFERROR(SEARCH(M223,Rådata!$B$1000),-1)+IFERROR(SEARCH(N223,Rådata!$B$1000),-1)+IFERROR(SEARCH(O223,Rådata!$B$1000),-1))&gt;0,"-","NEJ")</f>
        <v>NEJ</v>
      </c>
      <c r="K223" s="2" t="str">
        <f>K102</f>
        <v>Dichlorprop</v>
      </c>
      <c r="L223" s="2" t="str">
        <f>L102</f>
        <v>Her kan et synonym indsættes</v>
      </c>
      <c r="M223" s="2" t="str">
        <f>M102</f>
        <v>Her kan et synonym indsættes</v>
      </c>
      <c r="N223" s="2" t="str">
        <f t="shared" ref="N223:O223" si="105">N102</f>
        <v>Her kan et synonym indsættes</v>
      </c>
      <c r="O223" s="2" t="str">
        <f t="shared" si="105"/>
        <v>Her kan et synonym indsættes</v>
      </c>
      <c r="S223" s="2" t="str">
        <f t="shared" si="82"/>
        <v>Dichlorprop</v>
      </c>
      <c r="T223" t="str">
        <f t="shared" si="103"/>
        <v>Coliforme bakterier, E. coli, Kimtal v. 22 ºC, Enterokokker, Temperatur, pH, Ledningsevne, NVOC, Ammonium, Jern, Mangan, Nitrit, Nitrat, Ilt, Hårdhed, Arsen, Nikkel, Aldrin, Dieldrin, Heptachlor, Heptachlorepoxid, Atrazin, Bentazon, Dichlobenil, Dichlorprop</v>
      </c>
    </row>
    <row r="224" spans="5:20" x14ac:dyDescent="0.2">
      <c r="F224" s="3" t="str">
        <f>F103</f>
        <v xml:space="preserve">DMS </v>
      </c>
      <c r="G224" s="4" t="str">
        <f>IF((IFERROR(SEARCH(K224,Rådata!$B$1000),-1)+IFERROR(SEARCH(L224,Rådata!$B$1000),-1)+IFERROR(SEARCH(M224,Rådata!$B$1000),-1)+IFERROR(SEARCH(N224,Rådata!$B$1000),-1)+IFERROR(SEARCH(O224,Rådata!$B$1000),-1))&gt;0,"-","NEJ")</f>
        <v>NEJ</v>
      </c>
      <c r="K224" s="2" t="str">
        <f>K103</f>
        <v xml:space="preserve">DMS </v>
      </c>
      <c r="L224" s="2" t="str">
        <f t="shared" ref="L224:O224" si="106">L103</f>
        <v>Dimethylsulfamid</v>
      </c>
      <c r="M224" s="2" t="str">
        <f t="shared" si="106"/>
        <v>Her kan et synonym indsættes</v>
      </c>
      <c r="N224" s="2" t="str">
        <f t="shared" si="106"/>
        <v>Her kan et synonym indsættes</v>
      </c>
      <c r="O224" s="2" t="str">
        <f t="shared" si="106"/>
        <v>Her kan et synonym indsættes</v>
      </c>
      <c r="S224" s="2" t="str">
        <f t="shared" ref="S224:S225" si="107">IF(G224="NEJ",F224,"")</f>
        <v xml:space="preserve">DMS </v>
      </c>
      <c r="T224" t="str">
        <f t="shared" ref="T224:T225" si="108">IF(S224="",T223,T223&amp;", "&amp;S224)</f>
        <v xml:space="preserve">Coliforme bakterier, E. coli, Kimtal v. 22 ºC, Enterokokker, Temperatur, pH, Ledningsevne, NVOC, Ammonium, Jern, Mangan, Nitrit, Nitrat, Ilt, Hårdhed, Arsen, Nikkel, Aldrin, Dieldrin, Heptachlor, Heptachlorepoxid, Atrazin, Bentazon, Dichlobenil, Dichlorprop, DMS </v>
      </c>
    </row>
    <row r="225" spans="5:20" x14ac:dyDescent="0.2">
      <c r="F225" s="3" t="s">
        <v>30</v>
      </c>
      <c r="G225" s="4" t="str">
        <f>IF((IFERROR(SEARCH(K225,Rådata!$B$1000),-1)+IFERROR(SEARCH(L225,Rådata!$B$1000),-1)+IFERROR(SEARCH(M225,Rådata!$B$1000),-1)+IFERROR(SEARCH(N225,Rådata!$B$1000),-1)+IFERROR(SEARCH(O225,Rådata!$B$1000),-1))&gt;0,"-","NEJ")</f>
        <v>NEJ</v>
      </c>
      <c r="K225" s="2" t="str">
        <f>K104</f>
        <v>Diuron</v>
      </c>
      <c r="L225" s="2" t="str">
        <f>L104</f>
        <v>Her kan et synonym indsættes</v>
      </c>
      <c r="M225" s="2" t="str">
        <f>M104</f>
        <v>Her kan et synonym indsættes</v>
      </c>
      <c r="N225" s="2" t="str">
        <f t="shared" ref="N225:O225" si="109">N104</f>
        <v>Her kan et synonym indsættes</v>
      </c>
      <c r="O225" s="2" t="str">
        <f t="shared" si="109"/>
        <v>Her kan et synonym indsættes</v>
      </c>
      <c r="S225" s="2" t="str">
        <f t="shared" si="107"/>
        <v>Diuron</v>
      </c>
      <c r="T225" t="str">
        <f t="shared" si="108"/>
        <v>Coliforme bakterier, E. coli, Kimtal v. 22 ºC, Enterokokker, Temperatur, pH, Ledningsevne, NVOC, Ammonium, Jern, Mangan, Nitrit, Nitrat, Ilt, Hårdhed, Arsen, Nikkel, Aldrin, Dieldrin, Heptachlor, Heptachlorepoxid, Atrazin, Bentazon, Dichlobenil, Dichlorprop, DMS , Diuron</v>
      </c>
    </row>
    <row r="226" spans="5:20" x14ac:dyDescent="0.2">
      <c r="F226" s="3" t="s">
        <v>110</v>
      </c>
      <c r="G226" s="4" t="str">
        <f>IF((IFERROR(SEARCH(K226,Rådata!$B$1000),-1)+IFERROR(SEARCH(L226,Rådata!$B$1000),-1)+IFERROR(SEARCH(M226,Rådata!$B$1000),-1)+IFERROR(SEARCH(N226,Rådata!$B$1000),-1)+IFERROR(SEARCH(O226,Rådata!$B$1000),-1))&gt;0,"-","NEJ")</f>
        <v>NEJ</v>
      </c>
      <c r="K226" s="2" t="str">
        <f>K105</f>
        <v>Ethylenthiourea</v>
      </c>
      <c r="L226" s="2" t="str">
        <f>L105</f>
        <v>Ethylenthiourinstof</v>
      </c>
      <c r="M226" s="2" t="str">
        <f>M105</f>
        <v>Her kan et synonym indsættes</v>
      </c>
      <c r="N226" s="2" t="str">
        <f t="shared" ref="N226:O226" si="110">N105</f>
        <v>Her kan et synonym indsættes</v>
      </c>
      <c r="O226" s="2" t="str">
        <f t="shared" si="110"/>
        <v>Her kan et synonym indsættes</v>
      </c>
      <c r="S226" s="2" t="str">
        <f t="shared" si="82"/>
        <v>ETU (Ethylenthiourea)</v>
      </c>
      <c r="T226"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v>
      </c>
    </row>
    <row r="227" spans="5:20" x14ac:dyDescent="0.2">
      <c r="F227" s="3" t="s">
        <v>31</v>
      </c>
      <c r="G227" s="4" t="str">
        <f>IF((IFERROR(SEARCH(K227,Rådata!$B$1000),-1)+IFERROR(SEARCH(L227,Rådata!$B$1000),-1)+IFERROR(SEARCH(M227,Rådata!$B$1000),-1)+IFERROR(SEARCH(N227,Rådata!$B$1000),-1)+IFERROR(SEARCH(O227,Rådata!$B$1000),-1))&gt;0,"-","NEJ")</f>
        <v>NEJ</v>
      </c>
      <c r="K227" s="2" t="str">
        <f>K106</f>
        <v>Glyphosat</v>
      </c>
      <c r="L227" s="2" t="str">
        <f>L106</f>
        <v>Her kan et synonym indsættes</v>
      </c>
      <c r="M227" s="2" t="str">
        <f>M106</f>
        <v>Her kan et synonym indsættes</v>
      </c>
      <c r="N227" s="2" t="str">
        <f t="shared" ref="N227:O227" si="111">N106</f>
        <v>Her kan et synonym indsættes</v>
      </c>
      <c r="O227" s="2" t="str">
        <f t="shared" si="111"/>
        <v>Her kan et synonym indsættes</v>
      </c>
      <c r="S227" s="2" t="str">
        <f t="shared" si="82"/>
        <v>Glyphosat</v>
      </c>
      <c r="T227"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v>
      </c>
    </row>
    <row r="228" spans="5:20" x14ac:dyDescent="0.2">
      <c r="F228" s="3" t="s">
        <v>32</v>
      </c>
      <c r="G228" s="4" t="str">
        <f>IF((IFERROR(SEARCH(K228,Rådata!$B$1000),-1)+IFERROR(SEARCH(L228,Rådata!$B$1000),-1)+IFERROR(SEARCH(M228,Rådata!$B$1000),-1)+IFERROR(SEARCH(N228,Rådata!$B$1000),-1)+IFERROR(SEARCH(O228,Rådata!$B$1000),-1))&gt;0,"-","NEJ")</f>
        <v>NEJ</v>
      </c>
      <c r="K228" s="2" t="str">
        <f>K107</f>
        <v>Hexazinon</v>
      </c>
      <c r="L228" s="2" t="str">
        <f>L107</f>
        <v>Her kan et synonym indsættes</v>
      </c>
      <c r="M228" s="2" t="str">
        <f>M107</f>
        <v>Her kan et synonym indsættes</v>
      </c>
      <c r="N228" s="2" t="str">
        <f t="shared" ref="N228:O228" si="112">N107</f>
        <v>Her kan et synonym indsættes</v>
      </c>
      <c r="O228" s="2" t="str">
        <f t="shared" si="112"/>
        <v>Her kan et synonym indsættes</v>
      </c>
      <c r="S228" s="2" t="str">
        <f t="shared" si="82"/>
        <v>Hexazinon</v>
      </c>
      <c r="T228"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v>
      </c>
    </row>
    <row r="229" spans="5:20" x14ac:dyDescent="0.2">
      <c r="F229" s="3" t="s">
        <v>35</v>
      </c>
      <c r="G229" s="4" t="str">
        <f>IF((IFERROR(SEARCH(K229,Rådata!$B$1000),-1)+IFERROR(SEARCH(L229,Rådata!$B$1000),-1)+IFERROR(SEARCH(M229,Rådata!$B$1000),-1)+IFERROR(SEARCH(N229,Rådata!$B$1000),-1)+IFERROR(SEARCH(O229,Rådata!$B$1000),-1))&gt;0,"-","NEJ")</f>
        <v>NEJ</v>
      </c>
      <c r="K229" s="2" t="str">
        <f>K108</f>
        <v>MCPA</v>
      </c>
      <c r="L229" s="2" t="str">
        <f>L108</f>
        <v>Her kan et synonym indsættes</v>
      </c>
      <c r="M229" s="2" t="str">
        <f>M108</f>
        <v>Her kan et synonym indsættes</v>
      </c>
      <c r="N229" s="2" t="str">
        <f t="shared" ref="N229:O229" si="113">N108</f>
        <v>Her kan et synonym indsættes</v>
      </c>
      <c r="O229" s="2" t="str">
        <f t="shared" si="113"/>
        <v>Her kan et synonym indsættes</v>
      </c>
      <c r="S229" s="2" t="str">
        <f t="shared" si="82"/>
        <v>MCPA</v>
      </c>
      <c r="T229"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v>
      </c>
    </row>
    <row r="230" spans="5:20" x14ac:dyDescent="0.2">
      <c r="F230" s="3" t="s">
        <v>111</v>
      </c>
      <c r="G230" s="4" t="str">
        <f>IF((IFERROR(SEARCH(K230,Rådata!$B$1000),-1)+IFERROR(SEARCH(L230,Rådata!$B$1000),-1)+IFERROR(SEARCH(M230,Rådata!$B$1000),-1)+IFERROR(SEARCH(N230,Rådata!$B$1000),-1)+IFERROR(SEARCH(O230,Rådata!$B$1000),-1))&gt;0,"-","NEJ")</f>
        <v>NEJ</v>
      </c>
      <c r="K230" s="2" t="str">
        <f>K109</f>
        <v>Mechlorprop</v>
      </c>
      <c r="L230" s="2" t="str">
        <f>L109</f>
        <v>Her kan et synonym indsættes</v>
      </c>
      <c r="M230" s="2" t="str">
        <f>M109</f>
        <v>Her kan et synonym indsættes</v>
      </c>
      <c r="N230" s="2" t="str">
        <f t="shared" ref="N230:O230" si="114">N109</f>
        <v>Her kan et synonym indsættes</v>
      </c>
      <c r="O230" s="2" t="str">
        <f t="shared" si="114"/>
        <v>Her kan et synonym indsættes</v>
      </c>
      <c r="S230" s="2" t="str">
        <f t="shared" si="82"/>
        <v>Mechlorprop</v>
      </c>
      <c r="T230"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v>
      </c>
    </row>
    <row r="231" spans="5:20" x14ac:dyDescent="0.2">
      <c r="F231" s="3" t="s">
        <v>112</v>
      </c>
      <c r="G231" s="4" t="str">
        <f>IF((IFERROR(SEARCH(K231,Rådata!$B$1000),-1)+IFERROR(SEARCH(L231,Rådata!$B$1000),-1)+IFERROR(SEARCH(M231,Rådata!$B$1000),-1)+IFERROR(SEARCH(N231,Rådata!$B$1000),-1)+IFERROR(SEARCH(O231,Rådata!$B$1000),-1))&gt;0,"-","NEJ")</f>
        <v>NEJ</v>
      </c>
      <c r="K231" s="2" t="str">
        <f>K110</f>
        <v>Metalaxyl</v>
      </c>
      <c r="L231" s="2" t="str">
        <f>L110</f>
        <v>Her kan et synonym indsættes</v>
      </c>
      <c r="M231" s="2" t="str">
        <f>M110</f>
        <v>Her kan et synonym indsættes</v>
      </c>
      <c r="N231" s="2" t="str">
        <f t="shared" ref="N231:O231" si="115">N110</f>
        <v>Her kan et synonym indsættes</v>
      </c>
      <c r="O231" s="2" t="str">
        <f t="shared" si="115"/>
        <v>Her kan et synonym indsættes</v>
      </c>
      <c r="S231" s="2" t="str">
        <f t="shared" si="82"/>
        <v>Metalaxyl/metalaxyl-M</v>
      </c>
      <c r="T231"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v>
      </c>
    </row>
    <row r="232" spans="5:20" x14ac:dyDescent="0.2">
      <c r="F232" s="3" t="s">
        <v>36</v>
      </c>
      <c r="G232" s="4" t="str">
        <f>IF((IFERROR(SEARCH(K232,Rådata!$B$1000),-1)+IFERROR(SEARCH(L232,Rådata!$B$1000),-1)+IFERROR(SEARCH(M232,Rådata!$B$1000),-1)+IFERROR(SEARCH(N232,Rådata!$B$1000),-1)+IFERROR(SEARCH(O232,Rådata!$B$1000),-1))&gt;0,"-","NEJ")</f>
        <v>NEJ</v>
      </c>
      <c r="K232" s="2" t="str">
        <f>K111</f>
        <v>Metribuzin</v>
      </c>
      <c r="L232" s="2" t="str">
        <f>L111</f>
        <v>Her kan et synonym indsættes</v>
      </c>
      <c r="M232" s="2" t="str">
        <f>M111</f>
        <v>Her kan et synonym indsættes</v>
      </c>
      <c r="N232" s="2" t="str">
        <f t="shared" ref="N232:O232" si="116">N111</f>
        <v>Her kan et synonym indsættes</v>
      </c>
      <c r="O232" s="2" t="str">
        <f t="shared" si="116"/>
        <v>Her kan et synonym indsættes</v>
      </c>
      <c r="S232" s="2" t="str">
        <f t="shared" si="82"/>
        <v>Metribuzin</v>
      </c>
      <c r="T232"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 Metribuzin</v>
      </c>
    </row>
    <row r="233" spans="5:20" x14ac:dyDescent="0.2">
      <c r="F233" s="3" t="s">
        <v>40</v>
      </c>
      <c r="G233" s="4" t="str">
        <f>IF((IFERROR(SEARCH(K233,Rådata!$B$1000),-1)+IFERROR(SEARCH(L233,Rådata!$B$1000),-1)+IFERROR(SEARCH(M233,Rådata!$B$1000),-1)+IFERROR(SEARCH(N233,Rådata!$B$1000),-1)+IFERROR(SEARCH(O233,Rådata!$B$1000),-1))&gt;0,"-","NEJ")</f>
        <v>NEJ</v>
      </c>
      <c r="K233" s="2" t="str">
        <f>K112</f>
        <v>Simazin</v>
      </c>
      <c r="L233" s="2" t="str">
        <f>L112</f>
        <v>Her kan et synonym indsættes</v>
      </c>
      <c r="M233" s="2" t="str">
        <f>M112</f>
        <v>Her kan et synonym indsættes</v>
      </c>
      <c r="N233" s="2" t="str">
        <f t="shared" ref="N233:O233" si="117">N112</f>
        <v>Her kan et synonym indsættes</v>
      </c>
      <c r="O233" s="2" t="str">
        <f t="shared" si="117"/>
        <v>Her kan et synonym indsættes</v>
      </c>
      <c r="S233" s="2" t="str">
        <f t="shared" si="82"/>
        <v>Simazin</v>
      </c>
      <c r="T233"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 Metribuzin, Simazin</v>
      </c>
    </row>
    <row r="234" spans="5:20" x14ac:dyDescent="0.2">
      <c r="E234" s="53" t="s">
        <v>113</v>
      </c>
      <c r="F234" s="53"/>
      <c r="G234" s="13"/>
      <c r="H234" s="13" t="str">
        <f>IF(IFERROR(SEARCH("NEJ",CONCATENATE(" ",G235,G236,G237,G238,G239,G240,G241,G242,G243,G244,G245,G247,G248,G249,G250,G251,G252,G253,G254,G255,G256,G257,G258,G259,G260,G261)),1)=1,"OK","NEJ")</f>
        <v>NEJ</v>
      </c>
      <c r="K234" s="30"/>
      <c r="L234" s="2"/>
      <c r="M234" s="2"/>
      <c r="N234" s="2"/>
      <c r="O234" s="2"/>
      <c r="T234"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 Metribuzin, Simazin</v>
      </c>
    </row>
    <row r="235" spans="5:20" x14ac:dyDescent="0.2">
      <c r="F235" s="9" t="s">
        <v>114</v>
      </c>
      <c r="G235" s="4" t="str">
        <f>IF((IFERROR(SEARCH(K235,Rådata!$B$1000),-1)+IFERROR(SEARCH(L235,Rådata!$B$1000),-1)+IFERROR(SEARCH(M235,Rådata!$B$1000),-1)+IFERROR(SEARCH(N235,Rådata!$B$1000),-1)+IFERROR(SEARCH(O235,Rådata!$B$1000),-1))&gt;0,"-","NEJ")</f>
        <v>NEJ</v>
      </c>
      <c r="K235" s="2" t="str">
        <f>K114</f>
        <v>triazol</v>
      </c>
      <c r="L235" s="2" t="str">
        <f>L114</f>
        <v>Her kan et synonym indsættes</v>
      </c>
      <c r="M235" s="2" t="str">
        <f>M114</f>
        <v>Her kan et synonym indsættes</v>
      </c>
      <c r="N235" s="2" t="str">
        <f t="shared" ref="N235:O235" si="118">N114</f>
        <v>Her kan et synonym indsættes</v>
      </c>
      <c r="O235" s="2" t="str">
        <f t="shared" si="118"/>
        <v>Her kan et synonym indsættes</v>
      </c>
      <c r="S235" s="2" t="str">
        <f t="shared" si="82"/>
        <v>1,2,4-triazol</v>
      </c>
      <c r="T235"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 Metribuzin, Simazin, 1,2,4-triazol</v>
      </c>
    </row>
    <row r="236" spans="5:20" x14ac:dyDescent="0.2">
      <c r="F236" s="3" t="s">
        <v>115</v>
      </c>
      <c r="G236" s="4" t="str">
        <f>IF((IFERROR(SEARCH(K236,Rådata!$B$1000),-1)+IFERROR(SEARCH(L236,Rådata!$B$1000),-1)+IFERROR(SEARCH(M236,Rådata!$B$1000),-1)+IFERROR(SEARCH(N236,Rådata!$B$1000),-1)+IFERROR(SEARCH(O236,Rådata!$B$1000),-1))&gt;0,"-","NEJ")</f>
        <v>NEJ</v>
      </c>
      <c r="K236" s="2" t="str">
        <f>K115</f>
        <v>2,6-Dichlorbenzosyre</v>
      </c>
      <c r="L236" s="2" t="str">
        <f>L115</f>
        <v>Her kan et synonym indsættes</v>
      </c>
      <c r="M236" s="2" t="str">
        <f>M115</f>
        <v>Her kan et synonym indsættes</v>
      </c>
      <c r="N236" s="2" t="str">
        <f t="shared" ref="N236:O236" si="119">N115</f>
        <v>Her kan et synonym indsættes</v>
      </c>
      <c r="O236" s="2" t="str">
        <f t="shared" si="119"/>
        <v>Her kan et synonym indsættes</v>
      </c>
      <c r="S236" s="2" t="str">
        <f t="shared" si="82"/>
        <v>2,6-Dichlorbenzosyre</v>
      </c>
      <c r="T236"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 Metribuzin, Simazin, 1,2,4-triazol, 2,6-Dichlorbenzosyre</v>
      </c>
    </row>
    <row r="237" spans="5:20" x14ac:dyDescent="0.2">
      <c r="F237" s="3" t="s">
        <v>116</v>
      </c>
      <c r="G237" s="4" t="str">
        <f>IF((IFERROR(SEARCH(K237,Rådata!$B$1000),-1)+IFERROR(SEARCH(L237,Rådata!$B$1000),-1)+IFERROR(SEARCH(M237,Rådata!$B$1000),-1)+IFERROR(SEARCH(N237,Rådata!$B$1000),-1)+IFERROR(SEARCH(O237,Rådata!$B$1000),-1))&gt;0,"-","NEJ")</f>
        <v>NEJ</v>
      </c>
      <c r="K237" s="2" t="str">
        <f>K116</f>
        <v>2,4-Dichlorphenol</v>
      </c>
      <c r="L237" s="2" t="str">
        <f>L116</f>
        <v>2,4+2,5-dichlorphenol</v>
      </c>
      <c r="M237" s="2" t="str">
        <f>M116</f>
        <v>Her kan et synonym indsættes</v>
      </c>
      <c r="N237" s="2" t="str">
        <f t="shared" ref="N237:O237" si="120">N116</f>
        <v>Her kan et synonym indsættes</v>
      </c>
      <c r="O237" s="2" t="str">
        <f t="shared" si="120"/>
        <v>Her kan et synonym indsættes</v>
      </c>
      <c r="S237" s="2" t="str">
        <f t="shared" si="82"/>
        <v>2,4-Dichlorphenol</v>
      </c>
      <c r="T237"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 Metribuzin, Simazin, 1,2,4-triazol, 2,6-Dichlorbenzosyre, 2,4-Dichlorphenol</v>
      </c>
    </row>
    <row r="238" spans="5:20" x14ac:dyDescent="0.2">
      <c r="F238" s="3" t="s">
        <v>117</v>
      </c>
      <c r="G238" s="4" t="str">
        <f>IF((IFERROR(SEARCH(K238,Rådata!$B$1000),-1)+IFERROR(SEARCH(L238,Rådata!$B$1000),-1)+IFERROR(SEARCH(M238,Rådata!$B$1000),-1)+IFERROR(SEARCH(N238,Rådata!$B$1000),-1)+IFERROR(SEARCH(O238,Rådata!$B$1000),-1))&gt;0,"-","NEJ")</f>
        <v>NEJ</v>
      </c>
      <c r="K238" s="2" t="str">
        <f>K117</f>
        <v>2,6-Dichlorphenol</v>
      </c>
      <c r="L238" s="2" t="str">
        <f>L117</f>
        <v>Her kan et synonym indsættes</v>
      </c>
      <c r="M238" s="2" t="str">
        <f>M117</f>
        <v>Her kan et synonym indsættes</v>
      </c>
      <c r="N238" s="2" t="str">
        <f t="shared" ref="N238:O238" si="121">N117</f>
        <v>Her kan et synonym indsættes</v>
      </c>
      <c r="O238" s="2" t="str">
        <f t="shared" si="121"/>
        <v>Her kan et synonym indsættes</v>
      </c>
      <c r="S238" s="2" t="str">
        <f t="shared" si="82"/>
        <v>2,6-Dichlorphenol</v>
      </c>
      <c r="T238"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 Metribuzin, Simazin, 1,2,4-triazol, 2,6-Dichlorbenzosyre, 2,4-Dichlorphenol, 2,6-Dichlorphenol</v>
      </c>
    </row>
    <row r="239" spans="5:20" x14ac:dyDescent="0.2">
      <c r="F239" s="3" t="s">
        <v>118</v>
      </c>
      <c r="G239" s="4" t="str">
        <f>IF((IFERROR(SEARCH(K239,Rådata!$B$1000),-1)+IFERROR(SEARCH(L239,Rådata!$B$1000),-1)+IFERROR(SEARCH(M239,Rådata!$B$1000),-1)+IFERROR(SEARCH(N239,Rådata!$B$1000),-1)+IFERROR(SEARCH(O239,Rådata!$B$1000),-1))&gt;0,"-","NEJ")</f>
        <v>NEJ</v>
      </c>
      <c r="K239" s="2" t="str">
        <f>K118</f>
        <v>4-CPP</v>
      </c>
      <c r="L239" s="2" t="str">
        <f>L118</f>
        <v>Her kan et synonym indsættes</v>
      </c>
      <c r="M239" s="2" t="str">
        <f>M118</f>
        <v>Her kan et synonym indsættes</v>
      </c>
      <c r="N239" s="2" t="str">
        <f t="shared" ref="N239:O239" si="122">N118</f>
        <v>Her kan et synonym indsættes</v>
      </c>
      <c r="O239" s="2" t="str">
        <f t="shared" si="122"/>
        <v>Her kan et synonym indsættes</v>
      </c>
      <c r="S239" s="2" t="str">
        <f t="shared" si="82"/>
        <v>4CPP (2-(4-chlorphenoxy)propionsyre)</v>
      </c>
      <c r="T239"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v>
      </c>
    </row>
    <row r="240" spans="5:20" x14ac:dyDescent="0.2">
      <c r="F240" s="3" t="s">
        <v>119</v>
      </c>
      <c r="G240" s="4" t="str">
        <f>IF((IFERROR(SEARCH(K240,Rådata!$B$1000),-1)+IFERROR(SEARCH(L240,Rådata!$B$1000),-1)+IFERROR(SEARCH(M240,Rådata!$B$1000),-1)+IFERROR(SEARCH(N240,Rådata!$B$1000),-1)+IFERROR(SEARCH(O240,Rådata!$B$1000),-1))&gt;0,"-","NEJ")</f>
        <v>NEJ</v>
      </c>
      <c r="K240" s="2" t="str">
        <f>K119</f>
        <v>2,6-DCPP</v>
      </c>
      <c r="L240" s="2" t="str">
        <f>L119</f>
        <v>Her kan et synonym indsættes</v>
      </c>
      <c r="M240" s="2" t="str">
        <f>M119</f>
        <v>Her kan et synonym indsættes</v>
      </c>
      <c r="N240" s="2" t="str">
        <f t="shared" ref="N240:O240" si="123">N119</f>
        <v>Her kan et synonym indsættes</v>
      </c>
      <c r="O240" s="2" t="str">
        <f t="shared" si="123"/>
        <v>Her kan et synonym indsættes</v>
      </c>
      <c r="S240" s="2" t="str">
        <f t="shared" si="82"/>
        <v>2,6-DCPP (2-(2,6-dichlorphenoxy-propionsyre))</v>
      </c>
      <c r="T240"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v>
      </c>
    </row>
    <row r="241" spans="6:20" x14ac:dyDescent="0.2">
      <c r="F241" s="3" t="s">
        <v>120</v>
      </c>
      <c r="G241" s="4" t="str">
        <f>IF((IFERROR(SEARCH(K241,Rådata!$B$1000),-1)+IFERROR(SEARCH(L241,Rådata!$B$1000),-1)+IFERROR(SEARCH(M241,Rådata!$B$1000),-1)+IFERROR(SEARCH(N241,Rådata!$B$1000),-1)+IFERROR(SEARCH(O241,Rådata!$B$1000),-1))&gt;0,"-","NEJ")</f>
        <v>NEJ</v>
      </c>
      <c r="K241" s="2" t="str">
        <f>K120</f>
        <v>4-Nitrophenol</v>
      </c>
      <c r="L241" s="2" t="str">
        <f>L120</f>
        <v>Her kan et synonym indsættes</v>
      </c>
      <c r="M241" s="2" t="str">
        <f>M120</f>
        <v>Her kan et synonym indsættes</v>
      </c>
      <c r="N241" s="2" t="str">
        <f t="shared" ref="N241:O241" si="124">N120</f>
        <v>Her kan et synonym indsættes</v>
      </c>
      <c r="O241" s="2" t="str">
        <f t="shared" si="124"/>
        <v>Her kan et synonym indsættes</v>
      </c>
      <c r="S241" s="2" t="str">
        <f t="shared" si="82"/>
        <v>4-Nitrophenol</v>
      </c>
      <c r="T241"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v>
      </c>
    </row>
    <row r="242" spans="6:20" x14ac:dyDescent="0.2">
      <c r="F242" s="3" t="s">
        <v>121</v>
      </c>
      <c r="G242" s="4" t="str">
        <f>IF((IFERROR(SEARCH(K242,Rådata!$B$1000),-1)+IFERROR(SEARCH(L242,Rådata!$B$1000),-1)+IFERROR(SEARCH(M242,Rådata!$B$1000),-1)+IFERROR(SEARCH(N242,Rådata!$B$1000),-1)+IFERROR(SEARCH(O242,Rådata!$B$1000),-1))&gt;0,"-","NEJ")</f>
        <v>NEJ</v>
      </c>
      <c r="K242" s="2" t="str">
        <f>K121</f>
        <v>AMPA</v>
      </c>
      <c r="L242" s="2" t="str">
        <f t="shared" ref="L242:M242" si="125">L121</f>
        <v>Her kan et synonym indsættes</v>
      </c>
      <c r="M242" s="2" t="str">
        <f t="shared" si="125"/>
        <v>Her kan et synonym indsættes</v>
      </c>
      <c r="N242" s="2" t="str">
        <f t="shared" ref="N242:O242" si="126">N121</f>
        <v>Her kan et synonym indsættes</v>
      </c>
      <c r="O242" s="2" t="str">
        <f t="shared" si="126"/>
        <v>Her kan et synonym indsættes</v>
      </c>
      <c r="S242" s="2" t="str">
        <f t="shared" si="82"/>
        <v>AMPA (Aminomethylphosphorsyre)</v>
      </c>
      <c r="T242"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v>
      </c>
    </row>
    <row r="243" spans="6:20" x14ac:dyDescent="0.2">
      <c r="F243" s="3" t="s">
        <v>122</v>
      </c>
      <c r="G243" s="4" t="str">
        <f>IF((IFERROR(SEARCH(K243,Rådata!$B$1000),-1)+IFERROR(SEARCH(L243,Rådata!$B$1000),-1)+IFERROR(SEARCH(M243,Rådata!$B$1000),-1)+IFERROR(SEARCH(N243,Rådata!$B$1000),-1)+IFERROR(SEARCH(O243,Rådata!$B$1000),-1))&gt;0,"-","NEJ")</f>
        <v>NEJ</v>
      </c>
      <c r="K243" s="2" t="str">
        <f>K122</f>
        <v>Dichlorbenzamid</v>
      </c>
      <c r="L243" s="2" t="str">
        <f>L122</f>
        <v>Her kan et synonym indsættes</v>
      </c>
      <c r="M243" s="2" t="str">
        <f>M122</f>
        <v>Her kan et synonym indsættes</v>
      </c>
      <c r="N243" s="2" t="str">
        <f t="shared" ref="N243:O243" si="127">N122</f>
        <v>Her kan et synonym indsættes</v>
      </c>
      <c r="O243" s="2" t="str">
        <f t="shared" si="127"/>
        <v>Her kan et synonym indsættes</v>
      </c>
      <c r="S243" s="2" t="str">
        <f t="shared" si="82"/>
        <v>BAM (2,6-Dichlorbenzamid)</v>
      </c>
      <c r="T243"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v>
      </c>
    </row>
    <row r="244" spans="6:20" x14ac:dyDescent="0.2">
      <c r="F244" s="3" t="s">
        <v>123</v>
      </c>
      <c r="G244" s="4" t="str">
        <f>IF((IFERROR(SEARCH(K244,Rådata!$B$1000),-1)+IFERROR(SEARCH(L244,Rådata!$B$1000),-1)+IFERROR(SEARCH(M244,Rådata!$B$1000),-1)+IFERROR(SEARCH(N244,Rådata!$B$1000),-1)+IFERROR(SEARCH(O244,Rådata!$B$1000),-1))&gt;0,"-","NEJ")</f>
        <v>NEJ</v>
      </c>
      <c r="K244" s="2" t="str">
        <f>K123</f>
        <v>CGA 62826</v>
      </c>
      <c r="L244" s="2" t="str">
        <f>L123</f>
        <v>CGA62826</v>
      </c>
      <c r="M244" s="2" t="str">
        <f>M123</f>
        <v>Her kan et synonym indsættes</v>
      </c>
      <c r="N244" s="2" t="str">
        <f t="shared" ref="N244:O244" si="128">N123</f>
        <v>Her kan et synonym indsættes</v>
      </c>
      <c r="O244" s="2" t="str">
        <f t="shared" si="128"/>
        <v>Her kan et synonym indsættes</v>
      </c>
      <c r="S244" s="2" t="str">
        <f t="shared" si="82"/>
        <v>N-(2, 6-dimethylphenyl)-N-(Methoxyacetyl)alanin (CGA62826)</v>
      </c>
      <c r="T244"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v>
      </c>
    </row>
    <row r="245" spans="6:20" x14ac:dyDescent="0.2">
      <c r="F245" s="3" t="s">
        <v>124</v>
      </c>
      <c r="G245" s="4" t="str">
        <f>IF((IFERROR(SEARCH(K245,Rådata!$B$1000),-1)+IFERROR(SEARCH(L245,Rådata!$B$1000),-1)+IFERROR(SEARCH(M245,Rådata!$B$1000),-1)+IFERROR(SEARCH(N245,Rådata!$B$1000),-1)+IFERROR(SEARCH(O245,Rådata!$B$1000),-1))&gt;0,"-","NEJ")</f>
        <v>NEJ</v>
      </c>
      <c r="K245" s="2" t="str">
        <f>K124</f>
        <v>CGA 108906</v>
      </c>
      <c r="L245" s="2" t="str">
        <f>L124</f>
        <v>CGA108906</v>
      </c>
      <c r="M245" s="2" t="str">
        <f>M124</f>
        <v>Her kan et synonym indsættes</v>
      </c>
      <c r="N245" s="2" t="str">
        <f t="shared" ref="N245:O245" si="129">N124</f>
        <v>Her kan et synonym indsættes</v>
      </c>
      <c r="O245" s="2" t="str">
        <f t="shared" si="129"/>
        <v>Her kan et synonym indsættes</v>
      </c>
      <c r="S245" s="2" t="str">
        <f t="shared" si="82"/>
        <v>N-(2-carboxy-6-methylphenyl) N-methoxyacetyl)alanin (CGA108906)</v>
      </c>
      <c r="T245"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v>
      </c>
    </row>
    <row r="246" spans="6:20" x14ac:dyDescent="0.2">
      <c r="F246" s="3" t="str">
        <f>F125</f>
        <v>Chlorothalonil-amidsulfonsyre</v>
      </c>
      <c r="G246" s="4" t="str">
        <f>IF((IFERROR(SEARCH(K246,Rådata!$B$1000),-1)+IFERROR(SEARCH(L246,Rådata!$B$1000),-1)+IFERROR(SEARCH(M246,Rådata!$B$1000),-1)+IFERROR(SEARCH(N246,Rådata!$B$1000),-1)+IFERROR(SEARCH(O246,Rådata!$B$1000),-1))&gt;0,"-","NEJ")</f>
        <v>NEJ</v>
      </c>
      <c r="K246" s="2" t="str">
        <f>K125</f>
        <v>Chlorothalonil-amidsulfonsyre</v>
      </c>
      <c r="L246" s="2" t="str">
        <f t="shared" ref="L246:O246" si="130">L125</f>
        <v>Her kan et synonym indsættes</v>
      </c>
      <c r="M246" s="2" t="str">
        <f t="shared" si="130"/>
        <v>Her kan et synonym indsættes</v>
      </c>
      <c r="N246" s="2" t="str">
        <f t="shared" si="130"/>
        <v>Her kan et synonym indsættes</v>
      </c>
      <c r="O246" s="2" t="str">
        <f t="shared" si="130"/>
        <v>Her kan et synonym indsættes</v>
      </c>
      <c r="S246" s="2" t="str">
        <f t="shared" ref="S246:S247" si="131">IF(G246="NEJ",F246,"")</f>
        <v>Chlorothalonil-amidsulfonsyre</v>
      </c>
      <c r="T246" t="str">
        <f t="shared" ref="T246:T247" si="132">IF(S246="",T245,T245&amp;", "&amp;S246)</f>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v>
      </c>
    </row>
    <row r="247" spans="6:20" x14ac:dyDescent="0.2">
      <c r="F247" s="3" t="s">
        <v>125</v>
      </c>
      <c r="G247" s="4" t="str">
        <f>IF((IFERROR(SEARCH(K247,Rådata!$B$1000),-1)+IFERROR(SEARCH(L247,Rådata!$B$1000),-1)+IFERROR(SEARCH(M247,Rådata!$B$1000),-1)+IFERROR(SEARCH(N247,Rådata!$B$1000),-1)+IFERROR(SEARCH(O247,Rådata!$B$1000),-1))&gt;0,"-","NEJ")</f>
        <v>NEJ</v>
      </c>
      <c r="K247" s="2" t="str">
        <f>K126</f>
        <v>Desethyl-desisopropyl-atrazin</v>
      </c>
      <c r="L247" s="2" t="str">
        <f>L126</f>
        <v>Desethyldesisopropyl-atrazin</v>
      </c>
      <c r="M247" s="2" t="str">
        <f>M126</f>
        <v>DEIA</v>
      </c>
      <c r="N247" s="2" t="str">
        <f t="shared" ref="N247:O247" si="133">N126</f>
        <v>Atrazin, desethyl-desisopropyl-</v>
      </c>
      <c r="O247" s="2" t="str">
        <f t="shared" si="133"/>
        <v>Desethyldesisopropylatrazin</v>
      </c>
      <c r="S247" s="2" t="str">
        <f t="shared" si="131"/>
        <v>DEIA (Desethyldesisopropyl-atrazin)</v>
      </c>
      <c r="T247" t="str">
        <f t="shared" si="132"/>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v>
      </c>
    </row>
    <row r="248" spans="6:20" x14ac:dyDescent="0.2">
      <c r="F248" s="3" t="s">
        <v>25</v>
      </c>
      <c r="G248" s="4" t="str">
        <f>IF((IFERROR(SEARCH(K248,Rådata!$B$1000),-1)+IFERROR(SEARCH(L248,Rådata!$B$1000),-1)+IFERROR(SEARCH(M248,Rådata!$B$1000),-1)+IFERROR(SEARCH(N248,Rådata!$B$1000),-1)+IFERROR(SEARCH(O248,Rådata!$B$1000),-1))&gt;0,"-","NEJ")</f>
        <v>NEJ</v>
      </c>
      <c r="K248" s="2" t="str">
        <f>K127</f>
        <v>Desethyl-hydroxy-atrazin</v>
      </c>
      <c r="L248" s="2" t="str">
        <f>L127</f>
        <v>Desethylhydroxy-atrazin</v>
      </c>
      <c r="M248" s="2" t="str">
        <f>M127</f>
        <v>Desethylhydroxyatrazin</v>
      </c>
      <c r="N248" s="2" t="str">
        <f t="shared" ref="N248:O248" si="134">N127</f>
        <v>Her kan et synonym indsættes</v>
      </c>
      <c r="O248" s="2" t="str">
        <f t="shared" si="134"/>
        <v>Her kan et synonym indsættes</v>
      </c>
      <c r="S248" s="2" t="str">
        <f t="shared" si="82"/>
        <v>Desethyl-hydroxy-atrazin</v>
      </c>
      <c r="T248"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v>
      </c>
    </row>
    <row r="249" spans="6:20" x14ac:dyDescent="0.2">
      <c r="F249" s="3" t="s">
        <v>23</v>
      </c>
      <c r="G249" s="4" t="str">
        <f>IF((IFERROR(SEARCH(K249,Rådata!$B$1000),-1)+IFERROR(SEARCH(L249,Rådata!$B$1000),-1)+IFERROR(SEARCH(M249,Rådata!$B$1000),-1)+IFERROR(SEARCH(N249,Rådata!$B$1000),-1)+IFERROR(SEARCH(O249,Rådata!$B$1000),-1))&gt;0,"-","NEJ")</f>
        <v>NEJ</v>
      </c>
      <c r="K249" s="2" t="str">
        <f>K128</f>
        <v>Desethyl-atrazin</v>
      </c>
      <c r="L249" s="2" t="str">
        <f>L128</f>
        <v>Desethylatrazin</v>
      </c>
      <c r="M249" s="2" t="str">
        <f>M128</f>
        <v>Atrazin, desethyl-</v>
      </c>
      <c r="N249" s="2" t="str">
        <f t="shared" ref="N249:O249" si="135">N128</f>
        <v>Her kan et synonym indsættes</v>
      </c>
      <c r="O249" s="2" t="str">
        <f t="shared" si="135"/>
        <v>Her kan et synonym indsættes</v>
      </c>
      <c r="S249" s="2" t="str">
        <f t="shared" si="82"/>
        <v>Desethyl-atrazin</v>
      </c>
      <c r="T249"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v>
      </c>
    </row>
    <row r="250" spans="6:20" x14ac:dyDescent="0.2">
      <c r="F250" s="3" t="s">
        <v>26</v>
      </c>
      <c r="G250" s="4" t="str">
        <f>IF((IFERROR(SEARCH(K250,Rådata!$B$1000),-1)+IFERROR(SEARCH(L250,Rådata!$B$1000),-1)+IFERROR(SEARCH(M250,Rådata!$B$1000),-1)+IFERROR(SEARCH(N250,Rådata!$B$1000),-1)+IFERROR(SEARCH(O250,Rådata!$B$1000),-1))&gt;0,"-","NEJ")</f>
        <v>NEJ</v>
      </c>
      <c r="K250" s="2" t="str">
        <f>K129</f>
        <v>Desethyl-terbutylazin</v>
      </c>
      <c r="L250" s="2" t="str">
        <f>L129</f>
        <v>Desethylterbutylazin</v>
      </c>
      <c r="M250" s="2" t="str">
        <f>M129</f>
        <v>Terbut.azin,desethyl</v>
      </c>
      <c r="N250" s="2" t="str">
        <f t="shared" ref="N250:O250" si="136">N129</f>
        <v>Her kan et synonym indsættes</v>
      </c>
      <c r="O250" s="2" t="str">
        <f t="shared" si="136"/>
        <v>Her kan et synonym indsættes</v>
      </c>
      <c r="S250" s="2" t="str">
        <f t="shared" si="82"/>
        <v>Desethyl-terbutylazin</v>
      </c>
      <c r="T250"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v>
      </c>
    </row>
    <row r="251" spans="6:20" x14ac:dyDescent="0.2">
      <c r="F251" s="3" t="s">
        <v>27</v>
      </c>
      <c r="G251" s="4" t="str">
        <f>IF((IFERROR(SEARCH(K251,Rådata!$B$1000),-1)+IFERROR(SEARCH(L251,Rådata!$B$1000),-1)+IFERROR(SEARCH(M251,Rådata!$B$1000),-1)+IFERROR(SEARCH(N251,Rådata!$B$1000),-1)+IFERROR(SEARCH(O251,Rådata!$B$1000),-1))&gt;0,"-","NEJ")</f>
        <v>NEJ</v>
      </c>
      <c r="K251" s="2" t="str">
        <f>K130</f>
        <v>Desisopropyl-atrazin</v>
      </c>
      <c r="L251" s="2" t="str">
        <f>L130</f>
        <v>Desisopropylatrazin</v>
      </c>
      <c r="M251" s="2" t="str">
        <f>M130</f>
        <v>atrazin, Desisopropy</v>
      </c>
      <c r="N251" s="2" t="str">
        <f t="shared" ref="N251:O251" si="137">N130</f>
        <v>Her kan et synonym indsættes</v>
      </c>
      <c r="O251" s="2" t="str">
        <f t="shared" si="137"/>
        <v>Her kan et synonym indsættes</v>
      </c>
      <c r="S251" s="2" t="str">
        <f t="shared" si="82"/>
        <v>Desisopropyl-atrazin</v>
      </c>
      <c r="T251"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v>
      </c>
    </row>
    <row r="252" spans="6:20" x14ac:dyDescent="0.2">
      <c r="F252" s="3" t="s">
        <v>22</v>
      </c>
      <c r="G252" s="4" t="str">
        <f>IF((IFERROR(SEARCH(K252,Rådata!$B$1000),-1)+IFERROR(SEARCH(L252,Rådata!$B$1000),-1)+IFERROR(SEARCH(M252,Rådata!$B$1000),-1)+IFERROR(SEARCH(N252,Rådata!$B$1000),-1)+IFERROR(SEARCH(O252,Rådata!$B$1000),-1))&gt;0,"-","NEJ")</f>
        <v>NEJ</v>
      </c>
      <c r="K252" s="2" t="str">
        <f>K131</f>
        <v>Deisopropyl-hydroxy-atrazin</v>
      </c>
      <c r="L252" s="2" t="str">
        <f>L131</f>
        <v>Desisopropylhydroxy-atrazin</v>
      </c>
      <c r="M252" s="2" t="str">
        <f>M131</f>
        <v>Desisopropyl-hydroxyatrazin</v>
      </c>
      <c r="N252" s="2" t="str">
        <f t="shared" ref="N252:O252" si="138">N131</f>
        <v>Deisopropyl-hydroxyatrazin</v>
      </c>
      <c r="O252" s="2" t="str">
        <f t="shared" si="138"/>
        <v>Desisopropylhydroxyatrazin</v>
      </c>
      <c r="S252" s="2" t="str">
        <f t="shared" si="82"/>
        <v>Deisopropyl-hydroxy-atrazin</v>
      </c>
      <c r="T252"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v>
      </c>
    </row>
    <row r="253" spans="6:20" x14ac:dyDescent="0.2">
      <c r="F253" s="3" t="s">
        <v>126</v>
      </c>
      <c r="G253" s="4" t="str">
        <f>IF((IFERROR(SEARCH(K253,Rådata!$B$1000),-1)+IFERROR(SEARCH(L253,Rådata!$B$1000),-1)+IFERROR(SEARCH(M253,Rådata!$B$1000),-1)+IFERROR(SEARCH(N253,Rådata!$B$1000),-1)+IFERROR(SEARCH(O253,Rådata!$B$1000),-1))&gt;0,"-","NEJ")</f>
        <v>NEJ</v>
      </c>
      <c r="K253" s="2" t="str">
        <f>K132</f>
        <v>chloridazon, Desphenyl-</v>
      </c>
      <c r="L253" s="2" t="str">
        <f>L132</f>
        <v>Desphenylchloridazon</v>
      </c>
      <c r="M253" s="2" t="str">
        <f>M132</f>
        <v>Desphenyl-Chloridazon</v>
      </c>
      <c r="N253" s="2" t="str">
        <f t="shared" ref="N253:O253" si="139">N132</f>
        <v>Chloridazon-desphenyl</v>
      </c>
      <c r="O253" s="2" t="str">
        <f t="shared" si="139"/>
        <v>Her kan et synonym indsættes</v>
      </c>
      <c r="S253" s="2" t="str">
        <f t="shared" si="82"/>
        <v>Desphenyl-chloridazon</v>
      </c>
      <c r="T253"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v>
      </c>
    </row>
    <row r="254" spans="6:20" x14ac:dyDescent="0.2">
      <c r="F254" s="3" t="s">
        <v>29</v>
      </c>
      <c r="G254" s="4" t="str">
        <f>IF((IFERROR(SEARCH(K254,Rådata!$B$1000),-1)+IFERROR(SEARCH(L254,Rådata!$B$1000),-1)+IFERROR(SEARCH(M254,Rådata!$B$1000),-1)+IFERROR(SEARCH(N254,Rådata!$B$1000),-1)+IFERROR(SEARCH(O254,Rådata!$B$1000),-1))&gt;0,"-","NEJ")</f>
        <v>NEJ</v>
      </c>
      <c r="K254" s="2" t="str">
        <f>K133</f>
        <v>Didealkyl-hydroxy-atrazin</v>
      </c>
      <c r="L254" s="2" t="str">
        <f>L133</f>
        <v>Didealkylhydroxy-atrazin</v>
      </c>
      <c r="M254" s="2" t="str">
        <f>M133</f>
        <v>Desethyldesisopropylhydroxyatrazin</v>
      </c>
      <c r="N254" s="2" t="str">
        <f t="shared" ref="N254:O254" si="140">N133</f>
        <v>Her kan et synonym indsættes</v>
      </c>
      <c r="O254" s="2" t="str">
        <f t="shared" si="140"/>
        <v>Her kan et synonym indsættes</v>
      </c>
      <c r="S254" s="2" t="str">
        <f t="shared" si="82"/>
        <v>Didealkyl-hydroxy-atrazin</v>
      </c>
      <c r="T254"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v>
      </c>
    </row>
    <row r="255" spans="6:20" x14ac:dyDescent="0.2">
      <c r="F255" s="3" t="s">
        <v>33</v>
      </c>
      <c r="G255" s="4" t="str">
        <f>IF((IFERROR(SEARCH(K255,Rådata!$B$1000),-1)+IFERROR(SEARCH(L255,Rådata!$B$1000),-1)+IFERROR(SEARCH(M255,Rådata!$B$1000),-1)+IFERROR(SEARCH(N255,Rådata!$B$1000),-1)+IFERROR(SEARCH(O255,Rådata!$B$1000),-1))&gt;0,"-","NEJ")</f>
        <v>NEJ</v>
      </c>
      <c r="K255" s="2" t="str">
        <f>K134</f>
        <v>Hydroxyatrazin</v>
      </c>
      <c r="L255" s="2" t="str">
        <f>L134</f>
        <v>Her kan et synonym indsættes</v>
      </c>
      <c r="M255" s="2" t="str">
        <f>M134</f>
        <v>Her kan et synonym indsættes</v>
      </c>
      <c r="N255" s="2" t="str">
        <f t="shared" ref="N255:O255" si="141">N134</f>
        <v>Her kan et synonym indsættes</v>
      </c>
      <c r="O255" s="2" t="str">
        <f t="shared" si="141"/>
        <v>Her kan et synonym indsættes</v>
      </c>
      <c r="S255" s="2" t="str">
        <f t="shared" si="82"/>
        <v>Hydroxyatrazin</v>
      </c>
      <c r="T255"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v>
      </c>
    </row>
    <row r="256" spans="6:20" x14ac:dyDescent="0.2">
      <c r="F256" s="3" t="s">
        <v>34</v>
      </c>
      <c r="G256" s="4" t="str">
        <f>IF((IFERROR(SEARCH(K256,Rådata!$B$1000),-1)+IFERROR(SEARCH(L256,Rådata!$B$1000),-1)+IFERROR(SEARCH(M256,Rådata!$B$1000),-1)+IFERROR(SEARCH(N256,Rådata!$B$1000),-1)+IFERROR(SEARCH(O256,Rådata!$B$1000),-1))&gt;0,"-","NEJ")</f>
        <v>NEJ</v>
      </c>
      <c r="K256" s="2" t="str">
        <f>K135</f>
        <v>Hydroxysimazin</v>
      </c>
      <c r="L256" s="2" t="str">
        <f>L135</f>
        <v>simazin, Hydroxy</v>
      </c>
      <c r="M256" s="2" t="str">
        <f>M135</f>
        <v>Her kan et synonym indsættes</v>
      </c>
      <c r="N256" s="2" t="str">
        <f t="shared" ref="N256:O256" si="142">N135</f>
        <v>Her kan et synonym indsættes</v>
      </c>
      <c r="O256" s="2" t="str">
        <f t="shared" si="142"/>
        <v>Her kan et synonym indsættes</v>
      </c>
      <c r="S256" s="2" t="str">
        <f t="shared" si="82"/>
        <v>Hydroxysimazin</v>
      </c>
      <c r="T256"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 Hydroxysimazin</v>
      </c>
    </row>
    <row r="257" spans="5:20" x14ac:dyDescent="0.2">
      <c r="F257" s="3" t="s">
        <v>127</v>
      </c>
      <c r="G257" s="4" t="str">
        <f>IF((IFERROR(SEARCH(K257,Rådata!$B$1000),-1)+IFERROR(SEARCH(L257,Rådata!$B$1000),-1)+IFERROR(SEARCH(M257,Rådata!$B$1000),-1)+IFERROR(SEARCH(N257,Rådata!$B$1000),-1)+IFERROR(SEARCH(O257,Rådata!$B$1000),-1))&gt;0,"-","NEJ")</f>
        <v>NEJ</v>
      </c>
      <c r="K257" s="2" t="str">
        <f>K136</f>
        <v>chloridazon, Methyl-desphenyl-</v>
      </c>
      <c r="L257" s="2" t="str">
        <f>L136</f>
        <v>Methyl-desphenyl-chloridazon</v>
      </c>
      <c r="M257" s="2" t="str">
        <f>M136</f>
        <v>Methyl-desphenyl chloridazon</v>
      </c>
      <c r="N257" s="2" t="str">
        <f t="shared" ref="N257:O257" si="143">N136</f>
        <v>Chloridazon-methyl-desphenyl</v>
      </c>
      <c r="O257" s="2" t="str">
        <f t="shared" si="143"/>
        <v>Her kan et synonym indsættes</v>
      </c>
      <c r="S257" s="2" t="str">
        <f t="shared" si="82"/>
        <v>Methyl-desphenyl-chloridazon</v>
      </c>
      <c r="T257"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 Hydroxysimazin, Methyl-desphenyl-chloridazon</v>
      </c>
    </row>
    <row r="258" spans="5:20" x14ac:dyDescent="0.2">
      <c r="F258" s="3" t="s">
        <v>38</v>
      </c>
      <c r="G258" s="4" t="str">
        <f>IF((IFERROR(SEARCH(K258,Rådata!$B$1000),-1)+IFERROR(SEARCH(L258,Rådata!$B$1000),-1)+IFERROR(SEARCH(M258,Rådata!$B$1000),-1)+IFERROR(SEARCH(N258,Rådata!$B$1000),-1)+IFERROR(SEARCH(O258,Rådata!$B$1000),-1))&gt;0,"-","NEJ")</f>
        <v>NEJ</v>
      </c>
      <c r="K258" s="2" t="str">
        <f>K137</f>
        <v>Metribuzin-desamino-diketo</v>
      </c>
      <c r="L258" s="2" t="str">
        <f>L137</f>
        <v>Metribuzin-DADK</v>
      </c>
      <c r="M258" s="2" t="str">
        <f>M137</f>
        <v>Metribuz-desam-diket</v>
      </c>
      <c r="N258" s="2" t="str">
        <f t="shared" ref="N258:O258" si="144">N137</f>
        <v>desaminodiketoMetribuzin</v>
      </c>
      <c r="O258" s="2" t="str">
        <f t="shared" si="144"/>
        <v>Her kan et synonym indsættes</v>
      </c>
      <c r="S258" s="2" t="str">
        <f t="shared" si="82"/>
        <v>Metribuzin-desamino-diketo</v>
      </c>
      <c r="T258"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 Hydroxysimazin, Methyl-desphenyl-chloridazon, Metribuzin-desamino-diketo</v>
      </c>
    </row>
    <row r="259" spans="5:20" x14ac:dyDescent="0.2">
      <c r="F259" s="3" t="s">
        <v>39</v>
      </c>
      <c r="G259" s="4" t="str">
        <f>IF((IFERROR(SEARCH(K259,Rådata!$B$1000),-1)+IFERROR(SEARCH(L259,Rådata!$B$1000),-1)+IFERROR(SEARCH(M259,Rådata!$B$1000),-1)+IFERROR(SEARCH(N259,Rådata!$B$1000),-1)+IFERROR(SEARCH(O259,Rådata!$B$1000),-1))&gt;0,"-","NEJ")</f>
        <v>NEJ</v>
      </c>
      <c r="K259" s="2" t="str">
        <f>K138</f>
        <v>Metribuzin-diketo</v>
      </c>
      <c r="L259" s="2" t="str">
        <f>L138</f>
        <v>Metribuzin-deketo</v>
      </c>
      <c r="M259" s="2" t="str">
        <f>M138</f>
        <v>diketoMetribuzin</v>
      </c>
      <c r="N259" s="2" t="str">
        <f t="shared" ref="N259:O259" si="145">N138</f>
        <v>Her kan et synonym indsættes</v>
      </c>
      <c r="O259" s="2" t="str">
        <f t="shared" si="145"/>
        <v>Her kan et synonym indsættes</v>
      </c>
      <c r="S259" s="2" t="str">
        <f t="shared" si="82"/>
        <v>Metribuzin-diketo</v>
      </c>
      <c r="T259"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v>
      </c>
    </row>
    <row r="260" spans="5:20" x14ac:dyDescent="0.2">
      <c r="F260" s="3" t="s">
        <v>37</v>
      </c>
      <c r="G260" s="4" t="str">
        <f>IF((IFERROR(SEARCH(K260,Rådata!$B$1000),-1)+IFERROR(SEARCH(L260,Rådata!$B$1000),-1)+IFERROR(SEARCH(M260,Rådata!$B$1000),-1)+IFERROR(SEARCH(N260,Rådata!$B$1000),-1)+IFERROR(SEARCH(O260,Rådata!$B$1000),-1))&gt;0,"-","NEJ")</f>
        <v>NEJ</v>
      </c>
      <c r="K260" s="2" t="str">
        <f>K139</f>
        <v>Metribuzin-desamino</v>
      </c>
      <c r="L260" s="2" t="str">
        <f>L139</f>
        <v>Metribuzindesamino</v>
      </c>
      <c r="M260" s="2" t="str">
        <f>M139</f>
        <v>Her kan et synonym indsættes</v>
      </c>
      <c r="N260" s="2" t="str">
        <f t="shared" ref="N260:O260" si="146">N139</f>
        <v>Her kan et synonym indsættes</v>
      </c>
      <c r="O260" s="2" t="str">
        <f t="shared" si="146"/>
        <v>Her kan et synonym indsættes</v>
      </c>
      <c r="S260" s="2" t="str">
        <f t="shared" si="82"/>
        <v>Metribuzin-desamino</v>
      </c>
      <c r="T260"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v>
      </c>
    </row>
    <row r="261" spans="5:20" x14ac:dyDescent="0.2">
      <c r="F261" s="3" t="s">
        <v>128</v>
      </c>
      <c r="G261" s="4" t="str">
        <f>IF((IFERROR(SEARCH(K261,Rådata!$B$1000),-1)+IFERROR(SEARCH(L261,Rådata!$B$1000),-1)+IFERROR(SEARCH(M261,Rådata!$B$1000),-1)+IFERROR(SEARCH(N261,Rådata!$B$1000),-1)+IFERROR(SEARCH(O261,Rådata!$B$1000),-1))&gt;0,"-","NEJ")</f>
        <v>NEJ</v>
      </c>
      <c r="K261" s="2" t="str">
        <f>K140</f>
        <v>Sum af pesticider</v>
      </c>
      <c r="L261" s="2" t="str">
        <f>L140</f>
        <v>total pesticid</v>
      </c>
      <c r="M261" s="2" t="str">
        <f>M140</f>
        <v>pesticid total</v>
      </c>
      <c r="N261" s="2" t="str">
        <f t="shared" ref="N261:O261" si="147">N140</f>
        <v>Sum af analyserede pesticider</v>
      </c>
      <c r="O261" s="2" t="str">
        <f t="shared" si="147"/>
        <v>Her kan et synonym indsættes</v>
      </c>
      <c r="S261" s="2" t="str">
        <f t="shared" si="82"/>
        <v>Sum af pesticider</v>
      </c>
      <c r="T261" t="str">
        <f t="shared" si="103"/>
        <v>Coliforme bakterier, E. coli, Kimtal v. 22 ºC, Enterokokker, Temperatur, pH, Ledningsevne, NVOC, Ammonium, Jern, Mangan, Nitrit, Nitrat, Ilt, Hårdhed, Arsen, Nikkel,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 Sum af pesticider</v>
      </c>
    </row>
    <row r="263" spans="5:20" x14ac:dyDescent="0.2">
      <c r="E263" s="54" t="s">
        <v>169</v>
      </c>
      <c r="F263" s="54"/>
      <c r="G263" s="15" t="str">
        <f>IF(IFERROR(SEARCH("NEJ",CONCATENATE(" ",H265,H288,H295,H314)),1)=1,"(OK)","(NEJ)")</f>
        <v>(NEJ)</v>
      </c>
      <c r="H263" t="str">
        <f>IF(G263="OK","",RIGHT(T341,LEN(T341)))</f>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 Metribuzin-desamino, Sum af pesticider</v>
      </c>
      <c r="K263" s="31"/>
    </row>
    <row r="264" spans="5:20" x14ac:dyDescent="0.2">
      <c r="F264" s="17"/>
      <c r="G264" s="5"/>
    </row>
    <row r="265" spans="5:20" x14ac:dyDescent="0.2">
      <c r="E265" s="51" t="s">
        <v>63</v>
      </c>
      <c r="F265" s="51"/>
      <c r="G265" s="14"/>
      <c r="H265" s="13" t="str">
        <f>IF(IFERROR(SEARCH("NEJ",CONCATENATE(" ",G266,G267,G268,G269,G270,G271,G272,G274,G275,G276,G277,G278,G279,G280,G281,G282,G283,G284,G285,G286,G287)),1)=1,"OK","NEJ")</f>
        <v>NEJ</v>
      </c>
    </row>
    <row r="266" spans="5:20" x14ac:dyDescent="0.2">
      <c r="F266" s="9" t="s">
        <v>64</v>
      </c>
      <c r="G266" s="4" t="str">
        <f>IF((IFERROR(SEARCH(K266,Rådata!$B$1000),-1)+IFERROR(SEARCH(L266,Rådata!$B$1000),-1)+IFERROR(SEARCH(M266,Rådata!$B$1000),-1)+IFERROR(SEARCH(N266,Rådata!$B$1000),-1)+IFERROR(SEARCH(O266,Rådata!$B$1000),-1))&gt;0,"-","NEJ")</f>
        <v>NEJ</v>
      </c>
      <c r="K266" s="2" t="str">
        <f>K25</f>
        <v>Temperatur</v>
      </c>
      <c r="L266" s="2" t="str">
        <f t="shared" ref="L266:M266" si="148">L25</f>
        <v>Her kan et synonym indsættes</v>
      </c>
      <c r="M266" s="2" t="str">
        <f t="shared" si="148"/>
        <v>Her kan et synonym indsættes</v>
      </c>
      <c r="N266" s="2" t="str">
        <f t="shared" ref="N266:O266" si="149">N25</f>
        <v>Her kan et synonym indsættes</v>
      </c>
      <c r="O266" s="2" t="str">
        <f t="shared" si="149"/>
        <v>Her kan et synonym indsættes</v>
      </c>
      <c r="S266" s="2" t="str">
        <f t="shared" si="82"/>
        <v>Temperatur</v>
      </c>
      <c r="T266" t="str">
        <f>S266</f>
        <v>Temperatur</v>
      </c>
    </row>
    <row r="267" spans="5:20" x14ac:dyDescent="0.2">
      <c r="F267" s="3" t="s">
        <v>51</v>
      </c>
      <c r="G267" s="4" t="str">
        <f>IF((IFERROR(SEARCH(K267,Rådata!$B$1000),-1)+IFERROR(SEARCH(L267,Rådata!$B$1000),-1)+IFERROR(SEARCH(M267,Rådata!$B$1000),-1)+IFERROR(SEARCH(N267,Rådata!$B$1000),-1)+IFERROR(SEARCH(O267,Rådata!$B$1000),-1))&gt;0,"-","NEJ")</f>
        <v>NEJ</v>
      </c>
      <c r="K267" s="2" t="str">
        <f>K12</f>
        <v>pH</v>
      </c>
      <c r="L267" s="2" t="str">
        <f t="shared" ref="L267:M267" si="150">L12</f>
        <v>Her kan et synonym indsættes</v>
      </c>
      <c r="M267" s="2" t="str">
        <f t="shared" si="150"/>
        <v>Her kan et synonym indsættes</v>
      </c>
      <c r="N267" s="2" t="str">
        <f t="shared" ref="N267:O267" si="151">N12</f>
        <v>Her kan et synonym indsættes</v>
      </c>
      <c r="O267" s="2" t="str">
        <f t="shared" si="151"/>
        <v>Her kan et synonym indsættes</v>
      </c>
      <c r="S267" s="2" t="str">
        <f t="shared" si="82"/>
        <v>pH</v>
      </c>
      <c r="T267" t="str">
        <f t="shared" ref="T267:T333" si="152">IF(S267="",T266,T266&amp;", "&amp;S267)</f>
        <v>Temperatur, pH</v>
      </c>
    </row>
    <row r="268" spans="5:20" x14ac:dyDescent="0.2">
      <c r="F268" s="3" t="s">
        <v>52</v>
      </c>
      <c r="G268" s="4" t="str">
        <f>IF((IFERROR(SEARCH(K268,Rådata!$B$1000),-1)+IFERROR(SEARCH(L268,Rådata!$B$1000),-1)+IFERROR(SEARCH(M268,Rådata!$B$1000),-1)+IFERROR(SEARCH(N268,Rådata!$B$1000),-1)+IFERROR(SEARCH(O268,Rådata!$B$1000),-1))&gt;0,"-","NEJ")</f>
        <v>NEJ</v>
      </c>
      <c r="K268" s="2" t="str">
        <f>K13</f>
        <v>Ledningsevne</v>
      </c>
      <c r="L268" s="2" t="str">
        <f t="shared" ref="L268:M268" si="153">L13</f>
        <v>Konduktivitet</v>
      </c>
      <c r="M268" s="2" t="str">
        <f t="shared" si="153"/>
        <v>Her kan et synonym indsættes</v>
      </c>
      <c r="N268" s="2" t="str">
        <f t="shared" ref="N268:O268" si="154">N13</f>
        <v>Her kan et synonym indsættes</v>
      </c>
      <c r="O268" s="2" t="str">
        <f t="shared" si="154"/>
        <v>Her kan et synonym indsættes</v>
      </c>
      <c r="S268" s="2" t="str">
        <f t="shared" ref="S268:S334" si="155">IF(G268="NEJ",F268,"")</f>
        <v>Ledningsevne</v>
      </c>
      <c r="T268" t="str">
        <f t="shared" si="152"/>
        <v>Temperatur, pH, Ledningsevne</v>
      </c>
    </row>
    <row r="269" spans="5:20" x14ac:dyDescent="0.2">
      <c r="F269" s="3" t="s">
        <v>65</v>
      </c>
      <c r="G269" s="4" t="str">
        <f>IF((IFERROR(SEARCH(K269,Rådata!$B$1000),-1)+IFERROR(SEARCH(L269,Rådata!$B$1000),-1)+IFERROR(SEARCH(M269,Rådata!$B$1000),-1)+IFERROR(SEARCH(N269,Rådata!$B$1000),-1)+IFERROR(SEARCH(O269,Rådata!$B$1000),-1))&gt;0,"-","NEJ")</f>
        <v>NEJ</v>
      </c>
      <c r="K269" s="2" t="str">
        <f>K26</f>
        <v>NVOC</v>
      </c>
      <c r="L269" s="2" t="str">
        <f t="shared" ref="L269:M269" si="156">L26</f>
        <v>Her kan et synonym indsættes</v>
      </c>
      <c r="M269" s="2" t="str">
        <f t="shared" si="156"/>
        <v>Her kan et synonym indsættes</v>
      </c>
      <c r="N269" s="2" t="str">
        <f t="shared" ref="N269:O269" si="157">N26</f>
        <v>Her kan et synonym indsættes</v>
      </c>
      <c r="O269" s="2" t="str">
        <f t="shared" si="157"/>
        <v>Her kan et synonym indsættes</v>
      </c>
      <c r="S269" s="2" t="str">
        <f t="shared" si="155"/>
        <v>NVOC</v>
      </c>
      <c r="T269" t="str">
        <f t="shared" si="152"/>
        <v>Temperatur, pH, Ledningsevne, NVOC</v>
      </c>
    </row>
    <row r="270" spans="5:20" x14ac:dyDescent="0.2">
      <c r="F270" s="3" t="s">
        <v>160</v>
      </c>
      <c r="G270" s="4" t="str">
        <f>IF((IFERROR(SEARCH(K270,Rådata!$B$1000),-1)+IFERROR(SEARCH(L270,Rådata!$B$1000),-1)+IFERROR(SEARCH(M270,Rådata!$B$1000),-1)+IFERROR(SEARCH(N270,Rådata!$B$1000),-1)+IFERROR(SEARCH(O270,Rådata!$B$1000),-1))&gt;0,"-","NEJ")</f>
        <v>NEJ</v>
      </c>
      <c r="K270" s="29" t="str">
        <f t="shared" ref="K270:K285" si="158">F270</f>
        <v>Calcium</v>
      </c>
      <c r="L270" s="29" t="s">
        <v>179</v>
      </c>
      <c r="M270" s="29" t="s">
        <v>179</v>
      </c>
      <c r="N270" s="29" t="s">
        <v>179</v>
      </c>
      <c r="O270" s="29" t="s">
        <v>179</v>
      </c>
      <c r="S270" s="2" t="str">
        <f t="shared" si="155"/>
        <v>Calcium</v>
      </c>
      <c r="T270" t="str">
        <f t="shared" si="152"/>
        <v>Temperatur, pH, Ledningsevne, NVOC, Calcium</v>
      </c>
    </row>
    <row r="271" spans="5:20" x14ac:dyDescent="0.2">
      <c r="F271" s="3" t="s">
        <v>161</v>
      </c>
      <c r="G271" s="4" t="str">
        <f>IF((IFERROR(SEARCH(K271,Rådata!$B$1000),-1)+IFERROR(SEARCH(L271,Rådata!$B$1000),-1)+IFERROR(SEARCH(M271,Rådata!$B$1000),-1)+IFERROR(SEARCH(N271,Rådata!$B$1000),-1)+IFERROR(SEARCH(O271,Rådata!$B$1000),-1))&gt;0,"-","NEJ")</f>
        <v>NEJ</v>
      </c>
      <c r="K271" s="29" t="str">
        <f t="shared" si="158"/>
        <v>Magnesium</v>
      </c>
      <c r="L271" s="29" t="s">
        <v>179</v>
      </c>
      <c r="M271" s="29" t="s">
        <v>179</v>
      </c>
      <c r="N271" s="29" t="s">
        <v>179</v>
      </c>
      <c r="O271" s="29" t="s">
        <v>179</v>
      </c>
      <c r="S271" s="2" t="str">
        <f t="shared" si="155"/>
        <v>Magnesium</v>
      </c>
      <c r="T271" t="str">
        <f t="shared" si="152"/>
        <v>Temperatur, pH, Ledningsevne, NVOC, Calcium, Magnesium</v>
      </c>
    </row>
    <row r="272" spans="5:20" x14ac:dyDescent="0.2">
      <c r="F272" s="3" t="s">
        <v>66</v>
      </c>
      <c r="G272" s="4" t="str">
        <f>IF((IFERROR(SEARCH(K272,Rådata!$B$1000),-1)+IFERROR(SEARCH(L272,Rådata!$B$1000),-1)+IFERROR(SEARCH(M272,Rådata!$B$1000),-1)+IFERROR(SEARCH(N272,Rådata!$B$1000),-1)+IFERROR(SEARCH(O272,Rådata!$B$1000),-1))&gt;0,"-","NEJ")</f>
        <v>NEJ</v>
      </c>
      <c r="K272" s="2" t="str">
        <f>K27</f>
        <v>Natrium</v>
      </c>
      <c r="L272" s="2" t="str">
        <f t="shared" ref="L272:M272" si="159">L27</f>
        <v>Her kan et synonym indsættes</v>
      </c>
      <c r="M272" s="2" t="str">
        <f t="shared" si="159"/>
        <v>Her kan et synonym indsættes</v>
      </c>
      <c r="N272" s="2" t="str">
        <f t="shared" ref="N272:O272" si="160">N27</f>
        <v>Her kan et synonym indsættes</v>
      </c>
      <c r="O272" s="2" t="str">
        <f t="shared" si="160"/>
        <v>Her kan et synonym indsættes</v>
      </c>
      <c r="S272" s="2" t="str">
        <f t="shared" si="155"/>
        <v>Natrium</v>
      </c>
      <c r="T272" t="str">
        <f t="shared" si="152"/>
        <v>Temperatur, pH, Ledningsevne, NVOC, Calcium, Magnesium, Natrium</v>
      </c>
    </row>
    <row r="273" spans="2:20" x14ac:dyDescent="0.2">
      <c r="B273" t="s">
        <v>280</v>
      </c>
      <c r="F273" s="47" t="s">
        <v>279</v>
      </c>
      <c r="G273" s="48" t="str">
        <f>IF((IFERROR(SEARCH(K273,Rådata!$B$1000),-1)+IFERROR(SEARCH(L273,Rådata!$B$1000),-1)+IFERROR(SEARCH(M273,Rådata!$B$1000),-1)+IFERROR(SEARCH(N273,Rådata!$B$1000),-1)+IFERROR(SEARCH(O273,Rådata!$B$1000),-1))&gt;0,"-","NEJ")</f>
        <v>NEJ</v>
      </c>
      <c r="K273" s="29" t="str">
        <f>F273</f>
        <v>Kalium</v>
      </c>
      <c r="L273" s="29" t="s">
        <v>179</v>
      </c>
      <c r="M273" s="29" t="s">
        <v>179</v>
      </c>
      <c r="N273" s="29" t="s">
        <v>179</v>
      </c>
      <c r="O273" s="29" t="s">
        <v>179</v>
      </c>
      <c r="S273" s="2" t="str">
        <f t="shared" ref="S273:S274" si="161">IF(G273="NEJ",F273,"")</f>
        <v>Kalium</v>
      </c>
      <c r="T273" t="str">
        <f t="shared" ref="T273:T274" si="162">IF(S273="",T272,T272&amp;", "&amp;S273)</f>
        <v>Temperatur, pH, Ledningsevne, NVOC, Calcium, Magnesium, Natrium, Kalium</v>
      </c>
    </row>
    <row r="274" spans="2:20" x14ac:dyDescent="0.2">
      <c r="F274" s="3" t="s">
        <v>67</v>
      </c>
      <c r="G274" s="4" t="str">
        <f>IF((IFERROR(SEARCH(K274,Rådata!$B$1000),-1)+IFERROR(SEARCH(L274,Rådata!$B$1000),-1)+IFERROR(SEARCH(M274,Rådata!$B$1000),-1)+IFERROR(SEARCH(N274,Rådata!$B$1000),-1)+IFERROR(SEARCH(O274,Rådata!$B$1000),-1))&gt;0,"-","NEJ")</f>
        <v>NEJ</v>
      </c>
      <c r="K274" s="2" t="str">
        <f>K28</f>
        <v>Ammonium</v>
      </c>
      <c r="L274" s="2" t="str">
        <f t="shared" ref="L274:M274" si="163">L28</f>
        <v>Her kan et synonym indsættes</v>
      </c>
      <c r="M274" s="2" t="str">
        <f t="shared" si="163"/>
        <v>Her kan et synonym indsættes</v>
      </c>
      <c r="N274" s="2" t="str">
        <f t="shared" ref="N274:O274" si="164">N28</f>
        <v>Her kan et synonym indsættes</v>
      </c>
      <c r="O274" s="2" t="str">
        <f t="shared" si="164"/>
        <v>Her kan et synonym indsættes</v>
      </c>
      <c r="S274" s="2" t="str">
        <f t="shared" si="161"/>
        <v>Ammonium</v>
      </c>
      <c r="T274" t="str">
        <f t="shared" si="162"/>
        <v>Temperatur, pH, Ledningsevne, NVOC, Calcium, Magnesium, Natrium, Kalium, Ammonium</v>
      </c>
    </row>
    <row r="275" spans="2:20" x14ac:dyDescent="0.2">
      <c r="F275" s="3" t="s">
        <v>162</v>
      </c>
      <c r="G275" s="4" t="str">
        <f>IF((IFERROR(SEARCH(K275,Rådata!$B$1000),-1)+IFERROR(SEARCH(L275,Rådata!$B$1000),-1)+IFERROR(SEARCH(M275,Rådata!$B$1000),-1)+IFERROR(SEARCH(N275,Rådata!$B$1000),-1)+IFERROR(SEARCH(O275,Rådata!$B$1000),-1))&gt;0,"-","NEJ")</f>
        <v>NEJ</v>
      </c>
      <c r="K275" s="2" t="str">
        <f>K17</f>
        <v>Jern</v>
      </c>
      <c r="L275" s="2" t="str">
        <f t="shared" ref="L275:M275" si="165">L17</f>
        <v>Her kan et synonym indsættes</v>
      </c>
      <c r="M275" s="2" t="str">
        <f t="shared" si="165"/>
        <v>Her kan et synonym indsættes</v>
      </c>
      <c r="N275" s="2" t="str">
        <f t="shared" ref="N275:O275" si="166">N17</f>
        <v>Her kan et synonym indsættes</v>
      </c>
      <c r="O275" s="2" t="str">
        <f t="shared" si="166"/>
        <v>Her kan et synonym indsættes</v>
      </c>
      <c r="S275" s="2" t="str">
        <f t="shared" si="155"/>
        <v>Jern, total</v>
      </c>
      <c r="T275" t="str">
        <f t="shared" si="152"/>
        <v>Temperatur, pH, Ledningsevne, NVOC, Calcium, Magnesium, Natrium, Kalium, Ammonium, Jern, total</v>
      </c>
    </row>
    <row r="276" spans="2:20" x14ac:dyDescent="0.2">
      <c r="F276" s="3" t="s">
        <v>163</v>
      </c>
      <c r="G276" s="4" t="str">
        <f>IF((IFERROR(SEARCH(K276,Rådata!$B$1000),-1)+IFERROR(SEARCH(L276,Rådata!$B$1000),-1)+IFERROR(SEARCH(M276,Rådata!$B$1000),-1)+IFERROR(SEARCH(N276,Rådata!$B$1000),-1)+IFERROR(SEARCH(O276,Rådata!$B$1000),-1))&gt;0,"-","NEJ")</f>
        <v>NEJ</v>
      </c>
      <c r="K276" s="2" t="str">
        <f>K29</f>
        <v>Mangan</v>
      </c>
      <c r="L276" s="2" t="str">
        <f t="shared" ref="L276:M276" si="167">L29</f>
        <v>Her kan et synonym indsættes</v>
      </c>
      <c r="M276" s="2" t="str">
        <f t="shared" si="167"/>
        <v>Her kan et synonym indsættes</v>
      </c>
      <c r="N276" s="2" t="str">
        <f t="shared" ref="N276:O276" si="168">N29</f>
        <v>Her kan et synonym indsættes</v>
      </c>
      <c r="O276" s="2" t="str">
        <f t="shared" si="168"/>
        <v>Her kan et synonym indsættes</v>
      </c>
      <c r="S276" s="2" t="str">
        <f t="shared" si="155"/>
        <v>Mangan, total</v>
      </c>
      <c r="T276" t="str">
        <f t="shared" si="152"/>
        <v>Temperatur, pH, Ledningsevne, NVOC, Calcium, Magnesium, Natrium, Kalium, Ammonium, Jern, total, Mangan, total</v>
      </c>
    </row>
    <row r="277" spans="2:20" x14ac:dyDescent="0.2">
      <c r="F277" s="3" t="s">
        <v>164</v>
      </c>
      <c r="G277" s="4" t="str">
        <f>IF((IFERROR(SEARCH(K277,Rådata!$B$1000),-1)+IFERROR(SEARCH(L277,Rådata!$B$1000),-1)+IFERROR(SEARCH(M277,Rådata!$B$1000),-1)+IFERROR(SEARCH(N277,Rådata!$B$1000),-1)+IFERROR(SEARCH(O277,Rådata!$B$1000),-1))&gt;0,"-","NEJ")</f>
        <v>NEJ</v>
      </c>
      <c r="K277" s="29" t="str">
        <f t="shared" si="158"/>
        <v>Bicarbonat</v>
      </c>
      <c r="L277" s="29" t="s">
        <v>222</v>
      </c>
      <c r="M277" s="29" t="s">
        <v>223</v>
      </c>
      <c r="N277" s="29" t="s">
        <v>179</v>
      </c>
      <c r="O277" s="29" t="s">
        <v>179</v>
      </c>
      <c r="S277" s="2" t="str">
        <f t="shared" si="155"/>
        <v>Bicarbonat</v>
      </c>
      <c r="T277" t="str">
        <f t="shared" si="152"/>
        <v>Temperatur, pH, Ledningsevne, NVOC, Calcium, Magnesium, Natrium, Kalium, Ammonium, Jern, total, Mangan, total, Bicarbonat</v>
      </c>
    </row>
    <row r="278" spans="2:20" x14ac:dyDescent="0.2">
      <c r="F278" s="3" t="s">
        <v>6</v>
      </c>
      <c r="G278" s="4" t="str">
        <f>IF((IFERROR(SEARCH(K278,Rådata!$B$1000),-1)+IFERROR(SEARCH(L278,Rådata!$B$1000),-1)+IFERROR(SEARCH(M278,Rådata!$B$1000),-1)+IFERROR(SEARCH(N278,Rådata!$B$1000),-1)+IFERROR(SEARCH(O278,Rådata!$B$1000),-1))&gt;0,"-","NEJ")</f>
        <v>NEJ</v>
      </c>
      <c r="K278" s="2" t="str">
        <f>K30</f>
        <v>Chlorid</v>
      </c>
      <c r="L278" s="2" t="str">
        <f t="shared" ref="L278:M278" si="169">L30</f>
        <v>Klorid</v>
      </c>
      <c r="M278" s="2" t="str">
        <f t="shared" si="169"/>
        <v>Her kan et synonym indsættes</v>
      </c>
      <c r="N278" s="2" t="str">
        <f t="shared" ref="N278:O278" si="170">N30</f>
        <v>Her kan et synonym indsættes</v>
      </c>
      <c r="O278" s="2" t="str">
        <f t="shared" si="170"/>
        <v>Her kan et synonym indsættes</v>
      </c>
      <c r="S278" s="2" t="str">
        <f t="shared" si="155"/>
        <v>Chlorid</v>
      </c>
      <c r="T278" t="str">
        <f t="shared" si="152"/>
        <v>Temperatur, pH, Ledningsevne, NVOC, Calcium, Magnesium, Natrium, Kalium, Ammonium, Jern, total, Mangan, total, Bicarbonat, Chlorid</v>
      </c>
    </row>
    <row r="279" spans="2:20" x14ac:dyDescent="0.2">
      <c r="F279" s="3" t="s">
        <v>7</v>
      </c>
      <c r="G279" s="4" t="str">
        <f>IF((IFERROR(SEARCH(K279,Rådata!$B$1000),-1)+IFERROR(SEARCH(L279,Rådata!$B$1000),-1)+IFERROR(SEARCH(M279,Rådata!$B$1000),-1)+IFERROR(SEARCH(N279,Rådata!$B$1000),-1)+IFERROR(SEARCH(O279,Rådata!$B$1000),-1))&gt;0,"-","NEJ")</f>
        <v>NEJ</v>
      </c>
      <c r="K279" s="2" t="str">
        <f>K31</f>
        <v>Sulfat</v>
      </c>
      <c r="L279" s="2" t="str">
        <f>L31</f>
        <v>Her kan et synonym indsættes</v>
      </c>
      <c r="M279" s="2" t="str">
        <f>M31</f>
        <v>Her kan et synonym indsættes</v>
      </c>
      <c r="N279" s="2" t="str">
        <f>N31</f>
        <v>Her kan et synonym indsættes</v>
      </c>
      <c r="O279" s="2" t="str">
        <f>O31</f>
        <v>Her kan et synonym indsættes</v>
      </c>
      <c r="S279" s="2" t="str">
        <f t="shared" si="155"/>
        <v>Sulfat</v>
      </c>
      <c r="T279" t="str">
        <f t="shared" si="152"/>
        <v>Temperatur, pH, Ledningsevne, NVOC, Calcium, Magnesium, Natrium, Kalium, Ammonium, Jern, total, Mangan, total, Bicarbonat, Chlorid, Sulfat</v>
      </c>
    </row>
    <row r="280" spans="2:20" x14ac:dyDescent="0.2">
      <c r="F280" s="3" t="s">
        <v>5</v>
      </c>
      <c r="G280" s="4" t="str">
        <f>IF((IFERROR(SEARCH(K280,Rådata!$B$1000),-1)+IFERROR(SEARCH(L280,Rådata!$B$1000),-1)+IFERROR(SEARCH(M280,Rådata!$B$1000),-1)+IFERROR(SEARCH(N280,Rådata!$B$1000),-1)+IFERROR(SEARCH(O280,Rådata!$B$1000),-1))&gt;0,"-","NEJ")</f>
        <v>NEJ</v>
      </c>
      <c r="K280" s="2" t="str">
        <f>K32</f>
        <v>Nitrat</v>
      </c>
      <c r="L280" s="2" t="str">
        <f>L32</f>
        <v>Her kan et synonym indsættes</v>
      </c>
      <c r="M280" s="2" t="str">
        <f>M32</f>
        <v>Her kan et synonym indsættes</v>
      </c>
      <c r="N280" s="2" t="str">
        <f>N32</f>
        <v>Her kan et synonym indsættes</v>
      </c>
      <c r="O280" s="2" t="str">
        <f>O32</f>
        <v>Her kan et synonym indsættes</v>
      </c>
      <c r="S280" s="2" t="str">
        <f t="shared" si="155"/>
        <v>Nitrat</v>
      </c>
      <c r="T280" t="str">
        <f t="shared" si="152"/>
        <v>Temperatur, pH, Ledningsevne, NVOC, Calcium, Magnesium, Natrium, Kalium, Ammonium, Jern, total, Mangan, total, Bicarbonat, Chlorid, Sulfat, Nitrat</v>
      </c>
    </row>
    <row r="281" spans="2:20" x14ac:dyDescent="0.2">
      <c r="F281" s="3" t="s">
        <v>4</v>
      </c>
      <c r="G281" s="4" t="str">
        <f>IF((IFERROR(SEARCH(K281,Rådata!$B$1000),-1)+IFERROR(SEARCH(L281,Rådata!$B$1000),-1)+IFERROR(SEARCH(M281,Rådata!$B$1000),-1)+IFERROR(SEARCH(N281,Rådata!$B$1000),-1)+IFERROR(SEARCH(O281,Rådata!$B$1000),-1))&gt;0,"-","NEJ")</f>
        <v>NEJ</v>
      </c>
      <c r="K281" s="2" t="str">
        <f>K18</f>
        <v>Nitrit</v>
      </c>
      <c r="L281" s="2" t="str">
        <f t="shared" ref="L281:M281" si="171">L18</f>
        <v>Her kan et synonym indsættes</v>
      </c>
      <c r="M281" s="2" t="str">
        <f t="shared" si="171"/>
        <v>Her kan et synonym indsættes</v>
      </c>
      <c r="N281" s="2" t="str">
        <f t="shared" ref="N281:O281" si="172">N18</f>
        <v>Her kan et synonym indsættes</v>
      </c>
      <c r="O281" s="2" t="str">
        <f t="shared" si="172"/>
        <v>Her kan et synonym indsættes</v>
      </c>
      <c r="S281" s="2" t="str">
        <f t="shared" si="155"/>
        <v>Nitrit</v>
      </c>
      <c r="T281" t="str">
        <f t="shared" si="152"/>
        <v>Temperatur, pH, Ledningsevne, NVOC, Calcium, Magnesium, Natrium, Kalium, Ammonium, Jern, total, Mangan, total, Bicarbonat, Chlorid, Sulfat, Nitrat, Nitrit</v>
      </c>
    </row>
    <row r="282" spans="2:20" x14ac:dyDescent="0.2">
      <c r="F282" s="3" t="s">
        <v>69</v>
      </c>
      <c r="G282" s="4" t="str">
        <f>IF((IFERROR(SEARCH(K282,Rådata!$B$1000),-1)+IFERROR(SEARCH(L282,Rådata!$B$1000),-1)+IFERROR(SEARCH(M282,Rådata!$B$1000),-1)+IFERROR(SEARCH(N282,Rådata!$B$1000),-1)+IFERROR(SEARCH(O282,Rådata!$B$1000),-1))&gt;0,"-","NEJ")</f>
        <v>NEJ</v>
      </c>
      <c r="K282" s="2" t="str">
        <f>K34</f>
        <v>Fluorid</v>
      </c>
      <c r="L282" s="2" t="str">
        <f t="shared" ref="L282:M282" si="173">L34</f>
        <v>Her kan et synonym indsættes</v>
      </c>
      <c r="M282" s="2" t="str">
        <f t="shared" si="173"/>
        <v>Her kan et synonym indsættes</v>
      </c>
      <c r="N282" s="2" t="str">
        <f t="shared" ref="N282:O282" si="174">N34</f>
        <v>Her kan et synonym indsættes</v>
      </c>
      <c r="O282" s="2" t="str">
        <f t="shared" si="174"/>
        <v>Her kan et synonym indsættes</v>
      </c>
      <c r="S282" s="2" t="str">
        <f t="shared" si="155"/>
        <v>Fluorid</v>
      </c>
      <c r="T282" t="str">
        <f t="shared" si="152"/>
        <v>Temperatur, pH, Ledningsevne, NVOC, Calcium, Magnesium, Natrium, Kalium, Ammonium, Jern, total, Mangan, total, Bicarbonat, Chlorid, Sulfat, Nitrat, Nitrit, Fluorid</v>
      </c>
    </row>
    <row r="283" spans="2:20" x14ac:dyDescent="0.2">
      <c r="F283" s="3" t="s">
        <v>156</v>
      </c>
      <c r="G283" s="4" t="str">
        <f>IF((IFERROR(SEARCH(K283,Rådata!$B$1000),-1)+IFERROR(SEARCH(L283,Rådata!$B$1000),-1)+IFERROR(SEARCH(M283,Rådata!$B$1000),-1)+IFERROR(SEARCH(N283,Rådata!$B$1000),-1)+IFERROR(SEARCH(O283,Rådata!$B$1000),-1))&gt;0,"-","NEJ")</f>
        <v>NEJ</v>
      </c>
      <c r="K283" s="2" t="str">
        <f>K205</f>
        <v>Ilt</v>
      </c>
      <c r="L283" s="2" t="str">
        <f t="shared" ref="L283:M283" si="175">L205</f>
        <v>Her kan et synonym indsættes</v>
      </c>
      <c r="M283" s="2" t="str">
        <f t="shared" si="175"/>
        <v>Her kan et synonym indsættes</v>
      </c>
      <c r="N283" s="2" t="str">
        <f t="shared" ref="N283:O283" si="176">N205</f>
        <v>Her kan et synonym indsættes</v>
      </c>
      <c r="O283" s="2" t="str">
        <f t="shared" si="176"/>
        <v>Her kan et synonym indsættes</v>
      </c>
      <c r="S283" s="2" t="str">
        <f t="shared" si="155"/>
        <v>Ilt</v>
      </c>
      <c r="T283" t="str">
        <f t="shared" si="152"/>
        <v>Temperatur, pH, Ledningsevne, NVOC, Calcium, Magnesium, Natrium, Kalium, Ammonium, Jern, total, Mangan, total, Bicarbonat, Chlorid, Sulfat, Nitrat, Nitrit, Fluorid, Ilt</v>
      </c>
    </row>
    <row r="284" spans="2:20" x14ac:dyDescent="0.2">
      <c r="F284" s="3" t="s">
        <v>165</v>
      </c>
      <c r="G284" s="4" t="str">
        <f>IF((IFERROR(SEARCH(K284,Rådata!$B$1000),-1)+IFERROR(SEARCH(L284,Rådata!$B$1000),-1)+IFERROR(SEARCH(M284,Rådata!$B$1000),-1)+IFERROR(SEARCH(N284,Rådata!$B$1000),-1)+IFERROR(SEARCH(O284,Rådata!$B$1000),-1))&gt;0,"-","NEJ")</f>
        <v>NEJ</v>
      </c>
      <c r="K284" s="2" t="str">
        <f>K206</f>
        <v>Aggressivt kuldioxid</v>
      </c>
      <c r="L284" s="2" t="str">
        <f t="shared" ref="L284:O284" si="177">L206</f>
        <v>Aggressiv kuldioxid</v>
      </c>
      <c r="M284" s="2" t="str">
        <f t="shared" si="177"/>
        <v>Aggressiv CO2</v>
      </c>
      <c r="N284" s="2" t="str">
        <f t="shared" si="177"/>
        <v>Her kan et synonym indsættes</v>
      </c>
      <c r="O284" s="2" t="str">
        <f t="shared" si="177"/>
        <v>Her kan et synonym indsættes</v>
      </c>
      <c r="S284" s="2" t="str">
        <f t="shared" si="155"/>
        <v>Aggressivt kuldioxid</v>
      </c>
      <c r="T284" t="str">
        <f t="shared" si="152"/>
        <v>Temperatur, pH, Ledningsevne, NVOC, Calcium, Magnesium, Natrium, Kalium, Ammonium, Jern, total, Mangan, total, Bicarbonat, Chlorid, Sulfat, Nitrat, Nitrit, Fluorid, Ilt, Aggressivt kuldioxid</v>
      </c>
    </row>
    <row r="285" spans="2:20" x14ac:dyDescent="0.2">
      <c r="F285" s="3" t="s">
        <v>166</v>
      </c>
      <c r="G285" s="4" t="str">
        <f>IF((IFERROR(SEARCH(K285,Rådata!$B$1000),-1)+IFERROR(SEARCH(L285,Rådata!$B$1000),-1)+IFERROR(SEARCH(M285,Rådata!$B$1000),-1)+IFERROR(SEARCH(N285,Rådata!$B$1000),-1)+IFERROR(SEARCH(O285,Rådata!$B$1000),-1))&gt;0,"-","NEJ")</f>
        <v>NEJ</v>
      </c>
      <c r="K285" s="29" t="str">
        <f t="shared" si="158"/>
        <v>Totalt phosphor</v>
      </c>
      <c r="L285" s="29" t="s">
        <v>184</v>
      </c>
      <c r="M285" s="29" t="s">
        <v>224</v>
      </c>
      <c r="N285" s="29" t="s">
        <v>261</v>
      </c>
      <c r="O285" s="29" t="s">
        <v>265</v>
      </c>
      <c r="S285" s="2" t="str">
        <f t="shared" si="155"/>
        <v>Totalt phosphor</v>
      </c>
      <c r="T285" t="str">
        <f t="shared" si="152"/>
        <v>Temperatur, pH, Ledningsevne, NVOC, Calcium, Magnesium, Natrium, Kalium, Ammonium, Jern, total, Mangan, total, Bicarbonat, Chlorid, Sulfat, Nitrat, Nitrit, Fluorid, Ilt, Aggressivt kuldioxid, Totalt phosphor</v>
      </c>
    </row>
    <row r="286" spans="2:20" x14ac:dyDescent="0.2">
      <c r="F286" s="3" t="s">
        <v>157</v>
      </c>
      <c r="G286" s="4" t="str">
        <f>IF((IFERROR(SEARCH(K286,Rådata!$B$1000),-1)+IFERROR(SEARCH(L286,Rådata!$B$1000),-1)+IFERROR(SEARCH(M286,Rådata!$B$1000),-1)+IFERROR(SEARCH(N286,Rådata!$B$1000),-1)+IFERROR(SEARCH(O286,Rådata!$B$1000),-1))&gt;0,"-","NEJ")</f>
        <v>NEJ</v>
      </c>
      <c r="K286" s="2" t="str">
        <f>K207</f>
        <v>Methan</v>
      </c>
      <c r="L286" s="2" t="str">
        <f t="shared" ref="L286:M286" si="178">L207</f>
        <v>Metan</v>
      </c>
      <c r="M286" s="2" t="str">
        <f t="shared" si="178"/>
        <v>Her kan et synonym indsættes</v>
      </c>
      <c r="N286" s="2" t="str">
        <f t="shared" ref="N286:O286" si="179">N207</f>
        <v>Her kan et synonym indsættes</v>
      </c>
      <c r="O286" s="2" t="str">
        <f t="shared" si="179"/>
        <v>Her kan et synonym indsættes</v>
      </c>
      <c r="S286" s="2" t="str">
        <f t="shared" si="155"/>
        <v>Methan</v>
      </c>
      <c r="T286" t="str">
        <f t="shared" si="152"/>
        <v>Temperatur, pH, Ledningsevne, NVOC, Calcium, Magnesium, Natrium, Kalium, Ammonium, Jern, total, Mangan, total, Bicarbonat, Chlorid, Sulfat, Nitrat, Nitrit, Fluorid, Ilt, Aggressivt kuldioxid, Totalt phosphor, Methan</v>
      </c>
    </row>
    <row r="287" spans="2:20" x14ac:dyDescent="0.2">
      <c r="F287" s="10" t="s">
        <v>158</v>
      </c>
      <c r="G287" s="4" t="str">
        <f>IF((IFERROR(SEARCH(K287,Rådata!$B$1000),-1)+IFERROR(SEARCH(L287,Rådata!$B$1000),-1)+IFERROR(SEARCH(M287,Rådata!$B$1000),-1)+IFERROR(SEARCH(N287,Rådata!$B$1000),-1)+IFERROR(SEARCH(O287,Rådata!$B$1000),-1))&gt;0,"-","NEJ")</f>
        <v>NEJ</v>
      </c>
      <c r="K287" s="2" t="str">
        <f>K208</f>
        <v>Svovlbrinte</v>
      </c>
      <c r="L287" s="2" t="str">
        <f t="shared" ref="L287:M287" si="180">L208</f>
        <v>Sulfid-S</v>
      </c>
      <c r="M287" s="2" t="str">
        <f t="shared" si="180"/>
        <v>Her kan et synonym indsættes</v>
      </c>
      <c r="N287" s="2" t="str">
        <f t="shared" ref="N287:O287" si="181">N208</f>
        <v>Her kan et synonym indsættes</v>
      </c>
      <c r="O287" s="2" t="str">
        <f t="shared" si="181"/>
        <v>Her kan et synonym indsættes</v>
      </c>
      <c r="S287" s="2" t="str">
        <f t="shared" si="155"/>
        <v>Svovlbrinte</v>
      </c>
      <c r="T287" t="str">
        <f t="shared" si="152"/>
        <v>Temperatur, pH, Ledningsevne, NVOC, Calcium, Magnesium, Natrium, Kalium, Ammonium, Jern, total, Mangan, total, Bicarbonat, Chlorid, Sulfat, Nitrat, Nitrit, Fluorid, Ilt, Aggressivt kuldioxid, Totalt phosphor, Methan, Svovlbrinte</v>
      </c>
    </row>
    <row r="288" spans="2:20" x14ac:dyDescent="0.2">
      <c r="E288" s="51" t="s">
        <v>70</v>
      </c>
      <c r="F288" s="51"/>
      <c r="G288" s="13"/>
      <c r="H288" s="13" t="str">
        <f>IF(IFERROR(SEARCH("NEJ",CONCATENATE(" ",G289,G290,G291,G292,G293)),1)=1,"OK","NEJ")</f>
        <v>NEJ</v>
      </c>
      <c r="K288" s="2"/>
      <c r="L288" s="2"/>
      <c r="M288" s="2"/>
      <c r="N288" s="2"/>
      <c r="O288" s="2"/>
      <c r="T288" t="str">
        <f t="shared" si="152"/>
        <v>Temperatur, pH, Ledningsevne, NVOC, Calcium, Magnesium, Natrium, Kalium, Ammonium, Jern, total, Mangan, total, Bicarbonat, Chlorid, Sulfat, Nitrat, Nitrit, Fluorid, Ilt, Aggressivt kuldioxid, Totalt phosphor, Methan, Svovlbrinte</v>
      </c>
    </row>
    <row r="289" spans="5:20" x14ac:dyDescent="0.2">
      <c r="F289" s="9" t="s">
        <v>81</v>
      </c>
      <c r="G289" s="4" t="str">
        <f>IF((IFERROR(SEARCH(K289,Rådata!$B$1000),-1)+IFERROR(SEARCH(L289,Rådata!$B$1000),-1)+IFERROR(SEARCH(M289,Rådata!$B$1000),-1)+IFERROR(SEARCH(N289,Rådata!$B$1000),-1)+IFERROR(SEARCH(O289,Rådata!$B$1000),-1))&gt;0,"-","NEJ")</f>
        <v>NEJ</v>
      </c>
      <c r="K289" s="2" t="str">
        <f>K47</f>
        <v>Nikkel</v>
      </c>
      <c r="L289" s="2" t="str">
        <f t="shared" ref="L289:M289" si="182">L47</f>
        <v>Her kan et synonym indsættes</v>
      </c>
      <c r="M289" s="2" t="str">
        <f t="shared" si="182"/>
        <v>Her kan et synonym indsættes</v>
      </c>
      <c r="N289" s="2" t="str">
        <f t="shared" ref="N289:O289" si="183">N47</f>
        <v>Her kan et synonym indsættes</v>
      </c>
      <c r="O289" s="2" t="str">
        <f t="shared" si="183"/>
        <v>Her kan et synonym indsættes</v>
      </c>
      <c r="S289" s="2" t="str">
        <f t="shared" si="155"/>
        <v>Nikkel</v>
      </c>
      <c r="T289" t="str">
        <f t="shared" si="152"/>
        <v>Temperatur, pH, Ledningsevne, NVOC, Calcium, Magnesium, Natrium, Kalium, Ammonium, Jern, total, Mangan, total, Bicarbonat, Chlorid, Sulfat, Nitrat, Nitrit, Fluorid, Ilt, Aggressivt kuldioxid, Totalt phosphor, Methan, Svovlbrinte, Nikkel</v>
      </c>
    </row>
    <row r="290" spans="5:20" x14ac:dyDescent="0.2">
      <c r="F290" s="3" t="s">
        <v>73</v>
      </c>
      <c r="G290" s="4" t="str">
        <f>IF((IFERROR(SEARCH(K290,Rådata!$B$1000),-1)+IFERROR(SEARCH(L290,Rådata!$B$1000),-1)+IFERROR(SEARCH(M290,Rådata!$B$1000),-1)+IFERROR(SEARCH(N290,Rådata!$B$1000),-1)+IFERROR(SEARCH(O290,Rådata!$B$1000),-1))&gt;0,"-","NEJ")</f>
        <v>NEJ</v>
      </c>
      <c r="K290" s="2" t="str">
        <f>K38</f>
        <v>Arsen</v>
      </c>
      <c r="L290" s="2" t="str">
        <f t="shared" ref="L290:M290" si="184">L38</f>
        <v>Her kan et synonym indsættes</v>
      </c>
      <c r="M290" s="2" t="str">
        <f t="shared" si="184"/>
        <v>Her kan et synonym indsættes</v>
      </c>
      <c r="N290" s="2" t="str">
        <f t="shared" ref="N290:O290" si="185">N38</f>
        <v>Her kan et synonym indsættes</v>
      </c>
      <c r="O290" s="2" t="str">
        <f t="shared" si="185"/>
        <v>Her kan et synonym indsættes</v>
      </c>
      <c r="S290" s="2" t="str">
        <f t="shared" si="155"/>
        <v>Arsen</v>
      </c>
      <c r="T290" t="str">
        <f t="shared" si="152"/>
        <v>Temperatur, pH, Ledningsevne, NVOC, Calcium, Magnesium, Natrium, Kalium, Ammonium, Jern, total, Mangan, total, Bicarbonat, Chlorid, Sulfat, Nitrat, Nitrit, Fluorid, Ilt, Aggressivt kuldioxid, Totalt phosphor, Methan, Svovlbrinte, Nikkel, Arsen</v>
      </c>
    </row>
    <row r="291" spans="5:20" x14ac:dyDescent="0.2">
      <c r="F291" s="3" t="s">
        <v>167</v>
      </c>
      <c r="G291" s="4" t="str">
        <f>IF((IFERROR(SEARCH(K291,Rådata!$B$1000),-1)+IFERROR(SEARCH(L291,Rådata!$B$1000),-1)+IFERROR(SEARCH(M291,Rådata!$B$1000),-1)+IFERROR(SEARCH(N291,Rådata!$B$1000),-1)+IFERROR(SEARCH(O291,Rådata!$B$1000),-1))&gt;0,"-","NEJ")</f>
        <v>NEJ</v>
      </c>
      <c r="K291" s="29" t="str">
        <f>F291</f>
        <v>Barium</v>
      </c>
      <c r="L291" s="29" t="s">
        <v>179</v>
      </c>
      <c r="M291" s="29" t="s">
        <v>179</v>
      </c>
      <c r="N291" s="29" t="s">
        <v>179</v>
      </c>
      <c r="O291" s="29" t="s">
        <v>179</v>
      </c>
      <c r="S291" s="2" t="str">
        <f t="shared" si="155"/>
        <v>Barium</v>
      </c>
      <c r="T291" t="str">
        <f t="shared" si="152"/>
        <v>Temperatur, pH, Ledningsevne, NVOC, Calcium, Magnesium, Natrium, Kalium, Ammonium, Jern, total, Mangan, total, Bicarbonat, Chlorid, Sulfat, Nitrat, Nitrit, Fluorid, Ilt, Aggressivt kuldioxid, Totalt phosphor, Methan, Svovlbrinte, Nikkel, Arsen, Barium</v>
      </c>
    </row>
    <row r="292" spans="5:20" x14ac:dyDescent="0.2">
      <c r="F292" s="3" t="s">
        <v>75</v>
      </c>
      <c r="G292" s="4" t="str">
        <f>IF((IFERROR(SEARCH(K292,Rådata!$B$1000),-1)+IFERROR(SEARCH(L292,Rådata!$B$1000),-1)+IFERROR(SEARCH(M292,Rådata!$B$1000),-1)+IFERROR(SEARCH(N292,Rådata!$B$1000),-1)+IFERROR(SEARCH(O292,Rådata!$B$1000),-1))&gt;0,"-","NEJ")</f>
        <v>NEJ</v>
      </c>
      <c r="K292" s="2" t="str">
        <f>K40</f>
        <v>Bor</v>
      </c>
      <c r="L292" s="2" t="str">
        <f t="shared" ref="L292:M292" si="186">L40</f>
        <v>Her kan et synonym indsættes</v>
      </c>
      <c r="M292" s="2" t="str">
        <f t="shared" si="186"/>
        <v>Her kan et synonym indsættes</v>
      </c>
      <c r="N292" s="2" t="str">
        <f t="shared" ref="N292:O292" si="187">N40</f>
        <v>Her kan et synonym indsættes</v>
      </c>
      <c r="O292" s="2" t="str">
        <f t="shared" si="187"/>
        <v>Her kan et synonym indsættes</v>
      </c>
      <c r="S292" s="2" t="str">
        <f t="shared" si="155"/>
        <v>Bor</v>
      </c>
      <c r="T292" t="str">
        <f t="shared" si="152"/>
        <v>Temperatur, pH, Ledningsevne, NVOC, Calcium, Magnesium, Natrium, Kalium, Ammonium, Jern, total, Mangan, total, Bicarbonat, Chlorid, Sulfat, Nitrat, Nitrit, Fluorid, Ilt, Aggressivt kuldioxid, Totalt phosphor, Methan, Svovlbrinte, Nikkel, Arsen, Barium, Bor</v>
      </c>
    </row>
    <row r="293" spans="5:20" x14ac:dyDescent="0.2">
      <c r="F293" s="3" t="s">
        <v>168</v>
      </c>
      <c r="G293" s="4" t="str">
        <f>IF((IFERROR(SEARCH(K293,Rådata!$B$1000),-1)+IFERROR(SEARCH(L293,Rådata!$B$1000),-1)+IFERROR(SEARCH(M293,Rådata!$B$1000),-1)+IFERROR(SEARCH(N293,Rådata!$B$1000),-1)+IFERROR(SEARCH(O293,Rådata!$B$1000),-1))&gt;0,"-","NEJ")</f>
        <v>NEJ</v>
      </c>
      <c r="K293" s="2" t="str">
        <f>K42</f>
        <v>Kobolt</v>
      </c>
      <c r="L293" s="2" t="str">
        <f t="shared" ref="L293:M293" si="188">L42</f>
        <v>Cobolt</v>
      </c>
      <c r="M293" s="2" t="str">
        <f t="shared" si="188"/>
        <v>Her kan et synonym indsættes</v>
      </c>
      <c r="N293" s="2" t="str">
        <f t="shared" ref="N293:O293" si="189">N42</f>
        <v>Her kan et synonym indsættes</v>
      </c>
      <c r="O293" s="2" t="str">
        <f t="shared" si="189"/>
        <v>Her kan et synonym indsættes</v>
      </c>
      <c r="S293" s="2" t="str">
        <f t="shared" si="155"/>
        <v>Cobolt</v>
      </c>
      <c r="T293" t="str">
        <f t="shared" si="152"/>
        <v>Temperatur, pH, Ledningsevne, NVOC, Calcium, Magnesium, Natrium, Kalium, Ammonium, Jern, total, Mangan, total, Bicarbonat, Chlorid, Sulfat, Nitrat, Nitrit, Fluorid, Ilt, Aggressivt kuldioxid, Totalt phosphor, Methan, Svovlbrinte, Nikkel, Arsen, Barium, Bor, Cobolt</v>
      </c>
    </row>
    <row r="294" spans="5:20" x14ac:dyDescent="0.2">
      <c r="E294" s="53" t="s">
        <v>107</v>
      </c>
      <c r="F294" s="53"/>
      <c r="G294" s="13"/>
      <c r="K294" s="30"/>
      <c r="L294" s="2"/>
      <c r="M294" s="2"/>
      <c r="N294" s="2"/>
      <c r="O294" s="2"/>
      <c r="T294" t="str">
        <f t="shared" si="152"/>
        <v>Temperatur, pH, Ledningsevne, NVOC, Calcium, Magnesium, Natrium, Kalium, Ammonium, Jern, total, Mangan, total, Bicarbonat, Chlorid, Sulfat, Nitrat, Nitrit, Fluorid, Ilt, Aggressivt kuldioxid, Totalt phosphor, Methan, Svovlbrinte, Nikkel, Arsen, Barium, Bor, Cobolt</v>
      </c>
    </row>
    <row r="295" spans="5:20" x14ac:dyDescent="0.2">
      <c r="E295" s="53" t="s">
        <v>108</v>
      </c>
      <c r="F295" s="53"/>
      <c r="G295" s="13"/>
      <c r="H295" s="13" t="str">
        <f>IF(IFERROR(SEARCH("NEJ",CONCATENATE(" ",G296,G297,G298,G299,G300,G301,G302,G303,G305,G306,G307,G308,G309,G310,G311,G312,G313)),1)=1,"OK","NEJ")</f>
        <v>NEJ</v>
      </c>
      <c r="K295" s="30"/>
      <c r="L295" s="2"/>
      <c r="M295" s="2"/>
      <c r="N295" s="2"/>
      <c r="O295" s="2"/>
      <c r="T295" t="str">
        <f t="shared" si="152"/>
        <v>Temperatur, pH, Ledningsevne, NVOC, Calcium, Magnesium, Natrium, Kalium, Ammonium, Jern, total, Mangan, total, Bicarbonat, Chlorid, Sulfat, Nitrat, Nitrit, Fluorid, Ilt, Aggressivt kuldioxid, Totalt phosphor, Methan, Svovlbrinte, Nikkel, Arsen, Barium, Bor, Cobolt</v>
      </c>
    </row>
    <row r="296" spans="5:20" x14ac:dyDescent="0.2">
      <c r="F296" s="35" t="s">
        <v>17</v>
      </c>
      <c r="G296" s="18" t="str">
        <f>IF((IFERROR(SEARCH(K296,Rådata!$B$1000),-1)+IFERROR(SEARCH(L296,Rådata!$B$1000),-1)+IFERROR(SEARCH(M296,Rådata!$B$1000),-1)+IFERROR(SEARCH(N296,Rådata!$B$1000),-1)+IFERROR(SEARCH(O296,Rådata!$B$1000),-1))&gt;0,"-","NEJ")</f>
        <v>NEJ</v>
      </c>
      <c r="K296" s="2" t="str">
        <f>K95</f>
        <v>Aldrin</v>
      </c>
      <c r="L296" s="2" t="str">
        <f t="shared" ref="L296:M296" si="190">L95</f>
        <v>Her kan et synonym indsættes</v>
      </c>
      <c r="M296" s="2" t="str">
        <f t="shared" si="190"/>
        <v>Her kan et synonym indsættes</v>
      </c>
      <c r="N296" s="2" t="str">
        <f t="shared" ref="N296:O296" si="191">N95</f>
        <v>Her kan et synonym indsættes</v>
      </c>
      <c r="O296" s="2" t="str">
        <f t="shared" si="191"/>
        <v>Her kan et synonym indsættes</v>
      </c>
      <c r="T296" t="str">
        <f t="shared" si="152"/>
        <v>Temperatur, pH, Ledningsevne, NVOC, Calcium, Magnesium, Natrium, Kalium, Ammonium, Jern, total, Mangan, total, Bicarbonat, Chlorid, Sulfat, Nitrat, Nitrit, Fluorid, Ilt, Aggressivt kuldioxid, Totalt phosphor, Methan, Svovlbrinte, Nikkel, Arsen, Barium, Bor, Cobolt</v>
      </c>
    </row>
    <row r="297" spans="5:20" x14ac:dyDescent="0.2">
      <c r="F297" s="23" t="s">
        <v>235</v>
      </c>
      <c r="G297" s="18" t="str">
        <f>IF((IFERROR(SEARCH(K297,Rådata!$B$1000),-1)+IFERROR(SEARCH(L297,Rådata!$B$1000),-1)+IFERROR(SEARCH(M297,Rådata!$B$1000),-1)+IFERROR(SEARCH(N297,Rådata!$B$1000),-1)+IFERROR(SEARCH(O297,Rådata!$B$1000),-1))&gt;0,"-","NEJ")</f>
        <v>NEJ</v>
      </c>
      <c r="K297" s="2" t="str">
        <f>K96</f>
        <v>Dieldrin</v>
      </c>
      <c r="L297" s="2" t="str">
        <f>L96</f>
        <v>Her kan et synonym indsættes</v>
      </c>
      <c r="M297" s="2" t="str">
        <f>M96</f>
        <v>Her kan et synonym indsættes</v>
      </c>
      <c r="N297" s="2" t="str">
        <f t="shared" ref="N297:O297" si="192">N96</f>
        <v>Her kan et synonym indsættes</v>
      </c>
      <c r="O297" s="2" t="str">
        <f t="shared" si="192"/>
        <v>Her kan et synonym indsættes</v>
      </c>
      <c r="T297" t="str">
        <f t="shared" si="152"/>
        <v>Temperatur, pH, Ledningsevne, NVOC, Calcium, Magnesium, Natrium, Kalium, Ammonium, Jern, total, Mangan, total, Bicarbonat, Chlorid, Sulfat, Nitrat, Nitrit, Fluorid, Ilt, Aggressivt kuldioxid, Totalt phosphor, Methan, Svovlbrinte, Nikkel, Arsen, Barium, Bor, Cobolt</v>
      </c>
    </row>
    <row r="298" spans="5:20" x14ac:dyDescent="0.2">
      <c r="F298" s="23" t="s">
        <v>236</v>
      </c>
      <c r="G298" s="18" t="str">
        <f>IF((IFERROR(SEARCH(K298,Rådata!$B$1000),-1)+IFERROR(SEARCH(L298,Rådata!$B$1000),-1)+IFERROR(SEARCH(M298,Rådata!$B$1000),-1)+IFERROR(SEARCH(N298,Rådata!$B$1000),-1)+IFERROR(SEARCH(O298,Rådata!$B$1000),-1))&gt;0,"-","NEJ")</f>
        <v>NEJ</v>
      </c>
      <c r="K298" s="2" t="str">
        <f>K97</f>
        <v>Heptachlor</v>
      </c>
      <c r="L298" s="2" t="str">
        <f>L97</f>
        <v>Her kan et synonym indsættes</v>
      </c>
      <c r="M298" s="2" t="str">
        <f>M97</f>
        <v>Her kan et synonym indsættes</v>
      </c>
      <c r="N298" s="2" t="str">
        <f t="shared" ref="N298:O298" si="193">N97</f>
        <v>Her kan et synonym indsættes</v>
      </c>
      <c r="O298" s="2" t="str">
        <f t="shared" si="193"/>
        <v>Her kan et synonym indsættes</v>
      </c>
      <c r="T298" t="str">
        <f t="shared" si="152"/>
        <v>Temperatur, pH, Ledningsevne, NVOC, Calcium, Magnesium, Natrium, Kalium, Ammonium, Jern, total, Mangan, total, Bicarbonat, Chlorid, Sulfat, Nitrat, Nitrit, Fluorid, Ilt, Aggressivt kuldioxid, Totalt phosphor, Methan, Svovlbrinte, Nikkel, Arsen, Barium, Bor, Cobolt</v>
      </c>
    </row>
    <row r="299" spans="5:20" x14ac:dyDescent="0.2">
      <c r="F299" s="23" t="s">
        <v>237</v>
      </c>
      <c r="G299" s="18" t="str">
        <f>IF((IFERROR(SEARCH(K299,Rådata!$B$1000),-1)+IFERROR(SEARCH(L299,Rådata!$B$1000),-1)+IFERROR(SEARCH(M299,Rådata!$B$1000),-1)+IFERROR(SEARCH(N299,Rådata!$B$1000),-1)+IFERROR(SEARCH(O299,Rådata!$B$1000),-1))&gt;0,"-","NEJ")</f>
        <v>NEJ</v>
      </c>
      <c r="K299" s="2" t="str">
        <f>K98</f>
        <v>Heptachlorepoxid</v>
      </c>
      <c r="L299" s="2" t="str">
        <f>L98</f>
        <v>Her kan et synonym indsættes</v>
      </c>
      <c r="M299" s="2" t="str">
        <f>M98</f>
        <v>Her kan et synonym indsættes</v>
      </c>
      <c r="N299" s="2" t="str">
        <f t="shared" ref="N299:O299" si="194">N98</f>
        <v>Her kan et synonym indsættes</v>
      </c>
      <c r="O299" s="2" t="str">
        <f t="shared" si="194"/>
        <v>Her kan et synonym indsættes</v>
      </c>
      <c r="T299" t="str">
        <f t="shared" si="152"/>
        <v>Temperatur, pH, Ledningsevne, NVOC, Calcium, Magnesium, Natrium, Kalium, Ammonium, Jern, total, Mangan, total, Bicarbonat, Chlorid, Sulfat, Nitrat, Nitrit, Fluorid, Ilt, Aggressivt kuldioxid, Totalt phosphor, Methan, Svovlbrinte, Nikkel, Arsen, Barium, Bor, Cobolt</v>
      </c>
    </row>
    <row r="300" spans="5:20" x14ac:dyDescent="0.2">
      <c r="F300" s="3" t="s">
        <v>19</v>
      </c>
      <c r="G300" s="4" t="str">
        <f>IF((IFERROR(SEARCH(K300,Rådata!$B$1000),-1)+IFERROR(SEARCH(L300,Rådata!$B$1000),-1)+IFERROR(SEARCH(M300,Rådata!$B$1000),-1)+IFERROR(SEARCH(N300,Rådata!$B$1000),-1)+IFERROR(SEARCH(O300,Rådata!$B$1000),-1))&gt;0,"-","NEJ")</f>
        <v>NEJ</v>
      </c>
      <c r="K300" s="2" t="str">
        <f>K99</f>
        <v>Atrazin</v>
      </c>
      <c r="L300" s="2" t="str">
        <f>L99</f>
        <v>Her kan et synonym indsættes</v>
      </c>
      <c r="M300" s="2" t="str">
        <f>M99</f>
        <v>Her kan et synonym indsættes</v>
      </c>
      <c r="N300" s="2" t="str">
        <f t="shared" ref="N300:O300" si="195">N99</f>
        <v>Her kan et synonym indsættes</v>
      </c>
      <c r="O300" s="2" t="str">
        <f t="shared" si="195"/>
        <v>Her kan et synonym indsættes</v>
      </c>
      <c r="S300" s="2" t="str">
        <f t="shared" si="155"/>
        <v>Atrazin</v>
      </c>
      <c r="T300" t="str">
        <f t="shared" si="152"/>
        <v>Temperatur, pH, Ledningsevne, NVOC, Calcium, Magnesium, Natrium, Kalium, Ammonium, Jern, total, Mangan, total, Bicarbonat, Chlorid, Sulfat, Nitrat, Nitrit, Fluorid, Ilt, Aggressivt kuldioxid, Totalt phosphor, Methan, Svovlbrinte, Nikkel, Arsen, Barium, Bor, Cobolt, Atrazin</v>
      </c>
    </row>
    <row r="301" spans="5:20" x14ac:dyDescent="0.2">
      <c r="F301" s="3" t="s">
        <v>20</v>
      </c>
      <c r="G301" s="4" t="str">
        <f>IF((IFERROR(SEARCH(K301,Rådata!$B$1000),-1)+IFERROR(SEARCH(L301,Rådata!$B$1000),-1)+IFERROR(SEARCH(M301,Rådata!$B$1000),-1)+IFERROR(SEARCH(N301,Rådata!$B$1000),-1)+IFERROR(SEARCH(O301,Rådata!$B$1000),-1))&gt;0,"-","NEJ")</f>
        <v>NEJ</v>
      </c>
      <c r="K301" s="2" t="str">
        <f>K100</f>
        <v>Bentazon</v>
      </c>
      <c r="L301" s="2" t="str">
        <f>L100</f>
        <v>Her kan et synonym indsættes</v>
      </c>
      <c r="M301" s="2" t="str">
        <f>M100</f>
        <v>Her kan et synonym indsættes</v>
      </c>
      <c r="N301" s="2" t="str">
        <f t="shared" ref="N301:O301" si="196">N100</f>
        <v>Her kan et synonym indsættes</v>
      </c>
      <c r="O301" s="2" t="str">
        <f t="shared" si="196"/>
        <v>Her kan et synonym indsættes</v>
      </c>
      <c r="S301" s="2" t="str">
        <f t="shared" si="155"/>
        <v>Bentazon</v>
      </c>
      <c r="T301" t="str">
        <f t="shared" si="152"/>
        <v>Temperatur, pH, Ledningsevne, NVOC, Calcium, Magnesium, Natrium, Kalium, Ammonium, Jern, total, Mangan, total, Bicarbonat, Chlorid, Sulfat, Nitrat, Nitrit, Fluorid, Ilt, Aggressivt kuldioxid, Totalt phosphor, Methan, Svovlbrinte, Nikkel, Arsen, Barium, Bor, Cobolt, Atrazin, Bentazon</v>
      </c>
    </row>
    <row r="302" spans="5:20" x14ac:dyDescent="0.2">
      <c r="F302" s="3" t="s">
        <v>28</v>
      </c>
      <c r="G302" s="4" t="str">
        <f>IF((IFERROR(SEARCH(K302,Rådata!$B$1000),-1)+IFERROR(SEARCH(L302,Rådata!$B$1000),-1)+IFERROR(SEARCH(M302,Rådata!$B$1000),-1)+IFERROR(SEARCH(N302,Rådata!$B$1000),-1)+IFERROR(SEARCH(O302,Rådata!$B$1000),-1))&gt;0,"-","NEJ")</f>
        <v>NEJ</v>
      </c>
      <c r="K302" s="2" t="str">
        <f>K101</f>
        <v>Dichlobenil</v>
      </c>
      <c r="L302" s="2" t="str">
        <f>L101</f>
        <v>Her kan et synonym indsættes</v>
      </c>
      <c r="M302" s="2" t="str">
        <f>M101</f>
        <v>Her kan et synonym indsættes</v>
      </c>
      <c r="N302" s="2" t="str">
        <f t="shared" ref="N302:O302" si="197">N101</f>
        <v>Her kan et synonym indsættes</v>
      </c>
      <c r="O302" s="2" t="str">
        <f t="shared" si="197"/>
        <v>Her kan et synonym indsættes</v>
      </c>
      <c r="S302" s="2" t="str">
        <f t="shared" si="155"/>
        <v>Dichlobenil</v>
      </c>
      <c r="T302" t="str">
        <f t="shared" si="152"/>
        <v>Temperatur, pH, Ledningsevne, NVOC, Calcium, Magnesium, Natrium, Kalium, Ammonium, Jern, total, Mangan, total, Bicarbonat, Chlorid, Sulfat, Nitrat, Nitrit, Fluorid, Ilt, Aggressivt kuldioxid, Totalt phosphor, Methan, Svovlbrinte, Nikkel, Arsen, Barium, Bor, Cobolt, Atrazin, Bentazon, Dichlobenil</v>
      </c>
    </row>
    <row r="303" spans="5:20" x14ac:dyDescent="0.2">
      <c r="F303" s="3" t="s">
        <v>109</v>
      </c>
      <c r="G303" s="4" t="str">
        <f>IF((IFERROR(SEARCH(K303,Rådata!$B$1000),-1)+IFERROR(SEARCH(L303,Rådata!$B$1000),-1)+IFERROR(SEARCH(M303,Rådata!$B$1000),-1)+IFERROR(SEARCH(N303,Rådata!$B$1000),-1)+IFERROR(SEARCH(O303,Rådata!$B$1000),-1))&gt;0,"-","NEJ")</f>
        <v>NEJ</v>
      </c>
      <c r="K303" s="2" t="str">
        <f>K102</f>
        <v>Dichlorprop</v>
      </c>
      <c r="L303" s="2" t="str">
        <f>L102</f>
        <v>Her kan et synonym indsættes</v>
      </c>
      <c r="M303" s="2" t="str">
        <f>M102</f>
        <v>Her kan et synonym indsættes</v>
      </c>
      <c r="N303" s="2" t="str">
        <f t="shared" ref="N303:O303" si="198">N102</f>
        <v>Her kan et synonym indsættes</v>
      </c>
      <c r="O303" s="2" t="str">
        <f t="shared" si="198"/>
        <v>Her kan et synonym indsættes</v>
      </c>
      <c r="S303" s="2" t="str">
        <f t="shared" si="155"/>
        <v>Dichlorprop</v>
      </c>
      <c r="T303" t="str">
        <f t="shared" si="1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v>
      </c>
    </row>
    <row r="304" spans="5:20" x14ac:dyDescent="0.2">
      <c r="F304" s="3" t="str">
        <f>F103</f>
        <v xml:space="preserve">DMS </v>
      </c>
      <c r="G304" s="4" t="str">
        <f>IF((IFERROR(SEARCH(K304,Rådata!$B$1000),-1)+IFERROR(SEARCH(L304,Rådata!$B$1000),-1)+IFERROR(SEARCH(M304,Rådata!$B$1000),-1)+IFERROR(SEARCH(N304,Rådata!$B$1000),-1)+IFERROR(SEARCH(O304,Rådata!$B$1000),-1))&gt;0,"-","NEJ")</f>
        <v>NEJ</v>
      </c>
      <c r="K304" s="2" t="str">
        <f>K103</f>
        <v xml:space="preserve">DMS </v>
      </c>
      <c r="L304" s="2" t="str">
        <f t="shared" ref="L304:O304" si="199">L103</f>
        <v>Dimethylsulfamid</v>
      </c>
      <c r="M304" s="2" t="str">
        <f t="shared" si="199"/>
        <v>Her kan et synonym indsættes</v>
      </c>
      <c r="N304" s="2" t="str">
        <f t="shared" si="199"/>
        <v>Her kan et synonym indsættes</v>
      </c>
      <c r="O304" s="2" t="str">
        <f t="shared" si="199"/>
        <v>Her kan et synonym indsættes</v>
      </c>
      <c r="S304" s="2" t="str">
        <f t="shared" ref="S304:S306" si="200">IF(G304="NEJ",F304,"")</f>
        <v xml:space="preserve">DMS </v>
      </c>
      <c r="T304" t="str">
        <f t="shared" ref="T304:T306" si="201">IF(S304="",T303,T303&amp;", "&amp;S304)</f>
        <v xml:space="preserve">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v>
      </c>
    </row>
    <row r="305" spans="5:20" x14ac:dyDescent="0.2">
      <c r="F305" s="3" t="s">
        <v>30</v>
      </c>
      <c r="G305" s="4" t="str">
        <f>IF((IFERROR(SEARCH(K305,Rådata!$B$1000),-1)+IFERROR(SEARCH(L305,Rådata!$B$1000),-1)+IFERROR(SEARCH(M305,Rådata!$B$1000),-1)+IFERROR(SEARCH(N305,Rådata!$B$1000),-1)+IFERROR(SEARCH(O305,Rådata!$B$1000),-1))&gt;0,"-","NEJ")</f>
        <v>NEJ</v>
      </c>
      <c r="K305" s="2" t="str">
        <f>K104</f>
        <v>Diuron</v>
      </c>
      <c r="L305" s="2" t="str">
        <f>L104</f>
        <v>Her kan et synonym indsættes</v>
      </c>
      <c r="M305" s="2" t="str">
        <f>M104</f>
        <v>Her kan et synonym indsættes</v>
      </c>
      <c r="N305" s="2" t="str">
        <f t="shared" ref="N305:O305" si="202">N104</f>
        <v>Her kan et synonym indsættes</v>
      </c>
      <c r="O305" s="2" t="str">
        <f t="shared" si="202"/>
        <v>Her kan et synonym indsættes</v>
      </c>
      <c r="S305" s="2" t="str">
        <f t="shared" si="200"/>
        <v>Diuron</v>
      </c>
      <c r="T305" t="str">
        <f t="shared" si="201"/>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v>
      </c>
    </row>
    <row r="306" spans="5:20" x14ac:dyDescent="0.2">
      <c r="F306" s="3" t="s">
        <v>110</v>
      </c>
      <c r="G306" s="4" t="str">
        <f>IF((IFERROR(SEARCH(K306,Rådata!$B$1000),-1)+IFERROR(SEARCH(L306,Rådata!$B$1000),-1)+IFERROR(SEARCH(M306,Rådata!$B$1000),-1)+IFERROR(SEARCH(N306,Rådata!$B$1000),-1)+IFERROR(SEARCH(O306,Rådata!$B$1000),-1))&gt;0,"-","NEJ")</f>
        <v>NEJ</v>
      </c>
      <c r="K306" s="2" t="str">
        <f>K105</f>
        <v>Ethylenthiourea</v>
      </c>
      <c r="L306" s="2" t="str">
        <f>L105</f>
        <v>Ethylenthiourinstof</v>
      </c>
      <c r="M306" s="2" t="str">
        <f>M105</f>
        <v>Her kan et synonym indsættes</v>
      </c>
      <c r="N306" s="2" t="str">
        <f t="shared" ref="N306:O306" si="203">N105</f>
        <v>Her kan et synonym indsættes</v>
      </c>
      <c r="O306" s="2" t="str">
        <f t="shared" si="203"/>
        <v>Her kan et synonym indsættes</v>
      </c>
      <c r="S306" s="2" t="str">
        <f t="shared" si="200"/>
        <v>ETU (Ethylenthiourea)</v>
      </c>
      <c r="T306" t="str">
        <f t="shared" si="201"/>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v>
      </c>
    </row>
    <row r="307" spans="5:20" x14ac:dyDescent="0.2">
      <c r="F307" s="3" t="s">
        <v>31</v>
      </c>
      <c r="G307" s="4" t="str">
        <f>IF((IFERROR(SEARCH(K307,Rådata!$B$1000),-1)+IFERROR(SEARCH(L307,Rådata!$B$1000),-1)+IFERROR(SEARCH(M307,Rådata!$B$1000),-1)+IFERROR(SEARCH(N307,Rådata!$B$1000),-1)+IFERROR(SEARCH(O307,Rådata!$B$1000),-1))&gt;0,"-","NEJ")</f>
        <v>NEJ</v>
      </c>
      <c r="K307" s="2" t="str">
        <f>K106</f>
        <v>Glyphosat</v>
      </c>
      <c r="L307" s="2" t="str">
        <f>L106</f>
        <v>Her kan et synonym indsættes</v>
      </c>
      <c r="M307" s="2" t="str">
        <f>M106</f>
        <v>Her kan et synonym indsættes</v>
      </c>
      <c r="N307" s="2" t="str">
        <f t="shared" ref="N307:O307" si="204">N106</f>
        <v>Her kan et synonym indsættes</v>
      </c>
      <c r="O307" s="2" t="str">
        <f t="shared" si="204"/>
        <v>Her kan et synonym indsættes</v>
      </c>
      <c r="S307" s="2" t="str">
        <f t="shared" si="155"/>
        <v>Glyphosat</v>
      </c>
      <c r="T307" t="str">
        <f t="shared" si="1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v>
      </c>
    </row>
    <row r="308" spans="5:20" x14ac:dyDescent="0.2">
      <c r="F308" s="3" t="s">
        <v>32</v>
      </c>
      <c r="G308" s="4" t="str">
        <f>IF((IFERROR(SEARCH(K308,Rådata!$B$1000),-1)+IFERROR(SEARCH(L308,Rådata!$B$1000),-1)+IFERROR(SEARCH(M308,Rådata!$B$1000),-1)+IFERROR(SEARCH(N308,Rådata!$B$1000),-1)+IFERROR(SEARCH(O308,Rådata!$B$1000),-1))&gt;0,"-","NEJ")</f>
        <v>NEJ</v>
      </c>
      <c r="K308" s="2" t="str">
        <f>K107</f>
        <v>Hexazinon</v>
      </c>
      <c r="L308" s="2" t="str">
        <f>L107</f>
        <v>Her kan et synonym indsættes</v>
      </c>
      <c r="M308" s="2" t="str">
        <f>M107</f>
        <v>Her kan et synonym indsættes</v>
      </c>
      <c r="N308" s="2" t="str">
        <f t="shared" ref="N308:O308" si="205">N107</f>
        <v>Her kan et synonym indsættes</v>
      </c>
      <c r="O308" s="2" t="str">
        <f t="shared" si="205"/>
        <v>Her kan et synonym indsættes</v>
      </c>
      <c r="S308" s="2" t="str">
        <f t="shared" si="155"/>
        <v>Hexazinon</v>
      </c>
      <c r="T308" t="str">
        <f t="shared" si="1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v>
      </c>
    </row>
    <row r="309" spans="5:20" x14ac:dyDescent="0.2">
      <c r="F309" s="3" t="s">
        <v>35</v>
      </c>
      <c r="G309" s="4" t="str">
        <f>IF((IFERROR(SEARCH(K309,Rådata!$B$1000),-1)+IFERROR(SEARCH(L309,Rådata!$B$1000),-1)+IFERROR(SEARCH(M309,Rådata!$B$1000),-1)+IFERROR(SEARCH(N309,Rådata!$B$1000),-1)+IFERROR(SEARCH(O309,Rådata!$B$1000),-1))&gt;0,"-","NEJ")</f>
        <v>NEJ</v>
      </c>
      <c r="K309" s="2" t="str">
        <f>K108</f>
        <v>MCPA</v>
      </c>
      <c r="L309" s="2" t="str">
        <f>L108</f>
        <v>Her kan et synonym indsættes</v>
      </c>
      <c r="M309" s="2" t="str">
        <f>M108</f>
        <v>Her kan et synonym indsættes</v>
      </c>
      <c r="N309" s="2" t="str">
        <f t="shared" ref="N309:O309" si="206">N108</f>
        <v>Her kan et synonym indsættes</v>
      </c>
      <c r="O309" s="2" t="str">
        <f t="shared" si="206"/>
        <v>Her kan et synonym indsættes</v>
      </c>
      <c r="S309" s="2" t="str">
        <f t="shared" si="155"/>
        <v>MCPA</v>
      </c>
      <c r="T309" t="str">
        <f t="shared" si="1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v>
      </c>
    </row>
    <row r="310" spans="5:20" x14ac:dyDescent="0.2">
      <c r="F310" s="3" t="s">
        <v>111</v>
      </c>
      <c r="G310" s="4" t="str">
        <f>IF((IFERROR(SEARCH(K310,Rådata!$B$1000),-1)+IFERROR(SEARCH(L310,Rådata!$B$1000),-1)+IFERROR(SEARCH(M310,Rådata!$B$1000),-1)+IFERROR(SEARCH(N310,Rådata!$B$1000),-1)+IFERROR(SEARCH(O310,Rådata!$B$1000),-1))&gt;0,"-","NEJ")</f>
        <v>NEJ</v>
      </c>
      <c r="K310" s="2" t="str">
        <f>K109</f>
        <v>Mechlorprop</v>
      </c>
      <c r="L310" s="2" t="str">
        <f>L109</f>
        <v>Her kan et synonym indsættes</v>
      </c>
      <c r="M310" s="2" t="str">
        <f>M109</f>
        <v>Her kan et synonym indsættes</v>
      </c>
      <c r="N310" s="2" t="str">
        <f t="shared" ref="N310:O310" si="207">N109</f>
        <v>Her kan et synonym indsættes</v>
      </c>
      <c r="O310" s="2" t="str">
        <f t="shared" si="207"/>
        <v>Her kan et synonym indsættes</v>
      </c>
      <c r="S310" s="2" t="str">
        <f t="shared" si="155"/>
        <v>Mechlorprop</v>
      </c>
      <c r="T310" t="str">
        <f t="shared" si="1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v>
      </c>
    </row>
    <row r="311" spans="5:20" x14ac:dyDescent="0.2">
      <c r="F311" s="3" t="s">
        <v>112</v>
      </c>
      <c r="G311" s="4" t="str">
        <f>IF((IFERROR(SEARCH(K311,Rådata!$B$1000),-1)+IFERROR(SEARCH(L311,Rådata!$B$1000),-1)+IFERROR(SEARCH(M311,Rådata!$B$1000),-1)+IFERROR(SEARCH(N311,Rådata!$B$1000),-1)+IFERROR(SEARCH(O311,Rådata!$B$1000),-1))&gt;0,"-","NEJ")</f>
        <v>NEJ</v>
      </c>
      <c r="K311" s="2" t="str">
        <f>K110</f>
        <v>Metalaxyl</v>
      </c>
      <c r="L311" s="2" t="str">
        <f>L110</f>
        <v>Her kan et synonym indsættes</v>
      </c>
      <c r="M311" s="2" t="str">
        <f>M110</f>
        <v>Her kan et synonym indsættes</v>
      </c>
      <c r="N311" s="2" t="str">
        <f t="shared" ref="N311:O311" si="208">N110</f>
        <v>Her kan et synonym indsættes</v>
      </c>
      <c r="O311" s="2" t="str">
        <f t="shared" si="208"/>
        <v>Her kan et synonym indsættes</v>
      </c>
      <c r="S311" s="2" t="str">
        <f t="shared" si="155"/>
        <v>Metalaxyl/metalaxyl-M</v>
      </c>
      <c r="T311" t="str">
        <f t="shared" si="1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v>
      </c>
    </row>
    <row r="312" spans="5:20" x14ac:dyDescent="0.2">
      <c r="F312" s="3" t="s">
        <v>36</v>
      </c>
      <c r="G312" s="4" t="str">
        <f>IF((IFERROR(SEARCH(K312,Rådata!$B$1000),-1)+IFERROR(SEARCH(L312,Rådata!$B$1000),-1)+IFERROR(SEARCH(M312,Rådata!$B$1000),-1)+IFERROR(SEARCH(N312,Rådata!$B$1000),-1)+IFERROR(SEARCH(O312,Rådata!$B$1000),-1))&gt;0,"-","NEJ")</f>
        <v>NEJ</v>
      </c>
      <c r="K312" s="2" t="str">
        <f>K111</f>
        <v>Metribuzin</v>
      </c>
      <c r="L312" s="2" t="str">
        <f>L111</f>
        <v>Her kan et synonym indsættes</v>
      </c>
      <c r="M312" s="2" t="str">
        <f>M111</f>
        <v>Her kan et synonym indsættes</v>
      </c>
      <c r="N312" s="2" t="str">
        <f t="shared" ref="N312:O312" si="209">N111</f>
        <v>Her kan et synonym indsættes</v>
      </c>
      <c r="O312" s="2" t="str">
        <f t="shared" si="209"/>
        <v>Her kan et synonym indsættes</v>
      </c>
      <c r="S312" s="2" t="str">
        <f t="shared" si="155"/>
        <v>Metribuzin</v>
      </c>
      <c r="T312" t="str">
        <f t="shared" si="1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 Metribuzin</v>
      </c>
    </row>
    <row r="313" spans="5:20" x14ac:dyDescent="0.2">
      <c r="F313" s="3" t="s">
        <v>40</v>
      </c>
      <c r="G313" s="4" t="str">
        <f>IF((IFERROR(SEARCH(K313,Rådata!$B$1000),-1)+IFERROR(SEARCH(L313,Rådata!$B$1000),-1)+IFERROR(SEARCH(M313,Rådata!$B$1000),-1)+IFERROR(SEARCH(N313,Rådata!$B$1000),-1)+IFERROR(SEARCH(O313,Rådata!$B$1000),-1))&gt;0,"-","NEJ")</f>
        <v>NEJ</v>
      </c>
      <c r="K313" s="2" t="str">
        <f>K112</f>
        <v>Simazin</v>
      </c>
      <c r="L313" s="2" t="str">
        <f>L112</f>
        <v>Her kan et synonym indsættes</v>
      </c>
      <c r="M313" s="2" t="str">
        <f>M112</f>
        <v>Her kan et synonym indsættes</v>
      </c>
      <c r="N313" s="2" t="str">
        <f t="shared" ref="N313:O313" si="210">N112</f>
        <v>Her kan et synonym indsættes</v>
      </c>
      <c r="O313" s="2" t="str">
        <f t="shared" si="210"/>
        <v>Her kan et synonym indsættes</v>
      </c>
      <c r="S313" s="2" t="str">
        <f t="shared" si="155"/>
        <v>Simazin</v>
      </c>
      <c r="T313" t="str">
        <f t="shared" si="1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 Metribuzin, Simazin</v>
      </c>
    </row>
    <row r="314" spans="5:20" x14ac:dyDescent="0.2">
      <c r="E314" s="53" t="s">
        <v>113</v>
      </c>
      <c r="F314" s="53"/>
      <c r="G314" s="13"/>
      <c r="H314" s="13" t="str">
        <f>IF(IFERROR(SEARCH("NEJ",CONCATENATE(" ",G315,G316,G317,G318,G319,G320,G321,G322,G323,G324,G325,G327,G328,G329,G330,G331,G332,G333,G334,G335,G336,G337,G338,G339,G340,G341)),1)=1,"OK","NEJ")</f>
        <v>NEJ</v>
      </c>
      <c r="K314" s="30"/>
      <c r="L314" s="2"/>
      <c r="M314" s="2"/>
      <c r="N314" s="2"/>
      <c r="O314" s="2"/>
      <c r="T314" t="str">
        <f t="shared" si="1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 Metribuzin, Simazin</v>
      </c>
    </row>
    <row r="315" spans="5:20" x14ac:dyDescent="0.2">
      <c r="F315" s="9" t="s">
        <v>114</v>
      </c>
      <c r="G315" s="4" t="str">
        <f>IF((IFERROR(SEARCH(K315,Rådata!$B$1000),-1)+IFERROR(SEARCH(L315,Rådata!$B$1000),-1)+IFERROR(SEARCH(M315,Rådata!$B$1000),-1)+IFERROR(SEARCH(N315,Rådata!$B$1000),-1)+IFERROR(SEARCH(O315,Rådata!$B$1000),-1))&gt;0,"-","NEJ")</f>
        <v>NEJ</v>
      </c>
      <c r="K315" s="2" t="str">
        <f>K114</f>
        <v>triazol</v>
      </c>
      <c r="L315" s="2" t="str">
        <f t="shared" ref="L315:M315" si="211">L114</f>
        <v>Her kan et synonym indsættes</v>
      </c>
      <c r="M315" s="2" t="str">
        <f t="shared" si="211"/>
        <v>Her kan et synonym indsættes</v>
      </c>
      <c r="N315" s="2" t="str">
        <f t="shared" ref="N315:O315" si="212">N114</f>
        <v>Her kan et synonym indsættes</v>
      </c>
      <c r="O315" s="2" t="str">
        <f t="shared" si="212"/>
        <v>Her kan et synonym indsættes</v>
      </c>
      <c r="S315" s="2" t="str">
        <f t="shared" si="155"/>
        <v>1,2,4-triazol</v>
      </c>
      <c r="T315" t="str">
        <f t="shared" si="1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 Metribuzin, Simazin, 1,2,4-triazol</v>
      </c>
    </row>
    <row r="316" spans="5:20" x14ac:dyDescent="0.2">
      <c r="F316" s="3" t="s">
        <v>115</v>
      </c>
      <c r="G316" s="4" t="str">
        <f>IF((IFERROR(SEARCH(K316,Rådata!$B$1000),-1)+IFERROR(SEARCH(L316,Rådata!$B$1000),-1)+IFERROR(SEARCH(M316,Rådata!$B$1000),-1)+IFERROR(SEARCH(N316,Rådata!$B$1000),-1)+IFERROR(SEARCH(O316,Rådata!$B$1000),-1))&gt;0,"-","NEJ")</f>
        <v>NEJ</v>
      </c>
      <c r="K316" s="2" t="str">
        <f>K115</f>
        <v>2,6-Dichlorbenzosyre</v>
      </c>
      <c r="L316" s="2" t="str">
        <f t="shared" ref="L316:M316" si="213">L115</f>
        <v>Her kan et synonym indsættes</v>
      </c>
      <c r="M316" s="2" t="str">
        <f t="shared" si="213"/>
        <v>Her kan et synonym indsættes</v>
      </c>
      <c r="N316" s="2" t="str">
        <f t="shared" ref="N316:O316" si="214">N115</f>
        <v>Her kan et synonym indsættes</v>
      </c>
      <c r="O316" s="2" t="str">
        <f t="shared" si="214"/>
        <v>Her kan et synonym indsættes</v>
      </c>
      <c r="S316" s="2" t="str">
        <f t="shared" si="155"/>
        <v>2,6-Dichlorbenzosyre</v>
      </c>
      <c r="T316" t="str">
        <f t="shared" si="1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 Metribuzin, Simazin, 1,2,4-triazol, 2,6-Dichlorbenzosyre</v>
      </c>
    </row>
    <row r="317" spans="5:20" x14ac:dyDescent="0.2">
      <c r="F317" s="3" t="s">
        <v>116</v>
      </c>
      <c r="G317" s="4" t="str">
        <f>IF((IFERROR(SEARCH(K317,Rådata!$B$1000),-1)+IFERROR(SEARCH(L317,Rådata!$B$1000),-1)+IFERROR(SEARCH(M317,Rådata!$B$1000),-1)+IFERROR(SEARCH(N317,Rådata!$B$1000),-1)+IFERROR(SEARCH(O317,Rådata!$B$1000),-1))&gt;0,"-","NEJ")</f>
        <v>NEJ</v>
      </c>
      <c r="K317" s="2" t="str">
        <f>K116</f>
        <v>2,4-Dichlorphenol</v>
      </c>
      <c r="L317" s="2" t="str">
        <f t="shared" ref="L317:M317" si="215">L116</f>
        <v>2,4+2,5-dichlorphenol</v>
      </c>
      <c r="M317" s="2" t="str">
        <f t="shared" si="215"/>
        <v>Her kan et synonym indsættes</v>
      </c>
      <c r="N317" s="2" t="str">
        <f t="shared" ref="N317:O317" si="216">N116</f>
        <v>Her kan et synonym indsættes</v>
      </c>
      <c r="O317" s="2" t="str">
        <f t="shared" si="216"/>
        <v>Her kan et synonym indsættes</v>
      </c>
      <c r="S317" s="2" t="str">
        <f t="shared" si="155"/>
        <v>2,4-Dichlorphenol</v>
      </c>
      <c r="T317" t="str">
        <f t="shared" si="1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 Metribuzin, Simazin, 1,2,4-triazol, 2,6-Dichlorbenzosyre, 2,4-Dichlorphenol</v>
      </c>
    </row>
    <row r="318" spans="5:20" x14ac:dyDescent="0.2">
      <c r="F318" s="3" t="s">
        <v>117</v>
      </c>
      <c r="G318" s="4" t="str">
        <f>IF((IFERROR(SEARCH(K318,Rådata!$B$1000),-1)+IFERROR(SEARCH(L318,Rådata!$B$1000),-1)+IFERROR(SEARCH(M318,Rådata!$B$1000),-1)+IFERROR(SEARCH(N318,Rådata!$B$1000),-1)+IFERROR(SEARCH(O318,Rådata!$B$1000),-1))&gt;0,"-","NEJ")</f>
        <v>NEJ</v>
      </c>
      <c r="K318" s="2" t="str">
        <f>K117</f>
        <v>2,6-Dichlorphenol</v>
      </c>
      <c r="L318" s="2" t="str">
        <f t="shared" ref="L318:M318" si="217">L117</f>
        <v>Her kan et synonym indsættes</v>
      </c>
      <c r="M318" s="2" t="str">
        <f t="shared" si="217"/>
        <v>Her kan et synonym indsættes</v>
      </c>
      <c r="N318" s="2" t="str">
        <f t="shared" ref="N318:O318" si="218">N117</f>
        <v>Her kan et synonym indsættes</v>
      </c>
      <c r="O318" s="2" t="str">
        <f t="shared" si="218"/>
        <v>Her kan et synonym indsættes</v>
      </c>
      <c r="S318" s="2" t="str">
        <f t="shared" si="155"/>
        <v>2,6-Dichlorphenol</v>
      </c>
      <c r="T318" t="str">
        <f t="shared" si="1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 Metribuzin, Simazin, 1,2,4-triazol, 2,6-Dichlorbenzosyre, 2,4-Dichlorphenol, 2,6-Dichlorphenol</v>
      </c>
    </row>
    <row r="319" spans="5:20" x14ac:dyDescent="0.2">
      <c r="F319" s="3" t="s">
        <v>118</v>
      </c>
      <c r="G319" s="4" t="str">
        <f>IF((IFERROR(SEARCH(K319,Rådata!$B$1000),-1)+IFERROR(SEARCH(L319,Rådata!$B$1000),-1)+IFERROR(SEARCH(M319,Rådata!$B$1000),-1)+IFERROR(SEARCH(N319,Rådata!$B$1000),-1)+IFERROR(SEARCH(O319,Rådata!$B$1000),-1))&gt;0,"-","NEJ")</f>
        <v>NEJ</v>
      </c>
      <c r="K319" s="2" t="str">
        <f>K118</f>
        <v>4-CPP</v>
      </c>
      <c r="L319" s="2" t="str">
        <f t="shared" ref="L319:M319" si="219">L118</f>
        <v>Her kan et synonym indsættes</v>
      </c>
      <c r="M319" s="2" t="str">
        <f t="shared" si="219"/>
        <v>Her kan et synonym indsættes</v>
      </c>
      <c r="N319" s="2" t="str">
        <f t="shared" ref="N319:O319" si="220">N118</f>
        <v>Her kan et synonym indsættes</v>
      </c>
      <c r="O319" s="2" t="str">
        <f t="shared" si="220"/>
        <v>Her kan et synonym indsættes</v>
      </c>
      <c r="S319" s="2" t="str">
        <f t="shared" si="155"/>
        <v>4CPP (2-(4-chlorphenoxy)propionsyre)</v>
      </c>
      <c r="T319" t="str">
        <f t="shared" si="1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 Metribuzin, Simazin, 1,2,4-triazol, 2,6-Dichlorbenzosyre, 2,4-Dichlorphenol, 2,6-Dichlorphenol, 4CPP (2-(4-chlorphenoxy)propionsyre)</v>
      </c>
    </row>
    <row r="320" spans="5:20" x14ac:dyDescent="0.2">
      <c r="F320" s="3" t="s">
        <v>119</v>
      </c>
      <c r="G320" s="4" t="str">
        <f>IF((IFERROR(SEARCH(K320,Rådata!$B$1000),-1)+IFERROR(SEARCH(L320,Rådata!$B$1000),-1)+IFERROR(SEARCH(M320,Rådata!$B$1000),-1)+IFERROR(SEARCH(N320,Rådata!$B$1000),-1)+IFERROR(SEARCH(O320,Rådata!$B$1000),-1))&gt;0,"-","NEJ")</f>
        <v>NEJ</v>
      </c>
      <c r="K320" s="2" t="str">
        <f>K119</f>
        <v>2,6-DCPP</v>
      </c>
      <c r="L320" s="2" t="str">
        <f t="shared" ref="L320:M320" si="221">L119</f>
        <v>Her kan et synonym indsættes</v>
      </c>
      <c r="M320" s="2" t="str">
        <f t="shared" si="221"/>
        <v>Her kan et synonym indsættes</v>
      </c>
      <c r="N320" s="2" t="str">
        <f t="shared" ref="N320:O320" si="222">N119</f>
        <v>Her kan et synonym indsættes</v>
      </c>
      <c r="O320" s="2" t="str">
        <f t="shared" si="222"/>
        <v>Her kan et synonym indsættes</v>
      </c>
      <c r="S320" s="2" t="str">
        <f t="shared" si="155"/>
        <v>2,6-DCPP (2-(2,6-dichlorphenoxy-propionsyre))</v>
      </c>
      <c r="T320" t="str">
        <f t="shared" si="1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 Metribuzin, Simazin, 1,2,4-triazol, 2,6-Dichlorbenzosyre, 2,4-Dichlorphenol, 2,6-Dichlorphenol, 4CPP (2-(4-chlorphenoxy)propionsyre), 2,6-DCPP (2-(2,6-dichlorphenoxy-propionsyre))</v>
      </c>
    </row>
    <row r="321" spans="6:20" x14ac:dyDescent="0.2">
      <c r="F321" s="3" t="s">
        <v>120</v>
      </c>
      <c r="G321" s="4" t="str">
        <f>IF((IFERROR(SEARCH(K321,Rådata!$B$1000),-1)+IFERROR(SEARCH(L321,Rådata!$B$1000),-1)+IFERROR(SEARCH(M321,Rådata!$B$1000),-1)+IFERROR(SEARCH(N321,Rådata!$B$1000),-1)+IFERROR(SEARCH(O321,Rådata!$B$1000),-1))&gt;0,"-","NEJ")</f>
        <v>NEJ</v>
      </c>
      <c r="K321" s="2" t="str">
        <f>K120</f>
        <v>4-Nitrophenol</v>
      </c>
      <c r="L321" s="2" t="str">
        <f t="shared" ref="L321:M321" si="223">L120</f>
        <v>Her kan et synonym indsættes</v>
      </c>
      <c r="M321" s="2" t="str">
        <f t="shared" si="223"/>
        <v>Her kan et synonym indsættes</v>
      </c>
      <c r="N321" s="2" t="str">
        <f t="shared" ref="N321:O321" si="224">N120</f>
        <v>Her kan et synonym indsættes</v>
      </c>
      <c r="O321" s="2" t="str">
        <f t="shared" si="224"/>
        <v>Her kan et synonym indsættes</v>
      </c>
      <c r="S321" s="2" t="str">
        <f t="shared" si="155"/>
        <v>4-Nitrophenol</v>
      </c>
      <c r="T321" t="str">
        <f t="shared" si="1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v>
      </c>
    </row>
    <row r="322" spans="6:20" x14ac:dyDescent="0.2">
      <c r="F322" s="3" t="s">
        <v>121</v>
      </c>
      <c r="G322" s="4" t="str">
        <f>IF((IFERROR(SEARCH(K322,Rådata!$B$1000),-1)+IFERROR(SEARCH(L322,Rådata!$B$1000),-1)+IFERROR(SEARCH(M322,Rådata!$B$1000),-1)+IFERROR(SEARCH(N322,Rådata!$B$1000),-1)+IFERROR(SEARCH(O322,Rådata!$B$1000),-1))&gt;0,"-","NEJ")</f>
        <v>NEJ</v>
      </c>
      <c r="K322" s="2" t="str">
        <f>K121</f>
        <v>AMPA</v>
      </c>
      <c r="L322" s="2" t="str">
        <f t="shared" ref="L322:M322" si="225">L121</f>
        <v>Her kan et synonym indsættes</v>
      </c>
      <c r="M322" s="2" t="str">
        <f t="shared" si="225"/>
        <v>Her kan et synonym indsættes</v>
      </c>
      <c r="N322" s="2" t="str">
        <f t="shared" ref="N322:O322" si="226">N121</f>
        <v>Her kan et synonym indsættes</v>
      </c>
      <c r="O322" s="2" t="str">
        <f t="shared" si="226"/>
        <v>Her kan et synonym indsættes</v>
      </c>
      <c r="S322" s="2" t="str">
        <f t="shared" si="155"/>
        <v>AMPA (Aminomethylphosphorsyre)</v>
      </c>
      <c r="T322" t="str">
        <f t="shared" si="1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v>
      </c>
    </row>
    <row r="323" spans="6:20" x14ac:dyDescent="0.2">
      <c r="F323" s="3" t="s">
        <v>122</v>
      </c>
      <c r="G323" s="4" t="str">
        <f>IF((IFERROR(SEARCH(K323,Rådata!$B$1000),-1)+IFERROR(SEARCH(L323,Rådata!$B$1000),-1)+IFERROR(SEARCH(M323,Rådata!$B$1000),-1)+IFERROR(SEARCH(N323,Rådata!$B$1000),-1)+IFERROR(SEARCH(O323,Rådata!$B$1000),-1))&gt;0,"-","NEJ")</f>
        <v>NEJ</v>
      </c>
      <c r="K323" s="2" t="str">
        <f>K122</f>
        <v>Dichlorbenzamid</v>
      </c>
      <c r="L323" s="2" t="str">
        <f t="shared" ref="L323:M323" si="227">L122</f>
        <v>Her kan et synonym indsættes</v>
      </c>
      <c r="M323" s="2" t="str">
        <f t="shared" si="227"/>
        <v>Her kan et synonym indsættes</v>
      </c>
      <c r="N323" s="2" t="str">
        <f t="shared" ref="N323:O323" si="228">N122</f>
        <v>Her kan et synonym indsættes</v>
      </c>
      <c r="O323" s="2" t="str">
        <f t="shared" si="228"/>
        <v>Her kan et synonym indsættes</v>
      </c>
      <c r="S323" s="2" t="str">
        <f t="shared" si="155"/>
        <v>BAM (2,6-Dichlorbenzamid)</v>
      </c>
      <c r="T323" t="str">
        <f t="shared" si="1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v>
      </c>
    </row>
    <row r="324" spans="6:20" x14ac:dyDescent="0.2">
      <c r="F324" s="3" t="s">
        <v>123</v>
      </c>
      <c r="G324" s="4" t="str">
        <f>IF((IFERROR(SEARCH(K324,Rådata!$B$1000),-1)+IFERROR(SEARCH(L324,Rådata!$B$1000),-1)+IFERROR(SEARCH(M324,Rådata!$B$1000),-1)+IFERROR(SEARCH(N324,Rådata!$B$1000),-1)+IFERROR(SEARCH(O324,Rådata!$B$1000),-1))&gt;0,"-","NEJ")</f>
        <v>NEJ</v>
      </c>
      <c r="K324" s="2" t="str">
        <f>K123</f>
        <v>CGA 62826</v>
      </c>
      <c r="L324" s="2" t="str">
        <f t="shared" ref="L324:M324" si="229">L123</f>
        <v>CGA62826</v>
      </c>
      <c r="M324" s="2" t="str">
        <f t="shared" si="229"/>
        <v>Her kan et synonym indsættes</v>
      </c>
      <c r="N324" s="2" t="str">
        <f t="shared" ref="N324:O324" si="230">N123</f>
        <v>Her kan et synonym indsættes</v>
      </c>
      <c r="O324" s="2" t="str">
        <f t="shared" si="230"/>
        <v>Her kan et synonym indsættes</v>
      </c>
      <c r="S324" s="2" t="str">
        <f t="shared" si="155"/>
        <v>N-(2, 6-dimethylphenyl)-N-(Methoxyacetyl)alanin (CGA62826)</v>
      </c>
      <c r="T324" t="str">
        <f t="shared" si="1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v>
      </c>
    </row>
    <row r="325" spans="6:20" x14ac:dyDescent="0.2">
      <c r="F325" s="3" t="s">
        <v>124</v>
      </c>
      <c r="G325" s="4" t="str">
        <f>IF((IFERROR(SEARCH(K325,Rådata!$B$1000),-1)+IFERROR(SEARCH(L325,Rådata!$B$1000),-1)+IFERROR(SEARCH(M325,Rådata!$B$1000),-1)+IFERROR(SEARCH(N325,Rådata!$B$1000),-1)+IFERROR(SEARCH(O325,Rådata!$B$1000),-1))&gt;0,"-","NEJ")</f>
        <v>NEJ</v>
      </c>
      <c r="K325" s="2" t="str">
        <f>K124</f>
        <v>CGA 108906</v>
      </c>
      <c r="L325" s="2" t="str">
        <f t="shared" ref="L325:M325" si="231">L124</f>
        <v>CGA108906</v>
      </c>
      <c r="M325" s="2" t="str">
        <f t="shared" si="231"/>
        <v>Her kan et synonym indsættes</v>
      </c>
      <c r="N325" s="2" t="str">
        <f t="shared" ref="N325:O325" si="232">N124</f>
        <v>Her kan et synonym indsættes</v>
      </c>
      <c r="O325" s="2" t="str">
        <f t="shared" si="232"/>
        <v>Her kan et synonym indsættes</v>
      </c>
      <c r="S325" s="2" t="str">
        <f t="shared" si="155"/>
        <v>N-(2-carboxy-6-methylphenyl) N-methoxyacetyl)alanin (CGA108906)</v>
      </c>
      <c r="T325" t="str">
        <f t="shared" si="1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v>
      </c>
    </row>
    <row r="326" spans="6:20" x14ac:dyDescent="0.2">
      <c r="F326" s="3" t="str">
        <f>F125</f>
        <v>Chlorothalonil-amidsulfonsyre</v>
      </c>
      <c r="G326" s="4" t="str">
        <f>IF((IFERROR(SEARCH(K326,Rådata!$B$1000),-1)+IFERROR(SEARCH(L326,Rådata!$B$1000),-1)+IFERROR(SEARCH(M326,Rådata!$B$1000),-1)+IFERROR(SEARCH(N326,Rådata!$B$1000),-1)+IFERROR(SEARCH(O326,Rådata!$B$1000),-1))&gt;0,"-","NEJ")</f>
        <v>NEJ</v>
      </c>
      <c r="K326" s="2" t="str">
        <f>K125</f>
        <v>Chlorothalonil-amidsulfonsyre</v>
      </c>
      <c r="L326" s="2" t="str">
        <f t="shared" ref="L326:O326" si="233">L125</f>
        <v>Her kan et synonym indsættes</v>
      </c>
      <c r="M326" s="2" t="str">
        <f t="shared" si="233"/>
        <v>Her kan et synonym indsættes</v>
      </c>
      <c r="N326" s="2" t="str">
        <f t="shared" si="233"/>
        <v>Her kan et synonym indsættes</v>
      </c>
      <c r="O326" s="2" t="str">
        <f t="shared" si="233"/>
        <v>Her kan et synonym indsættes</v>
      </c>
      <c r="S326" s="2" t="str">
        <f t="shared" ref="S326:S328" si="234">IF(G326="NEJ",F326,"")</f>
        <v>Chlorothalonil-amidsulfonsyre</v>
      </c>
      <c r="T326" t="str">
        <f t="shared" ref="T326:T328" si="235">IF(S326="",T325,T325&amp;", "&amp;S326)</f>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v>
      </c>
    </row>
    <row r="327" spans="6:20" x14ac:dyDescent="0.2">
      <c r="F327" s="3" t="s">
        <v>125</v>
      </c>
      <c r="G327" s="4" t="str">
        <f>IF((IFERROR(SEARCH(K327,Rådata!$B$1000),-1)+IFERROR(SEARCH(L327,Rådata!$B$1000),-1)+IFERROR(SEARCH(M327,Rådata!$B$1000),-1)+IFERROR(SEARCH(N327,Rådata!$B$1000),-1)+IFERROR(SEARCH(O327,Rådata!$B$1000),-1))&gt;0,"-","NEJ")</f>
        <v>NEJ</v>
      </c>
      <c r="K327" s="2" t="str">
        <f>K126</f>
        <v>Desethyl-desisopropyl-atrazin</v>
      </c>
      <c r="L327" s="2" t="str">
        <f t="shared" ref="L327:M327" si="236">L126</f>
        <v>Desethyldesisopropyl-atrazin</v>
      </c>
      <c r="M327" s="2" t="str">
        <f t="shared" si="236"/>
        <v>DEIA</v>
      </c>
      <c r="N327" s="2" t="str">
        <f t="shared" ref="N327:O327" si="237">N126</f>
        <v>Atrazin, desethyl-desisopropyl-</v>
      </c>
      <c r="O327" s="2" t="str">
        <f t="shared" si="237"/>
        <v>Desethyldesisopropylatrazin</v>
      </c>
      <c r="S327" s="2" t="str">
        <f t="shared" si="234"/>
        <v>DEIA (Desethyldesisopropyl-atrazin)</v>
      </c>
      <c r="T327" t="str">
        <f t="shared" si="235"/>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v>
      </c>
    </row>
    <row r="328" spans="6:20" x14ac:dyDescent="0.2">
      <c r="F328" s="3" t="s">
        <v>25</v>
      </c>
      <c r="G328" s="4" t="str">
        <f>IF((IFERROR(SEARCH(K328,Rådata!$B$1000),-1)+IFERROR(SEARCH(L328,Rådata!$B$1000),-1)+IFERROR(SEARCH(M328,Rådata!$B$1000),-1)+IFERROR(SEARCH(N328,Rådata!$B$1000),-1)+IFERROR(SEARCH(O328,Rådata!$B$1000),-1))&gt;0,"-","NEJ")</f>
        <v>NEJ</v>
      </c>
      <c r="K328" s="2" t="str">
        <f>K127</f>
        <v>Desethyl-hydroxy-atrazin</v>
      </c>
      <c r="L328" s="2" t="str">
        <f t="shared" ref="L328:M328" si="238">L127</f>
        <v>Desethylhydroxy-atrazin</v>
      </c>
      <c r="M328" s="2" t="str">
        <f t="shared" si="238"/>
        <v>Desethylhydroxyatrazin</v>
      </c>
      <c r="N328" s="2" t="str">
        <f t="shared" ref="N328:O328" si="239">N127</f>
        <v>Her kan et synonym indsættes</v>
      </c>
      <c r="O328" s="2" t="str">
        <f t="shared" si="239"/>
        <v>Her kan et synonym indsættes</v>
      </c>
      <c r="S328" s="2" t="str">
        <f t="shared" si="234"/>
        <v>Desethyl-hydroxy-atrazin</v>
      </c>
      <c r="T328" t="str">
        <f t="shared" si="235"/>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v>
      </c>
    </row>
    <row r="329" spans="6:20" x14ac:dyDescent="0.2">
      <c r="F329" s="3" t="s">
        <v>23</v>
      </c>
      <c r="G329" s="4" t="str">
        <f>IF((IFERROR(SEARCH(K329,Rådata!$B$1000),-1)+IFERROR(SEARCH(L329,Rådata!$B$1000),-1)+IFERROR(SEARCH(M329,Rådata!$B$1000),-1)+IFERROR(SEARCH(N329,Rådata!$B$1000),-1)+IFERROR(SEARCH(O329,Rådata!$B$1000),-1))&gt;0,"-","NEJ")</f>
        <v>NEJ</v>
      </c>
      <c r="K329" s="2" t="str">
        <f>K128</f>
        <v>Desethyl-atrazin</v>
      </c>
      <c r="L329" s="2" t="str">
        <f t="shared" ref="L329:M329" si="240">L128</f>
        <v>Desethylatrazin</v>
      </c>
      <c r="M329" s="2" t="str">
        <f t="shared" si="240"/>
        <v>Atrazin, desethyl-</v>
      </c>
      <c r="N329" s="2" t="str">
        <f t="shared" ref="N329:O329" si="241">N128</f>
        <v>Her kan et synonym indsættes</v>
      </c>
      <c r="O329" s="2" t="str">
        <f t="shared" si="241"/>
        <v>Her kan et synonym indsættes</v>
      </c>
      <c r="S329" s="2" t="str">
        <f t="shared" si="155"/>
        <v>Desethyl-atrazin</v>
      </c>
      <c r="T329" t="str">
        <f t="shared" si="1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v>
      </c>
    </row>
    <row r="330" spans="6:20" x14ac:dyDescent="0.2">
      <c r="F330" s="3" t="s">
        <v>26</v>
      </c>
      <c r="G330" s="4" t="str">
        <f>IF((IFERROR(SEARCH(K330,Rådata!$B$1000),-1)+IFERROR(SEARCH(L330,Rådata!$B$1000),-1)+IFERROR(SEARCH(M330,Rådata!$B$1000),-1)+IFERROR(SEARCH(N330,Rådata!$B$1000),-1)+IFERROR(SEARCH(O330,Rådata!$B$1000),-1))&gt;0,"-","NEJ")</f>
        <v>NEJ</v>
      </c>
      <c r="K330" s="2" t="str">
        <f>K129</f>
        <v>Desethyl-terbutylazin</v>
      </c>
      <c r="L330" s="2" t="str">
        <f t="shared" ref="L330:M330" si="242">L129</f>
        <v>Desethylterbutylazin</v>
      </c>
      <c r="M330" s="2" t="str">
        <f t="shared" si="242"/>
        <v>Terbut.azin,desethyl</v>
      </c>
      <c r="N330" s="2" t="str">
        <f t="shared" ref="N330:O330" si="243">N129</f>
        <v>Her kan et synonym indsættes</v>
      </c>
      <c r="O330" s="2" t="str">
        <f t="shared" si="243"/>
        <v>Her kan et synonym indsættes</v>
      </c>
      <c r="S330" s="2" t="str">
        <f t="shared" si="155"/>
        <v>Desethyl-terbutylazin</v>
      </c>
      <c r="T330" t="str">
        <f t="shared" si="1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v>
      </c>
    </row>
    <row r="331" spans="6:20" x14ac:dyDescent="0.2">
      <c r="F331" s="3" t="s">
        <v>27</v>
      </c>
      <c r="G331" s="4" t="str">
        <f>IF((IFERROR(SEARCH(K331,Rådata!$B$1000),-1)+IFERROR(SEARCH(L331,Rådata!$B$1000),-1)+IFERROR(SEARCH(M331,Rådata!$B$1000),-1)+IFERROR(SEARCH(N331,Rådata!$B$1000),-1)+IFERROR(SEARCH(O331,Rådata!$B$1000),-1))&gt;0,"-","NEJ")</f>
        <v>NEJ</v>
      </c>
      <c r="K331" s="2" t="str">
        <f>K130</f>
        <v>Desisopropyl-atrazin</v>
      </c>
      <c r="L331" s="2" t="str">
        <f t="shared" ref="L331:M331" si="244">L130</f>
        <v>Desisopropylatrazin</v>
      </c>
      <c r="M331" s="2" t="str">
        <f t="shared" si="244"/>
        <v>atrazin, Desisopropy</v>
      </c>
      <c r="N331" s="2" t="str">
        <f t="shared" ref="N331:O331" si="245">N130</f>
        <v>Her kan et synonym indsættes</v>
      </c>
      <c r="O331" s="2" t="str">
        <f t="shared" si="245"/>
        <v>Her kan et synonym indsættes</v>
      </c>
      <c r="S331" s="2" t="str">
        <f t="shared" si="155"/>
        <v>Desisopropyl-atrazin</v>
      </c>
      <c r="T331" t="str">
        <f t="shared" si="1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v>
      </c>
    </row>
    <row r="332" spans="6:20" x14ac:dyDescent="0.2">
      <c r="F332" s="3" t="s">
        <v>192</v>
      </c>
      <c r="G332" s="4" t="str">
        <f>IF((IFERROR(SEARCH(K332,Rådata!$B$1000),-1)+IFERROR(SEARCH(L332,Rådata!$B$1000),-1)+IFERROR(SEARCH(M332,Rådata!$B$1000),-1)+IFERROR(SEARCH(N332,Rådata!$B$1000),-1)+IFERROR(SEARCH(O332,Rådata!$B$1000),-1))&gt;0,"-","NEJ")</f>
        <v>NEJ</v>
      </c>
      <c r="K332" s="2" t="str">
        <f>K131</f>
        <v>Deisopropyl-hydroxy-atrazin</v>
      </c>
      <c r="L332" s="2" t="str">
        <f t="shared" ref="L332:M332" si="246">L131</f>
        <v>Desisopropylhydroxy-atrazin</v>
      </c>
      <c r="M332" s="2" t="str">
        <f t="shared" si="246"/>
        <v>Desisopropyl-hydroxyatrazin</v>
      </c>
      <c r="N332" s="2" t="str">
        <f t="shared" ref="N332:O332" si="247">N131</f>
        <v>Deisopropyl-hydroxyatrazin</v>
      </c>
      <c r="O332" s="2" t="str">
        <f t="shared" si="247"/>
        <v>Desisopropylhydroxyatrazin</v>
      </c>
      <c r="S332" s="2" t="str">
        <f t="shared" si="155"/>
        <v>Desisopropyl-hydroxy-atrazin</v>
      </c>
      <c r="T332" t="str">
        <f t="shared" si="1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v>
      </c>
    </row>
    <row r="333" spans="6:20" x14ac:dyDescent="0.2">
      <c r="F333" s="3" t="s">
        <v>195</v>
      </c>
      <c r="G333" s="4" t="str">
        <f>IF((IFERROR(SEARCH(K333,Rådata!$B$1000),-1)+IFERROR(SEARCH(L333,Rådata!$B$1000),-1)+IFERROR(SEARCH(M333,Rådata!$B$1000),-1)+IFERROR(SEARCH(N333,Rådata!$B$1000),-1)+IFERROR(SEARCH(O333,Rådata!$B$1000),-1))&gt;0,"-","NEJ")</f>
        <v>NEJ</v>
      </c>
      <c r="K333" s="2" t="str">
        <f>K132</f>
        <v>chloridazon, Desphenyl-</v>
      </c>
      <c r="L333" s="2" t="str">
        <f t="shared" ref="L333:M333" si="248">L132</f>
        <v>Desphenylchloridazon</v>
      </c>
      <c r="M333" s="2" t="str">
        <f t="shared" si="248"/>
        <v>Desphenyl-Chloridazon</v>
      </c>
      <c r="N333" s="2" t="str">
        <f t="shared" ref="N333:O333" si="249">N132</f>
        <v>Chloridazon-desphenyl</v>
      </c>
      <c r="O333" s="2" t="str">
        <f t="shared" si="249"/>
        <v>Her kan et synonym indsættes</v>
      </c>
      <c r="S333" s="2" t="str">
        <f t="shared" si="155"/>
        <v>Desphenyl-Chloridazon</v>
      </c>
      <c r="T333" t="str">
        <f t="shared" si="1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 Desphenyl-Chloridazon</v>
      </c>
    </row>
    <row r="334" spans="6:20" x14ac:dyDescent="0.2">
      <c r="F334" s="3" t="s">
        <v>29</v>
      </c>
      <c r="G334" s="4" t="str">
        <f>IF((IFERROR(SEARCH(K334,Rådata!$B$1000),-1)+IFERROR(SEARCH(L334,Rådata!$B$1000),-1)+IFERROR(SEARCH(M334,Rådata!$B$1000),-1)+IFERROR(SEARCH(N334,Rådata!$B$1000),-1)+IFERROR(SEARCH(O334,Rådata!$B$1000),-1))&gt;0,"-","NEJ")</f>
        <v>NEJ</v>
      </c>
      <c r="K334" s="2" t="str">
        <f>K133</f>
        <v>Didealkyl-hydroxy-atrazin</v>
      </c>
      <c r="L334" s="2" t="str">
        <f t="shared" ref="L334:M334" si="250">L133</f>
        <v>Didealkylhydroxy-atrazin</v>
      </c>
      <c r="M334" s="2" t="str">
        <f t="shared" si="250"/>
        <v>Desethyldesisopropylhydroxyatrazin</v>
      </c>
      <c r="N334" s="2" t="str">
        <f t="shared" ref="N334:O334" si="251">N133</f>
        <v>Her kan et synonym indsættes</v>
      </c>
      <c r="O334" s="2" t="str">
        <f t="shared" si="251"/>
        <v>Her kan et synonym indsættes</v>
      </c>
      <c r="S334" s="2" t="str">
        <f t="shared" si="155"/>
        <v>Didealkyl-hydroxy-atrazin</v>
      </c>
      <c r="T334" t="str">
        <f t="shared" ref="T334:T341" si="252">IF(S334="",T333,T333&amp;", "&amp;S334)</f>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 Desphenyl-Chloridazon, Didealkyl-hydroxy-atrazin</v>
      </c>
    </row>
    <row r="335" spans="6:20" x14ac:dyDescent="0.2">
      <c r="F335" s="3" t="s">
        <v>33</v>
      </c>
      <c r="G335" s="4" t="str">
        <f>IF((IFERROR(SEARCH(K335,Rådata!$B$1000),-1)+IFERROR(SEARCH(L335,Rådata!$B$1000),-1)+IFERROR(SEARCH(M335,Rådata!$B$1000),-1)+IFERROR(SEARCH(N335,Rådata!$B$1000),-1)+IFERROR(SEARCH(O335,Rådata!$B$1000),-1))&gt;0,"-","NEJ")</f>
        <v>NEJ</v>
      </c>
      <c r="K335" s="2" t="str">
        <f>K134</f>
        <v>Hydroxyatrazin</v>
      </c>
      <c r="L335" s="2" t="str">
        <f t="shared" ref="L335:M335" si="253">L134</f>
        <v>Her kan et synonym indsættes</v>
      </c>
      <c r="M335" s="2" t="str">
        <f t="shared" si="253"/>
        <v>Her kan et synonym indsættes</v>
      </c>
      <c r="N335" s="2" t="str">
        <f t="shared" ref="N335:O335" si="254">N134</f>
        <v>Her kan et synonym indsættes</v>
      </c>
      <c r="O335" s="2" t="str">
        <f t="shared" si="254"/>
        <v>Her kan et synonym indsættes</v>
      </c>
      <c r="S335" s="2" t="str">
        <f t="shared" ref="S335:S341" si="255">IF(G335="NEJ",F335,"")</f>
        <v>Hydroxyatrazin</v>
      </c>
      <c r="T335" t="str">
        <f t="shared" si="2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 Desphenyl-Chloridazon, Didealkyl-hydroxy-atrazin, Hydroxyatrazin</v>
      </c>
    </row>
    <row r="336" spans="6:20" x14ac:dyDescent="0.2">
      <c r="F336" s="3" t="s">
        <v>34</v>
      </c>
      <c r="G336" s="4" t="str">
        <f>IF((IFERROR(SEARCH(K336,Rådata!$B$1000),-1)+IFERROR(SEARCH(L336,Rådata!$B$1000),-1)+IFERROR(SEARCH(M336,Rådata!$B$1000),-1)+IFERROR(SEARCH(N336,Rådata!$B$1000),-1)+IFERROR(SEARCH(O336,Rådata!$B$1000),-1))&gt;0,"-","NEJ")</f>
        <v>NEJ</v>
      </c>
      <c r="K336" s="2" t="str">
        <f>K135</f>
        <v>Hydroxysimazin</v>
      </c>
      <c r="L336" s="2" t="str">
        <f t="shared" ref="L336:M336" si="256">L135</f>
        <v>simazin, Hydroxy</v>
      </c>
      <c r="M336" s="2" t="str">
        <f t="shared" si="256"/>
        <v>Her kan et synonym indsættes</v>
      </c>
      <c r="N336" s="2" t="str">
        <f t="shared" ref="N336:O336" si="257">N135</f>
        <v>Her kan et synonym indsættes</v>
      </c>
      <c r="O336" s="2" t="str">
        <f t="shared" si="257"/>
        <v>Her kan et synonym indsættes</v>
      </c>
      <c r="S336" s="2" t="str">
        <f t="shared" si="255"/>
        <v>Hydroxysimazin</v>
      </c>
      <c r="T336" t="str">
        <f t="shared" si="2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 Desphenyl-Chloridazon, Didealkyl-hydroxy-atrazin, Hydroxyatrazin, Hydroxysimazin</v>
      </c>
    </row>
    <row r="337" spans="5:20" x14ac:dyDescent="0.2">
      <c r="F337" s="3" t="s">
        <v>127</v>
      </c>
      <c r="G337" s="4" t="str">
        <f>IF((IFERROR(SEARCH(K337,Rådata!$B$1000),-1)+IFERROR(SEARCH(L337,Rådata!$B$1000),-1)+IFERROR(SEARCH(M337,Rådata!$B$1000),-1)+IFERROR(SEARCH(N337,Rådata!$B$1000),-1)+IFERROR(SEARCH(O337,Rådata!$B$1000),-1))&gt;0,"-","NEJ")</f>
        <v>NEJ</v>
      </c>
      <c r="K337" s="2" t="str">
        <f>K136</f>
        <v>chloridazon, Methyl-desphenyl-</v>
      </c>
      <c r="L337" s="2" t="str">
        <f t="shared" ref="L337:M337" si="258">L136</f>
        <v>Methyl-desphenyl-chloridazon</v>
      </c>
      <c r="M337" s="2" t="str">
        <f t="shared" si="258"/>
        <v>Methyl-desphenyl chloridazon</v>
      </c>
      <c r="N337" s="2" t="str">
        <f t="shared" ref="N337:O337" si="259">N136</f>
        <v>Chloridazon-methyl-desphenyl</v>
      </c>
      <c r="O337" s="2" t="str">
        <f t="shared" si="259"/>
        <v>Her kan et synonym indsættes</v>
      </c>
      <c r="S337" s="2" t="str">
        <f t="shared" si="255"/>
        <v>Methyl-desphenyl-chloridazon</v>
      </c>
      <c r="T337" t="str">
        <f t="shared" si="2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 Desphenyl-Chloridazon, Didealkyl-hydroxy-atrazin, Hydroxyatrazin, Hydroxysimazin, Methyl-desphenyl-chloridazon</v>
      </c>
    </row>
    <row r="338" spans="5:20" x14ac:dyDescent="0.2">
      <c r="F338" s="3" t="s">
        <v>38</v>
      </c>
      <c r="G338" s="4" t="str">
        <f>IF((IFERROR(SEARCH(K338,Rådata!$B$1000),-1)+IFERROR(SEARCH(L338,Rådata!$B$1000),-1)+IFERROR(SEARCH(M338,Rådata!$B$1000),-1)+IFERROR(SEARCH(N338,Rådata!$B$1000),-1)+IFERROR(SEARCH(O338,Rådata!$B$1000),-1))&gt;0,"-","NEJ")</f>
        <v>NEJ</v>
      </c>
      <c r="K338" s="2" t="str">
        <f>K137</f>
        <v>Metribuzin-desamino-diketo</v>
      </c>
      <c r="L338" s="2" t="str">
        <f t="shared" ref="L338:M338" si="260">L137</f>
        <v>Metribuzin-DADK</v>
      </c>
      <c r="M338" s="2" t="str">
        <f t="shared" si="260"/>
        <v>Metribuz-desam-diket</v>
      </c>
      <c r="N338" s="2" t="str">
        <f t="shared" ref="N338:O338" si="261">N137</f>
        <v>desaminodiketoMetribuzin</v>
      </c>
      <c r="O338" s="2" t="str">
        <f t="shared" si="261"/>
        <v>Her kan et synonym indsættes</v>
      </c>
      <c r="S338" s="2" t="str">
        <f t="shared" si="255"/>
        <v>Metribuzin-desamino-diketo</v>
      </c>
      <c r="T338" t="str">
        <f t="shared" si="2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 Desphenyl-Chloridazon, Didealkyl-hydroxy-atrazin, Hydroxyatrazin, Hydroxysimazin, Methyl-desphenyl-chloridazon, Metribuzin-desamino-diketo</v>
      </c>
    </row>
    <row r="339" spans="5:20" x14ac:dyDescent="0.2">
      <c r="F339" s="3" t="s">
        <v>39</v>
      </c>
      <c r="G339" s="4" t="str">
        <f>IF((IFERROR(SEARCH(K339,Rådata!$B$1000),-1)+IFERROR(SEARCH(L339,Rådata!$B$1000),-1)+IFERROR(SEARCH(M339,Rådata!$B$1000),-1)+IFERROR(SEARCH(N339,Rådata!$B$1000),-1)+IFERROR(SEARCH(O339,Rådata!$B$1000),-1))&gt;0,"-","NEJ")</f>
        <v>NEJ</v>
      </c>
      <c r="K339" s="2" t="str">
        <f>K138</f>
        <v>Metribuzin-diketo</v>
      </c>
      <c r="L339" s="2" t="str">
        <f t="shared" ref="L339:M339" si="262">L138</f>
        <v>Metribuzin-deketo</v>
      </c>
      <c r="M339" s="2" t="str">
        <f t="shared" si="262"/>
        <v>diketoMetribuzin</v>
      </c>
      <c r="N339" s="2" t="str">
        <f t="shared" ref="N339:O339" si="263">N138</f>
        <v>Her kan et synonym indsættes</v>
      </c>
      <c r="O339" s="2" t="str">
        <f t="shared" si="263"/>
        <v>Her kan et synonym indsættes</v>
      </c>
      <c r="S339" s="2" t="str">
        <f t="shared" si="255"/>
        <v>Metribuzin-diketo</v>
      </c>
      <c r="T339" t="str">
        <f t="shared" si="2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v>
      </c>
    </row>
    <row r="340" spans="5:20" x14ac:dyDescent="0.2">
      <c r="F340" s="3" t="s">
        <v>37</v>
      </c>
      <c r="G340" s="4" t="str">
        <f>IF((IFERROR(SEARCH(K340,Rådata!$B$1000),-1)+IFERROR(SEARCH(L340,Rådata!$B$1000),-1)+IFERROR(SEARCH(M340,Rådata!$B$1000),-1)+IFERROR(SEARCH(N340,Rådata!$B$1000),-1)+IFERROR(SEARCH(O340,Rådata!$B$1000),-1))&gt;0,"-","NEJ")</f>
        <v>NEJ</v>
      </c>
      <c r="K340" s="2" t="str">
        <f>K139</f>
        <v>Metribuzin-desamino</v>
      </c>
      <c r="L340" s="2" t="str">
        <f t="shared" ref="L340:M340" si="264">L139</f>
        <v>Metribuzindesamino</v>
      </c>
      <c r="M340" s="2" t="str">
        <f t="shared" si="264"/>
        <v>Her kan et synonym indsættes</v>
      </c>
      <c r="N340" s="2" t="str">
        <f t="shared" ref="N340:O340" si="265">N139</f>
        <v>Her kan et synonym indsættes</v>
      </c>
      <c r="O340" s="2" t="str">
        <f t="shared" si="265"/>
        <v>Her kan et synonym indsættes</v>
      </c>
      <c r="S340" s="2" t="str">
        <f t="shared" si="255"/>
        <v>Metribuzin-desamino</v>
      </c>
      <c r="T340" t="str">
        <f t="shared" si="2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 Metribuzin-desamino</v>
      </c>
    </row>
    <row r="341" spans="5:20" x14ac:dyDescent="0.2">
      <c r="F341" s="3" t="s">
        <v>128</v>
      </c>
      <c r="G341" s="4" t="str">
        <f>IF((IFERROR(SEARCH(K341,Rådata!$B$1000),-1)+IFERROR(SEARCH(L341,Rådata!$B$1000),-1)+IFERROR(SEARCH(M341,Rådata!$B$1000),-1)+IFERROR(SEARCH(N341,Rådata!$B$1000),-1)+IFERROR(SEARCH(O341,Rådata!$B$1000),-1))&gt;0,"-","NEJ")</f>
        <v>NEJ</v>
      </c>
      <c r="K341" s="2" t="str">
        <f>K140</f>
        <v>Sum af pesticider</v>
      </c>
      <c r="L341" s="2" t="str">
        <f t="shared" ref="L341:M341" si="266">L140</f>
        <v>total pesticid</v>
      </c>
      <c r="M341" s="2" t="str">
        <f t="shared" si="266"/>
        <v>pesticid total</v>
      </c>
      <c r="N341" s="2" t="str">
        <f t="shared" ref="N341:O341" si="267">N140</f>
        <v>Sum af analyserede pesticider</v>
      </c>
      <c r="O341" s="2" t="str">
        <f t="shared" si="267"/>
        <v>Her kan et synonym indsættes</v>
      </c>
      <c r="S341" s="2" t="str">
        <f t="shared" si="255"/>
        <v>Sum af pesticider</v>
      </c>
      <c r="T341" t="str">
        <f t="shared" si="252"/>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Chlorothalonil-amidsulfonsyre,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 Metribuzin-desamino, Sum af pesticider</v>
      </c>
    </row>
    <row r="342" spans="5:20" x14ac:dyDescent="0.2">
      <c r="E342" s="52" t="s">
        <v>153</v>
      </c>
      <c r="F342" s="52"/>
      <c r="G342" s="18"/>
      <c r="H342" s="18" t="str">
        <f>IF(IFERROR(SEARCH("NEJ"," "&amp;G343),1)=1,"OK","NEJ")</f>
        <v>NEJ</v>
      </c>
      <c r="K342" s="2"/>
      <c r="L342" s="2"/>
      <c r="M342" s="2"/>
      <c r="N342" s="2"/>
      <c r="O342" s="2"/>
    </row>
    <row r="343" spans="5:20" x14ac:dyDescent="0.2">
      <c r="F343" s="10" t="s">
        <v>10</v>
      </c>
      <c r="G343" s="4" t="str">
        <f>IF((IFERROR(SEARCH(K343,Rådata!$B$1000),-1)+IFERROR(SEARCH(L343,Rådata!$B$1000),-1)+IFERROR(SEARCH(M343,Rådata!$B$1000),-1)+IFERROR(SEARCH(N343,Rådata!$B$1000),-1)+IFERROR(SEARCH(O343,Rådata!$B$1000),-1))&gt;0,"-","NEJ")</f>
        <v>NEJ</v>
      </c>
      <c r="K343" s="2" t="str">
        <f>K71</f>
        <v>Benzen</v>
      </c>
      <c r="L343" s="2" t="str">
        <f t="shared" ref="L343:M343" si="268">L71</f>
        <v>Her kan et synonym indsættes</v>
      </c>
      <c r="M343" s="2" t="str">
        <f t="shared" si="268"/>
        <v>Her kan et synonym indsættes</v>
      </c>
      <c r="N343" s="2" t="str">
        <f t="shared" ref="N343:O343" si="269">N71</f>
        <v>Her kan et synonym indsættes</v>
      </c>
      <c r="O343" s="2" t="str">
        <f t="shared" si="269"/>
        <v>Her kan et synonym indsættes</v>
      </c>
      <c r="S343" s="33"/>
    </row>
    <row r="344" spans="5:20" x14ac:dyDescent="0.2">
      <c r="E344" s="52" t="s">
        <v>170</v>
      </c>
      <c r="F344" s="52"/>
      <c r="G344" s="18"/>
      <c r="H344" s="18" t="str">
        <f>IF(IFERROR(SEARCH("NEJ",CONCATENATE(" ",G345,G346,G347)),1)=1,"OK","NEJ")</f>
        <v>NEJ</v>
      </c>
      <c r="K344" s="2"/>
      <c r="L344" s="2"/>
      <c r="M344" s="2"/>
      <c r="N344" s="2"/>
      <c r="O344" s="2"/>
    </row>
    <row r="345" spans="5:20" x14ac:dyDescent="0.2">
      <c r="F345" s="9" t="s">
        <v>171</v>
      </c>
      <c r="G345" s="4" t="str">
        <f>IF((IFERROR(SEARCH(K345,Rådata!$B$1000),-1)+IFERROR(SEARCH(L345,Rådata!$B$1000),-1)+IFERROR(SEARCH(M345,Rådata!$B$1000),-1)+IFERROR(SEARCH(N345,Rådata!$B$1000),-1)+IFERROR(SEARCH(O345,Rådata!$B$1000),-1))&gt;0,"-","NEJ")</f>
        <v>NEJ</v>
      </c>
      <c r="K345" s="29" t="str">
        <f>F345</f>
        <v>MTBE (methyl-tert-butylether)</v>
      </c>
      <c r="L345" s="29" t="s">
        <v>227</v>
      </c>
      <c r="M345" s="29" t="s">
        <v>179</v>
      </c>
      <c r="N345" s="29" t="s">
        <v>179</v>
      </c>
      <c r="O345" s="29" t="s">
        <v>179</v>
      </c>
      <c r="S345" s="33"/>
    </row>
    <row r="346" spans="5:20" x14ac:dyDescent="0.2">
      <c r="F346" s="3" t="s">
        <v>172</v>
      </c>
      <c r="G346" s="4" t="str">
        <f>IF((IFERROR(SEARCH(K346,Rådata!$B$1000),-1)+IFERROR(SEARCH(L346,Rådata!$B$1000),-1)+IFERROR(SEARCH(M346,Rådata!$B$1000),-1)+IFERROR(SEARCH(N346,Rådata!$B$1000),-1)+IFERROR(SEARCH(O346,Rådata!$B$1000),-1))&gt;0,"-","NEJ")</f>
        <v>NEJ</v>
      </c>
      <c r="K346" s="29" t="str">
        <f>F346</f>
        <v>TBA (tert-butylalkohol)</v>
      </c>
      <c r="L346" s="29" t="s">
        <v>228</v>
      </c>
      <c r="M346" s="29" t="s">
        <v>179</v>
      </c>
      <c r="N346" s="29" t="s">
        <v>179</v>
      </c>
      <c r="O346" s="29" t="s">
        <v>179</v>
      </c>
      <c r="S346" s="33"/>
    </row>
    <row r="347" spans="5:20" x14ac:dyDescent="0.2">
      <c r="F347" s="3" t="s">
        <v>173</v>
      </c>
      <c r="G347" s="4" t="str">
        <f>IF((IFERROR(SEARCH(K347,Rådata!$B$1000),-1)+IFERROR(SEARCH(L347,Rådata!$B$1000),-1)+IFERROR(SEARCH(M347,Rådata!$B$1000),-1)+IFERROR(SEARCH(N347,Rådata!$B$1000),-1)+IFERROR(SEARCH(O347,Rådata!$B$1000),-1))&gt;0,"-","NEJ")</f>
        <v>NEJ</v>
      </c>
      <c r="K347" s="29" t="str">
        <f>F347</f>
        <v>TBF (tert-butylformat)</v>
      </c>
      <c r="L347" s="29" t="s">
        <v>229</v>
      </c>
      <c r="M347" s="29" t="s">
        <v>179</v>
      </c>
      <c r="N347" s="29" t="s">
        <v>179</v>
      </c>
      <c r="O347" s="29" t="s">
        <v>179</v>
      </c>
      <c r="S347" s="33"/>
    </row>
    <row r="348" spans="5:20" x14ac:dyDescent="0.2">
      <c r="E348" s="52" t="s">
        <v>152</v>
      </c>
      <c r="F348" s="52"/>
      <c r="G348" s="18"/>
      <c r="H348" s="18" t="str">
        <f>IF(IFERROR(SEARCH("NEJ",CONCATENATE(" ",G349,G350,G351)),1)=1,"OK","NEJ")</f>
        <v>NEJ</v>
      </c>
      <c r="K348" s="2"/>
      <c r="L348" s="2"/>
      <c r="M348" s="2"/>
      <c r="N348" s="2"/>
      <c r="O348" s="2"/>
    </row>
    <row r="349" spans="5:20" x14ac:dyDescent="0.2">
      <c r="F349" s="9" t="s">
        <v>8</v>
      </c>
      <c r="G349" s="4" t="str">
        <f>IF((IFERROR(SEARCH(K349,Rådata!$B$1000),-1)+IFERROR(SEARCH(L349,Rådata!$B$1000),-1)+IFERROR(SEARCH(M349,Rådata!$B$1000),-1)+IFERROR(SEARCH(N349,Rådata!$B$1000),-1)+IFERROR(SEARCH(O349,Rådata!$B$1000),-1))&gt;0,"-","NEJ")</f>
        <v>NEJ</v>
      </c>
      <c r="K349" s="2" t="str">
        <f>K52</f>
        <v>Acrylamid</v>
      </c>
      <c r="L349" s="2" t="str">
        <f t="shared" ref="L349:M349" si="270">L52</f>
        <v>Her kan et synonym indsættes</v>
      </c>
      <c r="M349" s="2" t="str">
        <f t="shared" si="270"/>
        <v>Her kan et synonym indsættes</v>
      </c>
      <c r="N349" s="2" t="str">
        <f t="shared" ref="N349:O349" si="271">N52</f>
        <v>Her kan et synonym indsættes</v>
      </c>
      <c r="O349" s="2" t="str">
        <f t="shared" si="271"/>
        <v>Her kan et synonym indsættes</v>
      </c>
      <c r="S349" s="33"/>
    </row>
    <row r="350" spans="5:20" x14ac:dyDescent="0.2">
      <c r="F350" s="3" t="s">
        <v>9</v>
      </c>
      <c r="G350" s="4" t="str">
        <f>IF((IFERROR(SEARCH(K350,Rådata!$B$1000),-1)+IFERROR(SEARCH(L350,Rådata!$B$1000),-1)+IFERROR(SEARCH(M350,Rådata!$B$1000),-1)+IFERROR(SEARCH(N350,Rådata!$B$1000),-1)+IFERROR(SEARCH(O350,Rådata!$B$1000),-1))&gt;0,"-","NEJ")</f>
        <v>NEJ</v>
      </c>
      <c r="K350" s="2" t="str">
        <f t="shared" ref="K350:M351" si="272">K53</f>
        <v>Epichlorhydrin</v>
      </c>
      <c r="L350" s="2" t="str">
        <f t="shared" si="272"/>
        <v>Her kan et synonym indsættes</v>
      </c>
      <c r="M350" s="2" t="str">
        <f t="shared" si="272"/>
        <v>Her kan et synonym indsættes</v>
      </c>
      <c r="N350" s="2" t="str">
        <f t="shared" ref="N350:O350" si="273">N53</f>
        <v>Her kan et synonym indsættes</v>
      </c>
      <c r="O350" s="2" t="str">
        <f t="shared" si="273"/>
        <v>Her kan et synonym indsættes</v>
      </c>
      <c r="S350" s="33"/>
    </row>
    <row r="351" spans="5:20" x14ac:dyDescent="0.2">
      <c r="F351" s="10" t="s">
        <v>41</v>
      </c>
      <c r="G351" s="4" t="str">
        <f>IF((IFERROR(SEARCH(K351,Rådata!$B$1000),-1)+IFERROR(SEARCH(L351,Rådata!$B$1000),-1)+IFERROR(SEARCH(M351,Rådata!$B$1000),-1)+IFERROR(SEARCH(N351,Rådata!$B$1000),-1)+IFERROR(SEARCH(O351,Rådata!$B$1000),-1))&gt;0,"-","NEJ")</f>
        <v>NEJ</v>
      </c>
      <c r="K351" s="2" t="str">
        <f t="shared" si="272"/>
        <v>Vinylchlorid</v>
      </c>
      <c r="L351" s="2" t="str">
        <f t="shared" si="272"/>
        <v>Her kan et synonym indsættes</v>
      </c>
      <c r="M351" s="2" t="str">
        <f t="shared" si="272"/>
        <v>Her kan et synonym indsættes</v>
      </c>
      <c r="N351" s="2" t="str">
        <f t="shared" ref="N351:O351" si="274">N54</f>
        <v>Her kan et synonym indsættes</v>
      </c>
      <c r="O351" s="2" t="str">
        <f t="shared" si="274"/>
        <v>Her kan et synonym indsættes</v>
      </c>
      <c r="S351" s="33"/>
    </row>
    <row r="352" spans="5:20" x14ac:dyDescent="0.2">
      <c r="E352" s="52" t="s">
        <v>182</v>
      </c>
      <c r="F352" s="52"/>
      <c r="G352" s="18"/>
      <c r="H352" s="18" t="str">
        <f>IF(IFERROR(SEARCH("NEJ",CONCATENATE(" ",G353,G354,G355,G356,G357,G358,G359,G360,G361,G362,G363,G364)),1)=1,"OK","NEJ")</f>
        <v>NEJ</v>
      </c>
      <c r="K352" s="2"/>
      <c r="L352" s="2"/>
      <c r="M352" s="2"/>
      <c r="N352" s="2"/>
      <c r="O352" s="2"/>
    </row>
    <row r="353" spans="5:19" x14ac:dyDescent="0.2">
      <c r="F353" s="9" t="s">
        <v>42</v>
      </c>
      <c r="G353" s="4" t="str">
        <f>IF((IFERROR(SEARCH(K353,Rådata!$B$1000),-1)+IFERROR(SEARCH(L353,Rådata!$B$1000),-1)+IFERROR(SEARCH(M353,Rådata!$B$1000),-1)+IFERROR(SEARCH(N353,Rådata!$B$1000),-1)+IFERROR(SEARCH(O353,Rådata!$B$1000),-1))&gt;0,"-","NEJ")</f>
        <v>NEJ</v>
      </c>
      <c r="K353" s="2" t="str">
        <f>K58</f>
        <v>Dichlormethan</v>
      </c>
      <c r="L353" s="2" t="str">
        <f t="shared" ref="L353:M353" si="275">L58</f>
        <v>Dichlormetan</v>
      </c>
      <c r="M353" s="2" t="str">
        <f t="shared" si="275"/>
        <v>Her kan et synonym indsættes</v>
      </c>
      <c r="N353" s="2" t="str">
        <f t="shared" ref="N353:O353" si="276">N58</f>
        <v>Her kan et synonym indsættes</v>
      </c>
      <c r="O353" s="2" t="str">
        <f t="shared" si="276"/>
        <v>Her kan et synonym indsættes</v>
      </c>
      <c r="S353" s="33"/>
    </row>
    <row r="354" spans="5:19" x14ac:dyDescent="0.2">
      <c r="F354" s="3" t="s">
        <v>92</v>
      </c>
      <c r="G354" s="4" t="str">
        <f>IF((IFERROR(SEARCH(K354,Rådata!$B$1000),-1)+IFERROR(SEARCH(L354,Rådata!$B$1000),-1)+IFERROR(SEARCH(M354,Rådata!$B$1000),-1)+IFERROR(SEARCH(N354,Rådata!$B$1000),-1)+IFERROR(SEARCH(O354,Rådata!$B$1000),-1))&gt;0,"-","NEJ")</f>
        <v>NEJ</v>
      </c>
      <c r="K354" s="2" t="str">
        <f t="shared" ref="K354:M364" si="277">K59</f>
        <v>Trichlormethan</v>
      </c>
      <c r="L354" s="2" t="str">
        <f t="shared" si="277"/>
        <v>Chloroform</v>
      </c>
      <c r="M354" s="2" t="str">
        <f t="shared" si="277"/>
        <v>Her kan et synonym indsættes</v>
      </c>
      <c r="N354" s="2" t="str">
        <f t="shared" ref="N354:O354" si="278">N59</f>
        <v>Her kan et synonym indsættes</v>
      </c>
      <c r="O354" s="2" t="str">
        <f t="shared" si="278"/>
        <v>Her kan et synonym indsættes</v>
      </c>
      <c r="S354" s="33"/>
    </row>
    <row r="355" spans="5:19" x14ac:dyDescent="0.2">
      <c r="F355" s="3" t="s">
        <v>44</v>
      </c>
      <c r="G355" s="4" t="str">
        <f>IF((IFERROR(SEARCH(K355,Rådata!$B$1000),-1)+IFERROR(SEARCH(L355,Rådata!$B$1000),-1)+IFERROR(SEARCH(M355,Rådata!$B$1000),-1)+IFERROR(SEARCH(N355,Rådata!$B$1000),-1)+IFERROR(SEARCH(O355,Rådata!$B$1000),-1))&gt;0,"-","NEJ")</f>
        <v>NEJ</v>
      </c>
      <c r="K355" s="2" t="str">
        <f t="shared" si="277"/>
        <v>1,2-dichlorethan</v>
      </c>
      <c r="L355" s="2" t="str">
        <f t="shared" si="277"/>
        <v>Her kan et synonym indsættes</v>
      </c>
      <c r="M355" s="2" t="str">
        <f t="shared" si="277"/>
        <v>Her kan et synonym indsættes</v>
      </c>
      <c r="N355" s="2" t="str">
        <f t="shared" ref="N355:O355" si="279">N60</f>
        <v>Her kan et synonym indsættes</v>
      </c>
      <c r="O355" s="2" t="str">
        <f t="shared" si="279"/>
        <v>Her kan et synonym indsættes</v>
      </c>
      <c r="S355" s="33"/>
    </row>
    <row r="356" spans="5:19" x14ac:dyDescent="0.2">
      <c r="F356" s="3" t="s">
        <v>47</v>
      </c>
      <c r="G356" s="4" t="str">
        <f>IF((IFERROR(SEARCH(K356,Rådata!$B$1000),-1)+IFERROR(SEARCH(L356,Rådata!$B$1000),-1)+IFERROR(SEARCH(M356,Rådata!$B$1000),-1)+IFERROR(SEARCH(N356,Rådata!$B$1000),-1)+IFERROR(SEARCH(O356,Rådata!$B$1000),-1))&gt;0,"-","NEJ")</f>
        <v>NEJ</v>
      </c>
      <c r="K356" s="2" t="str">
        <f t="shared" si="277"/>
        <v>Trichlorethen</v>
      </c>
      <c r="L356" s="2" t="str">
        <f t="shared" si="277"/>
        <v>Trichlorethylen</v>
      </c>
      <c r="M356" s="2" t="str">
        <f t="shared" si="277"/>
        <v>Her kan et synonym indsættes</v>
      </c>
      <c r="N356" s="2" t="str">
        <f t="shared" ref="N356:O356" si="280">N61</f>
        <v>Her kan et synonym indsættes</v>
      </c>
      <c r="O356" s="2" t="str">
        <f t="shared" si="280"/>
        <v>Her kan et synonym indsættes</v>
      </c>
      <c r="S356" s="33"/>
    </row>
    <row r="357" spans="5:19" x14ac:dyDescent="0.2">
      <c r="F357" s="3" t="s">
        <v>50</v>
      </c>
      <c r="G357" s="4" t="str">
        <f>IF((IFERROR(SEARCH(K357,Rådata!$B$1000),-1)+IFERROR(SEARCH(L357,Rådata!$B$1000),-1)+IFERROR(SEARCH(M357,Rådata!$B$1000),-1)+IFERROR(SEARCH(N357,Rådata!$B$1000),-1)+IFERROR(SEARCH(O357,Rådata!$B$1000),-1))&gt;0,"-","NEJ")</f>
        <v>NEJ</v>
      </c>
      <c r="K357" s="2" t="str">
        <f t="shared" si="277"/>
        <v>Tetrachlorethen</v>
      </c>
      <c r="L357" s="2" t="str">
        <f t="shared" si="277"/>
        <v>Tetrachlorethylen</v>
      </c>
      <c r="M357" s="2" t="str">
        <f t="shared" si="277"/>
        <v>Her kan et synonym indsættes</v>
      </c>
      <c r="N357" s="2" t="str">
        <f t="shared" ref="N357:O357" si="281">N62</f>
        <v>Her kan et synonym indsættes</v>
      </c>
      <c r="O357" s="2" t="str">
        <f t="shared" si="281"/>
        <v>Her kan et synonym indsættes</v>
      </c>
      <c r="S357" s="33"/>
    </row>
    <row r="358" spans="5:19" x14ac:dyDescent="0.2">
      <c r="F358" s="3" t="s">
        <v>43</v>
      </c>
      <c r="G358" s="4" t="str">
        <f>IF((IFERROR(SEARCH(K358,Rådata!$B$1000),-1)+IFERROR(SEARCH(L358,Rådata!$B$1000),-1)+IFERROR(SEARCH(M358,Rådata!$B$1000),-1)+IFERROR(SEARCH(N358,Rådata!$B$1000),-1)+IFERROR(SEARCH(O358,Rådata!$B$1000),-1))&gt;0,"-","NEJ")</f>
        <v>NEJ</v>
      </c>
      <c r="K358" s="2" t="str">
        <f t="shared" si="277"/>
        <v>1,1-dichlorethen</v>
      </c>
      <c r="L358" s="2" t="str">
        <f t="shared" si="277"/>
        <v>1,1-dichlorethylen</v>
      </c>
      <c r="M358" s="2" t="str">
        <f t="shared" si="277"/>
        <v>Her kan et synonym indsættes</v>
      </c>
      <c r="N358" s="2" t="str">
        <f t="shared" ref="N358:O358" si="282">N63</f>
        <v>Her kan et synonym indsættes</v>
      </c>
      <c r="O358" s="2" t="str">
        <f t="shared" si="282"/>
        <v>Her kan et synonym indsættes</v>
      </c>
      <c r="S358" s="33"/>
    </row>
    <row r="359" spans="5:19" x14ac:dyDescent="0.2">
      <c r="F359" s="3" t="s">
        <v>230</v>
      </c>
      <c r="G359" s="4" t="str">
        <f>IF((IFERROR(SEARCH(K359,Rådata!$B$1000),-1)+IFERROR(SEARCH(L359,Rådata!$B$1000),-1)+IFERROR(SEARCH(M359,Rådata!$B$1000),-1)+IFERROR(SEARCH(N359,Rådata!$B$1000),-1)+IFERROR(SEARCH(O359,Rådata!$B$1000),-1))&gt;0,"-","NEJ")</f>
        <v>NEJ</v>
      </c>
      <c r="K359" s="2" t="str">
        <f t="shared" si="277"/>
        <v>Cis-1,2-dichlorethen</v>
      </c>
      <c r="L359" s="2" t="str">
        <f t="shared" si="277"/>
        <v>cis-1,2-dichlorethylen</v>
      </c>
      <c r="M359" s="2" t="str">
        <f t="shared" si="277"/>
        <v>Cis-1,2-dichloreth</v>
      </c>
      <c r="N359" s="2" t="str">
        <f t="shared" ref="N359:O359" si="283">N64</f>
        <v>Her kan et synonym indsættes</v>
      </c>
      <c r="O359" s="2" t="str">
        <f t="shared" si="283"/>
        <v>Her kan et synonym indsættes</v>
      </c>
      <c r="S359" s="33"/>
    </row>
    <row r="360" spans="5:19" x14ac:dyDescent="0.2">
      <c r="F360" s="3" t="s">
        <v>93</v>
      </c>
      <c r="G360" s="4" t="str">
        <f>IF((IFERROR(SEARCH(K360,Rådata!$B$1000),-1)+IFERROR(SEARCH(L360,Rådata!$B$1000),-1)+IFERROR(SEARCH(M360,Rådata!$B$1000),-1)+IFERROR(SEARCH(N360,Rådata!$B$1000),-1)+IFERROR(SEARCH(O360,Rådata!$B$1000),-1))&gt;0,"-","NEJ")</f>
        <v>NEJ</v>
      </c>
      <c r="K360" s="2" t="str">
        <f t="shared" si="277"/>
        <v>Trans-1,2-dichlorethen</v>
      </c>
      <c r="L360" s="2" t="str">
        <f t="shared" si="277"/>
        <v>Trans-1,2-dichlorethylen</v>
      </c>
      <c r="M360" s="2" t="str">
        <f t="shared" si="277"/>
        <v>Trans-1,2-dichloreth</v>
      </c>
      <c r="N360" s="2" t="str">
        <f t="shared" ref="N360:O360" si="284">N65</f>
        <v>Her kan et synonym indsættes</v>
      </c>
      <c r="O360" s="2" t="str">
        <f t="shared" si="284"/>
        <v>Her kan et synonym indsættes</v>
      </c>
      <c r="S360" s="33"/>
    </row>
    <row r="361" spans="5:19" x14ac:dyDescent="0.2">
      <c r="F361" s="3" t="s">
        <v>45</v>
      </c>
      <c r="G361" s="4" t="str">
        <f>IF((IFERROR(SEARCH(K361,Rådata!$B$1000),-1)+IFERROR(SEARCH(L361,Rådata!$B$1000),-1)+IFERROR(SEARCH(M361,Rådata!$B$1000),-1)+IFERROR(SEARCH(N361,Rådata!$B$1000),-1)+IFERROR(SEARCH(O361,Rådata!$B$1000),-1))&gt;0,"-","NEJ")</f>
        <v>NEJ</v>
      </c>
      <c r="K361" s="2" t="str">
        <f t="shared" si="277"/>
        <v>1,1,1-trichlorethan</v>
      </c>
      <c r="L361" s="2" t="str">
        <f t="shared" si="277"/>
        <v>Her kan et synonym indsættes</v>
      </c>
      <c r="M361" s="2" t="str">
        <f t="shared" si="277"/>
        <v>Her kan et synonym indsættes</v>
      </c>
      <c r="N361" s="2" t="str">
        <f t="shared" ref="N361:O361" si="285">N66</f>
        <v>Her kan et synonym indsættes</v>
      </c>
      <c r="O361" s="2" t="str">
        <f t="shared" si="285"/>
        <v>Her kan et synonym indsættes</v>
      </c>
      <c r="S361" s="33"/>
    </row>
    <row r="362" spans="5:19" x14ac:dyDescent="0.2">
      <c r="F362" s="3" t="s">
        <v>46</v>
      </c>
      <c r="G362" s="4" t="str">
        <f>IF((IFERROR(SEARCH(K362,Rådata!$B$1000),-1)+IFERROR(SEARCH(L362,Rådata!$B$1000),-1)+IFERROR(SEARCH(M362,Rådata!$B$1000),-1)+IFERROR(SEARCH(N362,Rådata!$B$1000),-1)+IFERROR(SEARCH(O362,Rådata!$B$1000),-1))&gt;0,"-","NEJ")</f>
        <v>NEJ</v>
      </c>
      <c r="K362" s="2" t="str">
        <f t="shared" si="277"/>
        <v>1,1,2-trichlorethan</v>
      </c>
      <c r="L362" s="2" t="str">
        <f t="shared" si="277"/>
        <v>Her kan et synonym indsættes</v>
      </c>
      <c r="M362" s="2" t="str">
        <f t="shared" si="277"/>
        <v>Her kan et synonym indsættes</v>
      </c>
      <c r="N362" s="2" t="str">
        <f t="shared" ref="N362:O362" si="286">N67</f>
        <v>Her kan et synonym indsættes</v>
      </c>
      <c r="O362" s="2" t="str">
        <f t="shared" si="286"/>
        <v>Her kan et synonym indsættes</v>
      </c>
      <c r="S362" s="33"/>
    </row>
    <row r="363" spans="5:19" x14ac:dyDescent="0.2">
      <c r="F363" s="3" t="s">
        <v>49</v>
      </c>
      <c r="G363" s="4" t="str">
        <f>IF((IFERROR(SEARCH(K363,Rådata!$B$1000),-1)+IFERROR(SEARCH(L363,Rådata!$B$1000),-1)+IFERROR(SEARCH(M363,Rådata!$B$1000),-1)+IFERROR(SEARCH(N363,Rådata!$B$1000),-1)+IFERROR(SEARCH(O363,Rådata!$B$1000),-1))&gt;0,"-","NEJ")</f>
        <v>NEJ</v>
      </c>
      <c r="K363" s="2" t="str">
        <f t="shared" si="277"/>
        <v>1,1,2,2-tetrachlorethan</v>
      </c>
      <c r="L363" s="2" t="str">
        <f t="shared" si="277"/>
        <v>Her kan et synonym indsættes</v>
      </c>
      <c r="M363" s="2" t="str">
        <f t="shared" si="277"/>
        <v>Her kan et synonym indsættes</v>
      </c>
      <c r="N363" s="2" t="str">
        <f t="shared" ref="N363:O363" si="287">N68</f>
        <v>Her kan et synonym indsættes</v>
      </c>
      <c r="O363" s="2" t="str">
        <f t="shared" si="287"/>
        <v>Her kan et synonym indsættes</v>
      </c>
      <c r="S363" s="33"/>
    </row>
    <row r="364" spans="5:19" x14ac:dyDescent="0.2">
      <c r="F364" s="10" t="s">
        <v>48</v>
      </c>
      <c r="G364" s="4" t="str">
        <f>IF((IFERROR(SEARCH(K364,Rådata!$B$1000),-1)+IFERROR(SEARCH(L364,Rådata!$B$1000),-1)+IFERROR(SEARCH(M364,Rådata!$B$1000),-1)+IFERROR(SEARCH(N364,Rådata!$B$1000),-1)+IFERROR(SEARCH(O364,Rådata!$B$1000),-1))&gt;0,"-","NEJ")</f>
        <v>NEJ</v>
      </c>
      <c r="K364" s="2" t="str">
        <f t="shared" si="277"/>
        <v>1,1,1,2-tetrachlorethan</v>
      </c>
      <c r="L364" s="2" t="str">
        <f t="shared" si="277"/>
        <v>Her kan et synonym indsættes</v>
      </c>
      <c r="M364" s="2" t="str">
        <f t="shared" si="277"/>
        <v>Her kan et synonym indsættes</v>
      </c>
      <c r="N364" s="2" t="str">
        <f t="shared" ref="N364:O364" si="288">N69</f>
        <v>Her kan et synonym indsættes</v>
      </c>
      <c r="O364" s="2" t="str">
        <f t="shared" si="288"/>
        <v>Her kan et synonym indsættes</v>
      </c>
      <c r="S364" s="33"/>
    </row>
    <row r="365" spans="5:19" x14ac:dyDescent="0.2">
      <c r="E365" s="52" t="s">
        <v>154</v>
      </c>
      <c r="F365" s="52"/>
      <c r="G365" s="18"/>
      <c r="H365" s="18" t="str">
        <f>IF(IFERROR(SEARCH("NEJ",CONCATENATE(" ",G366,G367,G368,G369,G370,G371)),1)=1,"OK","NEJ")</f>
        <v>NEJ</v>
      </c>
      <c r="K365" s="2"/>
      <c r="L365" s="2"/>
      <c r="M365" s="2"/>
      <c r="N365" s="2"/>
      <c r="O365" s="2"/>
    </row>
    <row r="366" spans="5:19" x14ac:dyDescent="0.2">
      <c r="F366" s="9" t="s">
        <v>12</v>
      </c>
      <c r="G366" s="4" t="str">
        <f>IF((IFERROR(SEARCH(K366,Rådata!$B$1000),-1)+IFERROR(SEARCH(L366,Rådata!$B$1000),-1)+IFERROR(SEARCH(M366,Rådata!$B$1000),-1)+IFERROR(SEARCH(N366,Rådata!$B$1000),-1)+IFERROR(SEARCH(O366,Rådata!$B$1000),-1))&gt;0,"-","NEJ")</f>
        <v>NEJ</v>
      </c>
      <c r="K366" s="2" t="str">
        <f>K73</f>
        <v>Benzo(a)pyren</v>
      </c>
      <c r="L366" s="2" t="str">
        <f t="shared" ref="L366:M366" si="289">L73</f>
        <v>Benz[a]pyren</v>
      </c>
      <c r="M366" s="2" t="str">
        <f t="shared" si="289"/>
        <v>Benz(a)pyren</v>
      </c>
      <c r="N366" s="2" t="str">
        <f t="shared" ref="N366:O366" si="290">N73</f>
        <v>Her kan et synonym indsættes</v>
      </c>
      <c r="O366" s="2" t="str">
        <f t="shared" si="290"/>
        <v>Her kan et synonym indsættes</v>
      </c>
      <c r="S366" s="33"/>
    </row>
    <row r="367" spans="5:19" x14ac:dyDescent="0.2">
      <c r="F367" s="3" t="s">
        <v>11</v>
      </c>
      <c r="G367" s="4" t="str">
        <f>IF((IFERROR(SEARCH(K367,Rådata!$B$1000),-1)+IFERROR(SEARCH(L367,Rådata!$B$1000),-1)+IFERROR(SEARCH(M367,Rådata!$B$1000),-1)+IFERROR(SEARCH(N367,Rådata!$B$1000),-1)+IFERROR(SEARCH(O367,Rådata!$B$1000),-1))&gt;0,"-","NEJ")</f>
        <v>NEJ</v>
      </c>
      <c r="K367" s="2" t="str">
        <f t="shared" ref="K367:M371" si="291">K74</f>
        <v>Fluoranthen</v>
      </c>
      <c r="L367" s="2" t="str">
        <f t="shared" si="291"/>
        <v>Her kan et synonym indsættes</v>
      </c>
      <c r="M367" s="2" t="str">
        <f t="shared" si="291"/>
        <v>Her kan et synonym indsættes</v>
      </c>
      <c r="N367" s="2" t="str">
        <f t="shared" ref="N367:O367" si="292">N74</f>
        <v>Her kan et synonym indsættes</v>
      </c>
      <c r="O367" s="2" t="str">
        <f t="shared" si="292"/>
        <v>Her kan et synonym indsættes</v>
      </c>
      <c r="S367" s="33"/>
    </row>
    <row r="368" spans="5:19" x14ac:dyDescent="0.2">
      <c r="F368" s="3" t="s">
        <v>231</v>
      </c>
      <c r="G368" s="4" t="str">
        <f>IF((IFERROR(SEARCH(K368,Rådata!$B$1000),-1)+IFERROR(SEARCH(L368,Rådata!$B$1000),-1)+IFERROR(SEARCH(M368,Rådata!$B$1000),-1)+IFERROR(SEARCH(N368,Rådata!$B$1000),-1)+IFERROR(SEARCH(O368,Rådata!$B$1000),-1))&gt;0,"-","NEJ")</f>
        <v>NEJ</v>
      </c>
      <c r="K368" s="2" t="str">
        <f t="shared" si="291"/>
        <v>Benzo(b)fluoranthen</v>
      </c>
      <c r="L368" s="2" t="str">
        <f t="shared" si="291"/>
        <v>Benzo(b+j+k)fluoranthen</v>
      </c>
      <c r="M368" s="2" t="str">
        <f t="shared" si="291"/>
        <v>Benz(b)fluoranthen</v>
      </c>
      <c r="N368" s="2" t="str">
        <f t="shared" ref="N368:O368" si="293">N75</f>
        <v>Benz(b+j+k)fluoranthen</v>
      </c>
      <c r="O368" s="2" t="str">
        <f t="shared" si="293"/>
        <v>Her kan et synonym indsættes</v>
      </c>
      <c r="S368" s="33"/>
    </row>
    <row r="369" spans="6:19" x14ac:dyDescent="0.2">
      <c r="F369" s="3" t="s">
        <v>232</v>
      </c>
      <c r="G369" s="4" t="str">
        <f>IF((IFERROR(SEARCH(K369,Rådata!$B$1000),-1)+IFERROR(SEARCH(L369,Rådata!$B$1000),-1)+IFERROR(SEARCH(M369,Rådata!$B$1000),-1)+IFERROR(SEARCH(N369,Rådata!$B$1000),-1)+IFERROR(SEARCH(O369,Rådata!$B$1000),-1))&gt;0,"-","NEJ")</f>
        <v>NEJ</v>
      </c>
      <c r="K369" s="2" t="str">
        <f t="shared" si="291"/>
        <v>Benzo(k)fluoranthen</v>
      </c>
      <c r="L369" s="2" t="str">
        <f t="shared" si="291"/>
        <v>Benzo(b+j+k)fluoranthen</v>
      </c>
      <c r="M369" s="2" t="str">
        <f t="shared" si="291"/>
        <v>Benz(k)fluoranthen</v>
      </c>
      <c r="N369" s="2" t="str">
        <f t="shared" ref="N369:O369" si="294">N76</f>
        <v>Benz(b+j+k)fluoranthen</v>
      </c>
      <c r="O369" s="2" t="str">
        <f t="shared" si="294"/>
        <v>Her kan et synonym indsættes</v>
      </c>
      <c r="S369" s="33"/>
    </row>
    <row r="370" spans="6:19" x14ac:dyDescent="0.2">
      <c r="F370" s="3" t="s">
        <v>233</v>
      </c>
      <c r="G370" s="4" t="str">
        <f>IF((IFERROR(SEARCH(K370,Rådata!$B$1000),-1)+IFERROR(SEARCH(L370,Rådata!$B$1000),-1)+IFERROR(SEARCH(M370,Rådata!$B$1000),-1)+IFERROR(SEARCH(N370,Rådata!$B$1000),-1)+IFERROR(SEARCH(O370,Rådata!$B$1000),-1))&gt;0,"-","NEJ")</f>
        <v>NEJ</v>
      </c>
      <c r="K370" s="2" t="str">
        <f t="shared" si="291"/>
        <v>benzo(g,h,i)perylen</v>
      </c>
      <c r="L370" s="2" t="str">
        <f t="shared" si="291"/>
        <v>benz(g,h,i)perylen</v>
      </c>
      <c r="M370" s="2" t="str">
        <f t="shared" si="291"/>
        <v>benz(ghi)perylen</v>
      </c>
      <c r="N370" s="2" t="str">
        <f t="shared" ref="N370:O370" si="295">N77</f>
        <v>Her kan et synonym indsættes</v>
      </c>
      <c r="O370" s="2" t="str">
        <f t="shared" si="295"/>
        <v>Her kan et synonym indsættes</v>
      </c>
      <c r="S370" s="33"/>
    </row>
    <row r="371" spans="6:19" x14ac:dyDescent="0.2">
      <c r="F371" s="3" t="s">
        <v>234</v>
      </c>
      <c r="G371" s="4" t="str">
        <f>IF((IFERROR(SEARCH(K371,Rådata!$B$1000),-1)+IFERROR(SEARCH(L371,Rådata!$B$1000),-1)+IFERROR(SEARCH(M371,Rådata!$B$1000),-1)+IFERROR(SEARCH(N371,Rådata!$B$1000),-1)+IFERROR(SEARCH(O371,Rådata!$B$1000),-1))&gt;0,"-","NEJ")</f>
        <v>NEJ</v>
      </c>
      <c r="K371" s="2" t="str">
        <f t="shared" si="291"/>
        <v>Indeno(1,2,3-cd)pyren</v>
      </c>
      <c r="L371" s="2" t="str">
        <f t="shared" si="291"/>
        <v>Her kan et synonym indsættes</v>
      </c>
      <c r="M371" s="2" t="str">
        <f t="shared" si="291"/>
        <v>Her kan et synonym indsættes</v>
      </c>
      <c r="N371" s="2" t="str">
        <f t="shared" ref="N371:O371" si="296">N78</f>
        <v>Her kan et synonym indsættes</v>
      </c>
      <c r="O371" s="2" t="str">
        <f t="shared" si="296"/>
        <v>Her kan et synonym indsættes</v>
      </c>
      <c r="S371" s="33"/>
    </row>
  </sheetData>
  <protectedRanges>
    <protectedRange sqref="F4" name="Område1"/>
  </protectedRanges>
  <sortState xmlns:xlrd2="http://schemas.microsoft.com/office/spreadsheetml/2017/richdata2" ref="A2:A117">
    <sortCondition ref="A2"/>
  </sortState>
  <mergeCells count="47">
    <mergeCell ref="E348:F348"/>
    <mergeCell ref="E352:F352"/>
    <mergeCell ref="E365:F365"/>
    <mergeCell ref="E20:F20"/>
    <mergeCell ref="E6:F6"/>
    <mergeCell ref="E142:F142"/>
    <mergeCell ref="E144:F144"/>
    <mergeCell ref="E146:F146"/>
    <mergeCell ref="E113:F113"/>
    <mergeCell ref="E35:F35"/>
    <mergeCell ref="E24:F24"/>
    <mergeCell ref="E22:F22"/>
    <mergeCell ref="E55:F55"/>
    <mergeCell ref="E51:F51"/>
    <mergeCell ref="E57:F57"/>
    <mergeCell ref="E70:F70"/>
    <mergeCell ref="E179:F179"/>
    <mergeCell ref="E164:F164"/>
    <mergeCell ref="E160:F160"/>
    <mergeCell ref="E187:F187"/>
    <mergeCell ref="E72:F72"/>
    <mergeCell ref="E79:F79"/>
    <mergeCell ref="E93:F93"/>
    <mergeCell ref="E94:F94"/>
    <mergeCell ref="E151:F151"/>
    <mergeCell ref="A4:D4"/>
    <mergeCell ref="E189:F189"/>
    <mergeCell ref="E344:F344"/>
    <mergeCell ref="E294:F294"/>
    <mergeCell ref="E295:F295"/>
    <mergeCell ref="E314:F314"/>
    <mergeCell ref="E263:F263"/>
    <mergeCell ref="E342:F342"/>
    <mergeCell ref="E265:F265"/>
    <mergeCell ref="E288:F288"/>
    <mergeCell ref="E214:F214"/>
    <mergeCell ref="E215:F215"/>
    <mergeCell ref="E234:F234"/>
    <mergeCell ref="E210:F210"/>
    <mergeCell ref="E194:F194"/>
    <mergeCell ref="E177:F177"/>
    <mergeCell ref="A34:C34"/>
    <mergeCell ref="A16:D16"/>
    <mergeCell ref="A30:C30"/>
    <mergeCell ref="A31:C31"/>
    <mergeCell ref="A32:C32"/>
    <mergeCell ref="A33:C33"/>
  </mergeCells>
  <hyperlinks>
    <hyperlink ref="A30" location="Analysepakker!E6" display="Gruppe A" xr:uid="{00000000-0004-0000-0000-000000000000}"/>
    <hyperlink ref="A31" location="Analysepakker!E20" display="Gruppe B" xr:uid="{00000000-0004-0000-0000-000001000000}"/>
    <hyperlink ref="A32" location="Analysepakker!E157" display="Ledningsnetkontrol (Bilag F)" xr:uid="{00000000-0004-0000-0000-000002000000}"/>
    <hyperlink ref="A33" location="Analysepakker!E209" display="Vandværkskontrol (Bilag E)" xr:uid="{00000000-0004-0000-0000-000003000000}"/>
    <hyperlink ref="A34" location="Analysepakker!E286" display="Boringskontrol" xr:uid="{00000000-0004-0000-0000-000004000000}"/>
    <hyperlink ref="E6:F6" location="Analysepakker!F1" display="Gruppe A" xr:uid="{00000000-0004-0000-0000-000005000000}"/>
    <hyperlink ref="E20:F20" location="Analysepakker!F1" display="Gruppe B" xr:uid="{00000000-0004-0000-0000-000006000000}"/>
    <hyperlink ref="E142:F142" location="Analysepakker!F1" display="Ledningsnetkontrol (Bilag F)" xr:uid="{00000000-0004-0000-0000-000007000000}"/>
    <hyperlink ref="E187:F187" location="Analysepakker!F1" display="Vandværkskontrol (Bilag E)" xr:uid="{00000000-0004-0000-0000-000008000000}"/>
    <hyperlink ref="E263:F263" location="Analysepakker!F1" display="Boringskontrol" xr:uid="{00000000-0004-0000-0000-000009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Kopier_A">
                <anchor moveWithCells="1" sizeWithCells="1">
                  <from>
                    <xdr:col>7</xdr:col>
                    <xdr:colOff>0</xdr:colOff>
                    <xdr:row>4</xdr:row>
                    <xdr:rowOff>0</xdr:rowOff>
                  </from>
                  <to>
                    <xdr:col>8</xdr:col>
                    <xdr:colOff>0</xdr:colOff>
                    <xdr:row>5</xdr:row>
                    <xdr:rowOff>0</xdr:rowOff>
                  </to>
                </anchor>
              </controlPr>
            </control>
          </mc:Choice>
        </mc:AlternateContent>
        <mc:AlternateContent xmlns:mc="http://schemas.openxmlformats.org/markup-compatibility/2006">
          <mc:Choice Requires="x14">
            <control shapeId="1032" r:id="rId5" name="Button 8">
              <controlPr defaultSize="0" print="0" autoFill="0" autoPict="0" macro="[0]!Kopier_B">
                <anchor moveWithCells="1" sizeWithCells="1">
                  <from>
                    <xdr:col>7</xdr:col>
                    <xdr:colOff>0</xdr:colOff>
                    <xdr:row>18</xdr:row>
                    <xdr:rowOff>0</xdr:rowOff>
                  </from>
                  <to>
                    <xdr:col>8</xdr:col>
                    <xdr:colOff>0</xdr:colOff>
                    <xdr:row>19</xdr:row>
                    <xdr:rowOff>0</xdr:rowOff>
                  </to>
                </anchor>
              </controlPr>
            </control>
          </mc:Choice>
        </mc:AlternateContent>
        <mc:AlternateContent xmlns:mc="http://schemas.openxmlformats.org/markup-compatibility/2006">
          <mc:Choice Requires="x14">
            <control shapeId="1033" r:id="rId6" name="Button 9">
              <controlPr defaultSize="0" print="0" autoFill="0" autoPict="0" macro="[0]!Kopier_F">
                <anchor moveWithCells="1" sizeWithCells="1">
                  <from>
                    <xdr:col>7</xdr:col>
                    <xdr:colOff>0</xdr:colOff>
                    <xdr:row>140</xdr:row>
                    <xdr:rowOff>0</xdr:rowOff>
                  </from>
                  <to>
                    <xdr:col>8</xdr:col>
                    <xdr:colOff>0</xdr:colOff>
                    <xdr:row>141</xdr:row>
                    <xdr:rowOff>0</xdr:rowOff>
                  </to>
                </anchor>
              </controlPr>
            </control>
          </mc:Choice>
        </mc:AlternateContent>
        <mc:AlternateContent xmlns:mc="http://schemas.openxmlformats.org/markup-compatibility/2006">
          <mc:Choice Requires="x14">
            <control shapeId="1034" r:id="rId7" name="Button 10">
              <controlPr defaultSize="0" print="0" autoFill="0" autoPict="0" macro="[0]!Kopier_E">
                <anchor moveWithCells="1" sizeWithCells="1">
                  <from>
                    <xdr:col>7</xdr:col>
                    <xdr:colOff>0</xdr:colOff>
                    <xdr:row>185</xdr:row>
                    <xdr:rowOff>0</xdr:rowOff>
                  </from>
                  <to>
                    <xdr:col>8</xdr:col>
                    <xdr:colOff>0</xdr:colOff>
                    <xdr:row>186</xdr:row>
                    <xdr:rowOff>0</xdr:rowOff>
                  </to>
                </anchor>
              </controlPr>
            </control>
          </mc:Choice>
        </mc:AlternateContent>
        <mc:AlternateContent xmlns:mc="http://schemas.openxmlformats.org/markup-compatibility/2006">
          <mc:Choice Requires="x14">
            <control shapeId="1035" r:id="rId8" name="Button 11">
              <controlPr defaultSize="0" print="0" autoFill="0" autoPict="0" macro="[0]!Kopier_Bore">
                <anchor moveWithCells="1" sizeWithCells="1">
                  <from>
                    <xdr:col>7</xdr:col>
                    <xdr:colOff>0</xdr:colOff>
                    <xdr:row>261</xdr:row>
                    <xdr:rowOff>0</xdr:rowOff>
                  </from>
                  <to>
                    <xdr:col>8</xdr:col>
                    <xdr:colOff>0</xdr:colOff>
                    <xdr:row>262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2"/>
  <dimension ref="A1:C1009"/>
  <sheetViews>
    <sheetView workbookViewId="0">
      <selection activeCell="A2" sqref="A2"/>
    </sheetView>
  </sheetViews>
  <sheetFormatPr defaultRowHeight="18" customHeight="1" x14ac:dyDescent="0.2"/>
  <cols>
    <col min="1" max="1" width="27.625" customWidth="1"/>
    <col min="2" max="2" width="255.625" hidden="1" customWidth="1"/>
    <col min="3" max="3" width="5" style="2" customWidth="1"/>
  </cols>
  <sheetData>
    <row r="1" spans="1:3" ht="18" customHeight="1" x14ac:dyDescent="0.25">
      <c r="A1" s="1" t="s">
        <v>0</v>
      </c>
      <c r="B1" s="1"/>
      <c r="C1" s="20" t="s">
        <v>174</v>
      </c>
    </row>
    <row r="2" spans="1:3" ht="18" customHeight="1" x14ac:dyDescent="0.2">
      <c r="A2" s="3" t="s">
        <v>174</v>
      </c>
      <c r="B2" s="6" t="str">
        <f>A2</f>
        <v xml:space="preserve"> </v>
      </c>
      <c r="C2" s="20" t="s">
        <v>174</v>
      </c>
    </row>
    <row r="3" spans="1:3" ht="18" customHeight="1" x14ac:dyDescent="0.2">
      <c r="A3" s="3"/>
      <c r="B3" s="6" t="str">
        <f t="shared" ref="B3:B66" si="0">IF(ISBLANK(A3)=TRUE,B2,B2&amp;","&amp;A3)</f>
        <v xml:space="preserve"> </v>
      </c>
      <c r="C3" s="20" t="s">
        <v>174</v>
      </c>
    </row>
    <row r="4" spans="1:3" ht="18" customHeight="1" x14ac:dyDescent="0.2">
      <c r="A4" s="3"/>
      <c r="B4" s="6" t="str">
        <f t="shared" si="0"/>
        <v xml:space="preserve"> </v>
      </c>
      <c r="C4" s="20" t="s">
        <v>174</v>
      </c>
    </row>
    <row r="5" spans="1:3" ht="18" customHeight="1" x14ac:dyDescent="0.2">
      <c r="A5" s="3"/>
      <c r="B5" s="6" t="str">
        <f t="shared" si="0"/>
        <v xml:space="preserve"> </v>
      </c>
      <c r="C5" s="20" t="s">
        <v>174</v>
      </c>
    </row>
    <row r="6" spans="1:3" ht="18" customHeight="1" x14ac:dyDescent="0.2">
      <c r="A6" s="3"/>
      <c r="B6" s="6" t="str">
        <f t="shared" si="0"/>
        <v xml:space="preserve"> </v>
      </c>
      <c r="C6" s="20" t="s">
        <v>174</v>
      </c>
    </row>
    <row r="7" spans="1:3" ht="18" customHeight="1" x14ac:dyDescent="0.2">
      <c r="A7" s="3"/>
      <c r="B7" s="6" t="str">
        <f t="shared" si="0"/>
        <v xml:space="preserve"> </v>
      </c>
      <c r="C7" s="20" t="s">
        <v>174</v>
      </c>
    </row>
    <row r="8" spans="1:3" ht="18" customHeight="1" x14ac:dyDescent="0.2">
      <c r="A8" s="3"/>
      <c r="B8" s="6" t="str">
        <f t="shared" si="0"/>
        <v xml:space="preserve"> </v>
      </c>
      <c r="C8" s="20" t="s">
        <v>174</v>
      </c>
    </row>
    <row r="9" spans="1:3" ht="18" customHeight="1" x14ac:dyDescent="0.2">
      <c r="A9" s="3"/>
      <c r="B9" s="6" t="str">
        <f t="shared" si="0"/>
        <v xml:space="preserve"> </v>
      </c>
      <c r="C9" s="20" t="s">
        <v>174</v>
      </c>
    </row>
    <row r="10" spans="1:3" ht="18" customHeight="1" x14ac:dyDescent="0.25">
      <c r="A10" s="19"/>
      <c r="B10" s="6" t="str">
        <f t="shared" si="0"/>
        <v xml:space="preserve"> </v>
      </c>
      <c r="C10" s="20" t="s">
        <v>174</v>
      </c>
    </row>
    <row r="11" spans="1:3" ht="18" customHeight="1" x14ac:dyDescent="0.25">
      <c r="A11" s="19"/>
      <c r="B11" s="6" t="str">
        <f t="shared" si="0"/>
        <v xml:space="preserve"> </v>
      </c>
      <c r="C11" s="20" t="s">
        <v>174</v>
      </c>
    </row>
    <row r="12" spans="1:3" ht="18" customHeight="1" x14ac:dyDescent="0.2">
      <c r="A12" s="11"/>
      <c r="B12" s="6" t="str">
        <f t="shared" si="0"/>
        <v xml:space="preserve"> </v>
      </c>
      <c r="C12" s="20" t="s">
        <v>174</v>
      </c>
    </row>
    <row r="13" spans="1:3" ht="18" customHeight="1" x14ac:dyDescent="0.2">
      <c r="A13" s="11"/>
      <c r="B13" s="6" t="str">
        <f t="shared" si="0"/>
        <v xml:space="preserve"> </v>
      </c>
      <c r="C13" s="20" t="s">
        <v>174</v>
      </c>
    </row>
    <row r="14" spans="1:3" ht="18" customHeight="1" x14ac:dyDescent="0.2">
      <c r="A14" s="11"/>
      <c r="B14" s="6" t="str">
        <f t="shared" si="0"/>
        <v xml:space="preserve"> </v>
      </c>
      <c r="C14" s="20" t="s">
        <v>174</v>
      </c>
    </row>
    <row r="15" spans="1:3" ht="18" customHeight="1" x14ac:dyDescent="0.2">
      <c r="A15" s="11"/>
      <c r="B15" s="6" t="str">
        <f t="shared" si="0"/>
        <v xml:space="preserve"> </v>
      </c>
      <c r="C15" s="20" t="s">
        <v>174</v>
      </c>
    </row>
    <row r="16" spans="1:3" ht="18" customHeight="1" x14ac:dyDescent="0.2">
      <c r="A16" s="11"/>
      <c r="B16" s="6" t="str">
        <f t="shared" si="0"/>
        <v xml:space="preserve"> </v>
      </c>
      <c r="C16" s="20" t="s">
        <v>174</v>
      </c>
    </row>
    <row r="17" spans="1:3" ht="18" customHeight="1" x14ac:dyDescent="0.2">
      <c r="A17" s="11"/>
      <c r="B17" s="6" t="str">
        <f t="shared" si="0"/>
        <v xml:space="preserve"> </v>
      </c>
      <c r="C17" s="20" t="s">
        <v>174</v>
      </c>
    </row>
    <row r="18" spans="1:3" ht="18" customHeight="1" x14ac:dyDescent="0.2">
      <c r="A18" s="11"/>
      <c r="B18" s="6" t="str">
        <f t="shared" si="0"/>
        <v xml:space="preserve"> </v>
      </c>
      <c r="C18" s="20" t="s">
        <v>174</v>
      </c>
    </row>
    <row r="19" spans="1:3" ht="18" customHeight="1" x14ac:dyDescent="0.2">
      <c r="A19" s="11"/>
      <c r="B19" s="6" t="str">
        <f t="shared" si="0"/>
        <v xml:space="preserve"> </v>
      </c>
      <c r="C19" s="20" t="s">
        <v>174</v>
      </c>
    </row>
    <row r="20" spans="1:3" ht="18" customHeight="1" x14ac:dyDescent="0.2">
      <c r="A20" s="11"/>
      <c r="B20" s="6" t="str">
        <f t="shared" si="0"/>
        <v xml:space="preserve"> </v>
      </c>
      <c r="C20" s="20" t="s">
        <v>174</v>
      </c>
    </row>
    <row r="21" spans="1:3" ht="18" customHeight="1" x14ac:dyDescent="0.2">
      <c r="A21" s="11"/>
      <c r="B21" s="6" t="str">
        <f t="shared" si="0"/>
        <v xml:space="preserve"> </v>
      </c>
      <c r="C21" s="20" t="s">
        <v>174</v>
      </c>
    </row>
    <row r="22" spans="1:3" ht="18" customHeight="1" x14ac:dyDescent="0.2">
      <c r="A22" s="11"/>
      <c r="B22" s="6" t="str">
        <f t="shared" si="0"/>
        <v xml:space="preserve"> </v>
      </c>
      <c r="C22" s="20" t="s">
        <v>174</v>
      </c>
    </row>
    <row r="23" spans="1:3" ht="18" customHeight="1" x14ac:dyDescent="0.2">
      <c r="A23" s="11"/>
      <c r="B23" s="6" t="str">
        <f t="shared" si="0"/>
        <v xml:space="preserve"> </v>
      </c>
      <c r="C23" s="20" t="s">
        <v>174</v>
      </c>
    </row>
    <row r="24" spans="1:3" ht="18" customHeight="1" x14ac:dyDescent="0.2">
      <c r="A24" s="11"/>
      <c r="B24" s="6" t="str">
        <f t="shared" si="0"/>
        <v xml:space="preserve"> </v>
      </c>
      <c r="C24" s="20" t="s">
        <v>174</v>
      </c>
    </row>
    <row r="25" spans="1:3" ht="18" customHeight="1" x14ac:dyDescent="0.2">
      <c r="A25" s="11"/>
      <c r="B25" s="6" t="str">
        <f t="shared" si="0"/>
        <v xml:space="preserve"> </v>
      </c>
      <c r="C25" s="20" t="s">
        <v>174</v>
      </c>
    </row>
    <row r="26" spans="1:3" ht="18" customHeight="1" x14ac:dyDescent="0.2">
      <c r="A26" s="11"/>
      <c r="B26" s="6" t="str">
        <f t="shared" si="0"/>
        <v xml:space="preserve"> </v>
      </c>
      <c r="C26" s="20" t="s">
        <v>174</v>
      </c>
    </row>
    <row r="27" spans="1:3" ht="18" customHeight="1" x14ac:dyDescent="0.2">
      <c r="A27" s="11"/>
      <c r="B27" s="6" t="str">
        <f t="shared" si="0"/>
        <v xml:space="preserve"> </v>
      </c>
      <c r="C27" s="20" t="s">
        <v>174</v>
      </c>
    </row>
    <row r="28" spans="1:3" ht="18" customHeight="1" x14ac:dyDescent="0.2">
      <c r="A28" s="11"/>
      <c r="B28" s="6" t="str">
        <f t="shared" si="0"/>
        <v xml:space="preserve"> </v>
      </c>
      <c r="C28" s="20" t="s">
        <v>174</v>
      </c>
    </row>
    <row r="29" spans="1:3" ht="18" customHeight="1" x14ac:dyDescent="0.2">
      <c r="A29" s="11"/>
      <c r="B29" s="6" t="str">
        <f t="shared" si="0"/>
        <v xml:space="preserve"> </v>
      </c>
      <c r="C29" s="20" t="s">
        <v>174</v>
      </c>
    </row>
    <row r="30" spans="1:3" ht="18" customHeight="1" x14ac:dyDescent="0.2">
      <c r="A30" s="11"/>
      <c r="B30" s="6" t="str">
        <f t="shared" si="0"/>
        <v xml:space="preserve"> </v>
      </c>
      <c r="C30" s="20" t="s">
        <v>174</v>
      </c>
    </row>
    <row r="31" spans="1:3" ht="18" customHeight="1" x14ac:dyDescent="0.2">
      <c r="A31" s="11"/>
      <c r="B31" s="6" t="str">
        <f t="shared" si="0"/>
        <v xml:space="preserve"> </v>
      </c>
      <c r="C31" s="20" t="s">
        <v>174</v>
      </c>
    </row>
    <row r="32" spans="1:3" ht="18" customHeight="1" x14ac:dyDescent="0.2">
      <c r="A32" s="11"/>
      <c r="B32" s="6" t="str">
        <f t="shared" si="0"/>
        <v xml:space="preserve"> </v>
      </c>
      <c r="C32" s="20" t="s">
        <v>174</v>
      </c>
    </row>
    <row r="33" spans="1:3" ht="18" customHeight="1" x14ac:dyDescent="0.2">
      <c r="A33" s="11"/>
      <c r="B33" s="6" t="str">
        <f t="shared" si="0"/>
        <v xml:space="preserve"> </v>
      </c>
      <c r="C33" s="20" t="s">
        <v>174</v>
      </c>
    </row>
    <row r="34" spans="1:3" ht="18" customHeight="1" x14ac:dyDescent="0.2">
      <c r="A34" s="11"/>
      <c r="B34" s="6" t="str">
        <f t="shared" si="0"/>
        <v xml:space="preserve"> </v>
      </c>
      <c r="C34" s="20" t="s">
        <v>174</v>
      </c>
    </row>
    <row r="35" spans="1:3" ht="18" customHeight="1" x14ac:dyDescent="0.2">
      <c r="A35" s="11"/>
      <c r="B35" s="6" t="str">
        <f t="shared" si="0"/>
        <v xml:space="preserve"> </v>
      </c>
      <c r="C35" s="20" t="s">
        <v>174</v>
      </c>
    </row>
    <row r="36" spans="1:3" ht="18" customHeight="1" x14ac:dyDescent="0.2">
      <c r="A36" s="11"/>
      <c r="B36" s="6" t="str">
        <f t="shared" si="0"/>
        <v xml:space="preserve"> </v>
      </c>
      <c r="C36" s="20" t="s">
        <v>174</v>
      </c>
    </row>
    <row r="37" spans="1:3" ht="18" customHeight="1" x14ac:dyDescent="0.2">
      <c r="A37" s="11"/>
      <c r="B37" s="6" t="str">
        <f t="shared" si="0"/>
        <v xml:space="preserve"> </v>
      </c>
      <c r="C37" s="20" t="s">
        <v>174</v>
      </c>
    </row>
    <row r="38" spans="1:3" ht="18" customHeight="1" x14ac:dyDescent="0.2">
      <c r="A38" s="11"/>
      <c r="B38" s="6" t="str">
        <f t="shared" si="0"/>
        <v xml:space="preserve"> </v>
      </c>
      <c r="C38" s="20" t="s">
        <v>174</v>
      </c>
    </row>
    <row r="39" spans="1:3" ht="18" customHeight="1" x14ac:dyDescent="0.2">
      <c r="A39" s="11"/>
      <c r="B39" s="6" t="str">
        <f t="shared" si="0"/>
        <v xml:space="preserve"> </v>
      </c>
      <c r="C39" s="20" t="s">
        <v>174</v>
      </c>
    </row>
    <row r="40" spans="1:3" ht="18" customHeight="1" x14ac:dyDescent="0.2">
      <c r="A40" s="11"/>
      <c r="B40" s="6" t="str">
        <f t="shared" si="0"/>
        <v xml:space="preserve"> </v>
      </c>
      <c r="C40" s="20" t="s">
        <v>174</v>
      </c>
    </row>
    <row r="41" spans="1:3" ht="18" customHeight="1" x14ac:dyDescent="0.2">
      <c r="A41" s="11"/>
      <c r="B41" s="6" t="str">
        <f t="shared" si="0"/>
        <v xml:space="preserve"> </v>
      </c>
      <c r="C41" s="20" t="s">
        <v>174</v>
      </c>
    </row>
    <row r="42" spans="1:3" ht="18" customHeight="1" x14ac:dyDescent="0.2">
      <c r="A42" s="11"/>
      <c r="B42" s="6" t="str">
        <f t="shared" si="0"/>
        <v xml:space="preserve"> </v>
      </c>
      <c r="C42" s="20" t="s">
        <v>174</v>
      </c>
    </row>
    <row r="43" spans="1:3" ht="18" customHeight="1" x14ac:dyDescent="0.2">
      <c r="A43" s="11"/>
      <c r="B43" s="6" t="str">
        <f t="shared" si="0"/>
        <v xml:space="preserve"> </v>
      </c>
      <c r="C43" s="20" t="s">
        <v>174</v>
      </c>
    </row>
    <row r="44" spans="1:3" ht="18" customHeight="1" x14ac:dyDescent="0.2">
      <c r="A44" s="11"/>
      <c r="B44" s="6" t="str">
        <f t="shared" si="0"/>
        <v xml:space="preserve"> </v>
      </c>
      <c r="C44" s="20" t="s">
        <v>174</v>
      </c>
    </row>
    <row r="45" spans="1:3" ht="18" customHeight="1" x14ac:dyDescent="0.2">
      <c r="A45" s="11"/>
      <c r="B45" s="6" t="str">
        <f t="shared" si="0"/>
        <v xml:space="preserve"> </v>
      </c>
      <c r="C45" s="20" t="s">
        <v>174</v>
      </c>
    </row>
    <row r="46" spans="1:3" ht="18" customHeight="1" x14ac:dyDescent="0.2">
      <c r="A46" s="11"/>
      <c r="B46" s="6" t="str">
        <f t="shared" si="0"/>
        <v xml:space="preserve"> </v>
      </c>
      <c r="C46" s="20" t="s">
        <v>174</v>
      </c>
    </row>
    <row r="47" spans="1:3" ht="18" customHeight="1" x14ac:dyDescent="0.2">
      <c r="A47" s="11"/>
      <c r="B47" s="6" t="str">
        <f t="shared" si="0"/>
        <v xml:space="preserve"> </v>
      </c>
      <c r="C47" s="20" t="s">
        <v>174</v>
      </c>
    </row>
    <row r="48" spans="1:3" ht="18" customHeight="1" x14ac:dyDescent="0.2">
      <c r="A48" s="11"/>
      <c r="B48" s="6" t="str">
        <f t="shared" si="0"/>
        <v xml:space="preserve"> </v>
      </c>
      <c r="C48" s="20" t="s">
        <v>174</v>
      </c>
    </row>
    <row r="49" spans="1:3" ht="18" customHeight="1" x14ac:dyDescent="0.2">
      <c r="A49" s="11"/>
      <c r="B49" s="6" t="str">
        <f t="shared" si="0"/>
        <v xml:space="preserve"> </v>
      </c>
      <c r="C49" s="20" t="s">
        <v>174</v>
      </c>
    </row>
    <row r="50" spans="1:3" ht="18" customHeight="1" x14ac:dyDescent="0.2">
      <c r="A50" s="11"/>
      <c r="B50" s="6" t="str">
        <f t="shared" si="0"/>
        <v xml:space="preserve"> </v>
      </c>
      <c r="C50" s="20" t="s">
        <v>174</v>
      </c>
    </row>
    <row r="51" spans="1:3" ht="18" customHeight="1" x14ac:dyDescent="0.2">
      <c r="A51" s="11"/>
      <c r="B51" s="6" t="str">
        <f t="shared" si="0"/>
        <v xml:space="preserve"> </v>
      </c>
      <c r="C51" s="20" t="s">
        <v>174</v>
      </c>
    </row>
    <row r="52" spans="1:3" ht="18" customHeight="1" x14ac:dyDescent="0.2">
      <c r="A52" s="11"/>
      <c r="B52" s="6" t="str">
        <f t="shared" si="0"/>
        <v xml:space="preserve"> </v>
      </c>
      <c r="C52" s="20" t="s">
        <v>174</v>
      </c>
    </row>
    <row r="53" spans="1:3" ht="18" customHeight="1" x14ac:dyDescent="0.2">
      <c r="A53" s="11"/>
      <c r="B53" s="6" t="str">
        <f t="shared" si="0"/>
        <v xml:space="preserve"> </v>
      </c>
      <c r="C53" s="20" t="s">
        <v>174</v>
      </c>
    </row>
    <row r="54" spans="1:3" ht="18" customHeight="1" x14ac:dyDescent="0.2">
      <c r="A54" s="11"/>
      <c r="B54" s="6" t="str">
        <f t="shared" si="0"/>
        <v xml:space="preserve"> </v>
      </c>
      <c r="C54" s="20" t="s">
        <v>174</v>
      </c>
    </row>
    <row r="55" spans="1:3" ht="18" customHeight="1" x14ac:dyDescent="0.2">
      <c r="A55" s="11"/>
      <c r="B55" s="6" t="str">
        <f t="shared" si="0"/>
        <v xml:space="preserve"> </v>
      </c>
      <c r="C55" s="20" t="s">
        <v>174</v>
      </c>
    </row>
    <row r="56" spans="1:3" ht="18" customHeight="1" x14ac:dyDescent="0.2">
      <c r="A56" s="11"/>
      <c r="B56" s="6" t="str">
        <f t="shared" si="0"/>
        <v xml:space="preserve"> </v>
      </c>
      <c r="C56" s="20" t="s">
        <v>174</v>
      </c>
    </row>
    <row r="57" spans="1:3" ht="18" customHeight="1" x14ac:dyDescent="0.2">
      <c r="A57" s="11"/>
      <c r="B57" s="6" t="str">
        <f t="shared" si="0"/>
        <v xml:space="preserve"> </v>
      </c>
      <c r="C57" s="20" t="s">
        <v>174</v>
      </c>
    </row>
    <row r="58" spans="1:3" ht="18" customHeight="1" x14ac:dyDescent="0.2">
      <c r="A58" s="11"/>
      <c r="B58" s="6" t="str">
        <f t="shared" si="0"/>
        <v xml:space="preserve"> </v>
      </c>
      <c r="C58" s="20" t="s">
        <v>174</v>
      </c>
    </row>
    <row r="59" spans="1:3" ht="18" customHeight="1" x14ac:dyDescent="0.2">
      <c r="A59" s="11"/>
      <c r="B59" s="6" t="str">
        <f t="shared" si="0"/>
        <v xml:space="preserve"> </v>
      </c>
      <c r="C59" s="20" t="s">
        <v>174</v>
      </c>
    </row>
    <row r="60" spans="1:3" ht="18" customHeight="1" x14ac:dyDescent="0.2">
      <c r="A60" s="11"/>
      <c r="B60" s="6" t="str">
        <f t="shared" si="0"/>
        <v xml:space="preserve"> </v>
      </c>
      <c r="C60" s="20" t="s">
        <v>174</v>
      </c>
    </row>
    <row r="61" spans="1:3" ht="18" customHeight="1" x14ac:dyDescent="0.2">
      <c r="A61" s="11"/>
      <c r="B61" s="6" t="str">
        <f t="shared" si="0"/>
        <v xml:space="preserve"> </v>
      </c>
      <c r="C61" s="20" t="s">
        <v>174</v>
      </c>
    </row>
    <row r="62" spans="1:3" ht="18" customHeight="1" x14ac:dyDescent="0.2">
      <c r="A62" s="11"/>
      <c r="B62" s="6" t="str">
        <f t="shared" si="0"/>
        <v xml:space="preserve"> </v>
      </c>
      <c r="C62" s="20" t="s">
        <v>174</v>
      </c>
    </row>
    <row r="63" spans="1:3" ht="18" customHeight="1" x14ac:dyDescent="0.2">
      <c r="A63" s="11"/>
      <c r="B63" s="6" t="str">
        <f t="shared" si="0"/>
        <v xml:space="preserve"> </v>
      </c>
      <c r="C63" s="20" t="s">
        <v>174</v>
      </c>
    </row>
    <row r="64" spans="1:3" ht="18" customHeight="1" x14ac:dyDescent="0.2">
      <c r="A64" s="11"/>
      <c r="B64" s="6" t="str">
        <f t="shared" si="0"/>
        <v xml:space="preserve"> </v>
      </c>
      <c r="C64" s="20" t="s">
        <v>174</v>
      </c>
    </row>
    <row r="65" spans="1:3" ht="18" customHeight="1" x14ac:dyDescent="0.2">
      <c r="A65" s="11"/>
      <c r="B65" s="6" t="str">
        <f t="shared" si="0"/>
        <v xml:space="preserve"> </v>
      </c>
      <c r="C65" s="20" t="s">
        <v>174</v>
      </c>
    </row>
    <row r="66" spans="1:3" ht="18" customHeight="1" x14ac:dyDescent="0.2">
      <c r="A66" s="11"/>
      <c r="B66" s="6" t="str">
        <f t="shared" si="0"/>
        <v xml:space="preserve"> </v>
      </c>
      <c r="C66" s="20" t="s">
        <v>174</v>
      </c>
    </row>
    <row r="67" spans="1:3" ht="18" customHeight="1" x14ac:dyDescent="0.2">
      <c r="A67" s="11"/>
      <c r="B67" s="6" t="str">
        <f t="shared" ref="B67:B130" si="1">IF(ISBLANK(A67)=TRUE,B66,B66&amp;","&amp;A67)</f>
        <v xml:space="preserve"> </v>
      </c>
      <c r="C67" s="20" t="s">
        <v>174</v>
      </c>
    </row>
    <row r="68" spans="1:3" ht="18" customHeight="1" x14ac:dyDescent="0.2">
      <c r="A68" s="11"/>
      <c r="B68" s="6" t="str">
        <f t="shared" si="1"/>
        <v xml:space="preserve"> </v>
      </c>
      <c r="C68" s="20" t="s">
        <v>174</v>
      </c>
    </row>
    <row r="69" spans="1:3" ht="18" customHeight="1" x14ac:dyDescent="0.2">
      <c r="A69" s="11"/>
      <c r="B69" s="6" t="str">
        <f t="shared" si="1"/>
        <v xml:space="preserve"> </v>
      </c>
      <c r="C69" s="20" t="s">
        <v>174</v>
      </c>
    </row>
    <row r="70" spans="1:3" ht="18" customHeight="1" x14ac:dyDescent="0.2">
      <c r="A70" s="11"/>
      <c r="B70" s="6" t="str">
        <f t="shared" si="1"/>
        <v xml:space="preserve"> </v>
      </c>
      <c r="C70" s="20" t="s">
        <v>174</v>
      </c>
    </row>
    <row r="71" spans="1:3" ht="18" customHeight="1" x14ac:dyDescent="0.2">
      <c r="A71" s="11"/>
      <c r="B71" s="6" t="str">
        <f t="shared" si="1"/>
        <v xml:space="preserve"> </v>
      </c>
      <c r="C71" s="20" t="s">
        <v>174</v>
      </c>
    </row>
    <row r="72" spans="1:3" ht="18" customHeight="1" x14ac:dyDescent="0.2">
      <c r="A72" s="11"/>
      <c r="B72" s="6" t="str">
        <f t="shared" si="1"/>
        <v xml:space="preserve"> </v>
      </c>
      <c r="C72" s="20" t="s">
        <v>174</v>
      </c>
    </row>
    <row r="73" spans="1:3" ht="18" customHeight="1" x14ac:dyDescent="0.2">
      <c r="A73" s="11"/>
      <c r="B73" s="6" t="str">
        <f t="shared" si="1"/>
        <v xml:space="preserve"> </v>
      </c>
      <c r="C73" s="20" t="s">
        <v>174</v>
      </c>
    </row>
    <row r="74" spans="1:3" ht="18" customHeight="1" x14ac:dyDescent="0.2">
      <c r="A74" s="11"/>
      <c r="B74" s="6" t="str">
        <f t="shared" si="1"/>
        <v xml:space="preserve"> </v>
      </c>
      <c r="C74" s="20" t="s">
        <v>174</v>
      </c>
    </row>
    <row r="75" spans="1:3" ht="18" customHeight="1" x14ac:dyDescent="0.2">
      <c r="A75" s="11"/>
      <c r="B75" s="6" t="str">
        <f t="shared" si="1"/>
        <v xml:space="preserve"> </v>
      </c>
      <c r="C75" s="20" t="s">
        <v>174</v>
      </c>
    </row>
    <row r="76" spans="1:3" ht="18" customHeight="1" x14ac:dyDescent="0.2">
      <c r="A76" s="11"/>
      <c r="B76" s="6" t="str">
        <f t="shared" si="1"/>
        <v xml:space="preserve"> </v>
      </c>
      <c r="C76" s="20" t="s">
        <v>174</v>
      </c>
    </row>
    <row r="77" spans="1:3" ht="18" customHeight="1" x14ac:dyDescent="0.2">
      <c r="A77" s="11"/>
      <c r="B77" s="6" t="str">
        <f t="shared" si="1"/>
        <v xml:space="preserve"> </v>
      </c>
      <c r="C77" s="20" t="s">
        <v>174</v>
      </c>
    </row>
    <row r="78" spans="1:3" ht="18" customHeight="1" x14ac:dyDescent="0.2">
      <c r="A78" s="11"/>
      <c r="B78" s="6" t="str">
        <f t="shared" si="1"/>
        <v xml:space="preserve"> </v>
      </c>
      <c r="C78" s="20" t="s">
        <v>174</v>
      </c>
    </row>
    <row r="79" spans="1:3" ht="18" customHeight="1" x14ac:dyDescent="0.2">
      <c r="A79" s="11"/>
      <c r="B79" s="6" t="str">
        <f t="shared" si="1"/>
        <v xml:space="preserve"> </v>
      </c>
      <c r="C79" s="20" t="s">
        <v>174</v>
      </c>
    </row>
    <row r="80" spans="1:3" ht="18" customHeight="1" x14ac:dyDescent="0.2">
      <c r="A80" s="11"/>
      <c r="B80" s="6" t="str">
        <f t="shared" si="1"/>
        <v xml:space="preserve"> </v>
      </c>
      <c r="C80" s="20" t="s">
        <v>174</v>
      </c>
    </row>
    <row r="81" spans="1:3" ht="18" customHeight="1" x14ac:dyDescent="0.2">
      <c r="A81" s="11"/>
      <c r="B81" s="6" t="str">
        <f t="shared" si="1"/>
        <v xml:space="preserve"> </v>
      </c>
      <c r="C81" s="20" t="s">
        <v>174</v>
      </c>
    </row>
    <row r="82" spans="1:3" ht="18" customHeight="1" x14ac:dyDescent="0.2">
      <c r="A82" s="11"/>
      <c r="B82" s="6" t="str">
        <f t="shared" si="1"/>
        <v xml:space="preserve"> </v>
      </c>
      <c r="C82" s="20" t="s">
        <v>174</v>
      </c>
    </row>
    <row r="83" spans="1:3" ht="18" customHeight="1" x14ac:dyDescent="0.2">
      <c r="A83" s="11"/>
      <c r="B83" s="6" t="str">
        <f t="shared" si="1"/>
        <v xml:space="preserve"> </v>
      </c>
      <c r="C83" s="20" t="s">
        <v>174</v>
      </c>
    </row>
    <row r="84" spans="1:3" ht="18" customHeight="1" x14ac:dyDescent="0.2">
      <c r="A84" s="11"/>
      <c r="B84" s="6" t="str">
        <f t="shared" si="1"/>
        <v xml:space="preserve"> </v>
      </c>
      <c r="C84" s="20" t="s">
        <v>174</v>
      </c>
    </row>
    <row r="85" spans="1:3" ht="18" customHeight="1" x14ac:dyDescent="0.2">
      <c r="A85" s="11"/>
      <c r="B85" s="6" t="str">
        <f t="shared" si="1"/>
        <v xml:space="preserve"> </v>
      </c>
      <c r="C85" s="20" t="s">
        <v>174</v>
      </c>
    </row>
    <row r="86" spans="1:3" ht="18" customHeight="1" x14ac:dyDescent="0.2">
      <c r="A86" s="11"/>
      <c r="B86" s="6" t="str">
        <f t="shared" si="1"/>
        <v xml:space="preserve"> </v>
      </c>
      <c r="C86" s="20" t="s">
        <v>174</v>
      </c>
    </row>
    <row r="87" spans="1:3" ht="18" customHeight="1" x14ac:dyDescent="0.2">
      <c r="A87" s="11"/>
      <c r="B87" s="6" t="str">
        <f t="shared" si="1"/>
        <v xml:space="preserve"> </v>
      </c>
      <c r="C87" s="20" t="s">
        <v>174</v>
      </c>
    </row>
    <row r="88" spans="1:3" ht="18" customHeight="1" x14ac:dyDescent="0.2">
      <c r="A88" s="11"/>
      <c r="B88" s="6" t="str">
        <f t="shared" si="1"/>
        <v xml:space="preserve"> </v>
      </c>
      <c r="C88" s="20" t="s">
        <v>174</v>
      </c>
    </row>
    <row r="89" spans="1:3" ht="18" customHeight="1" x14ac:dyDescent="0.2">
      <c r="A89" s="11"/>
      <c r="B89" s="6" t="str">
        <f t="shared" si="1"/>
        <v xml:space="preserve"> </v>
      </c>
      <c r="C89" s="20" t="s">
        <v>174</v>
      </c>
    </row>
    <row r="90" spans="1:3" ht="18" customHeight="1" x14ac:dyDescent="0.2">
      <c r="A90" s="11"/>
      <c r="B90" s="6" t="str">
        <f t="shared" si="1"/>
        <v xml:space="preserve"> </v>
      </c>
      <c r="C90" s="20" t="s">
        <v>174</v>
      </c>
    </row>
    <row r="91" spans="1:3" ht="18" customHeight="1" x14ac:dyDescent="0.2">
      <c r="A91" s="11"/>
      <c r="B91" s="6" t="str">
        <f t="shared" si="1"/>
        <v xml:space="preserve"> </v>
      </c>
      <c r="C91" s="20" t="s">
        <v>174</v>
      </c>
    </row>
    <row r="92" spans="1:3" ht="18" customHeight="1" x14ac:dyDescent="0.2">
      <c r="A92" s="11"/>
      <c r="B92" s="6" t="str">
        <f t="shared" si="1"/>
        <v xml:space="preserve"> </v>
      </c>
      <c r="C92" s="20" t="s">
        <v>174</v>
      </c>
    </row>
    <row r="93" spans="1:3" ht="18" customHeight="1" x14ac:dyDescent="0.2">
      <c r="A93" s="11"/>
      <c r="B93" s="6" t="str">
        <f t="shared" si="1"/>
        <v xml:space="preserve"> </v>
      </c>
      <c r="C93" s="20" t="s">
        <v>174</v>
      </c>
    </row>
    <row r="94" spans="1:3" ht="18" customHeight="1" x14ac:dyDescent="0.2">
      <c r="A94" s="11"/>
      <c r="B94" s="6" t="str">
        <f t="shared" si="1"/>
        <v xml:space="preserve"> </v>
      </c>
      <c r="C94" s="20" t="s">
        <v>174</v>
      </c>
    </row>
    <row r="95" spans="1:3" ht="18" customHeight="1" x14ac:dyDescent="0.2">
      <c r="A95" s="11"/>
      <c r="B95" s="6" t="str">
        <f t="shared" si="1"/>
        <v xml:space="preserve"> </v>
      </c>
      <c r="C95" s="20" t="s">
        <v>174</v>
      </c>
    </row>
    <row r="96" spans="1:3" ht="18" customHeight="1" x14ac:dyDescent="0.2">
      <c r="A96" s="11"/>
      <c r="B96" s="6" t="str">
        <f t="shared" si="1"/>
        <v xml:space="preserve"> </v>
      </c>
      <c r="C96" s="20" t="s">
        <v>174</v>
      </c>
    </row>
    <row r="97" spans="1:3" ht="18" customHeight="1" x14ac:dyDescent="0.2">
      <c r="A97" s="11"/>
      <c r="B97" s="6" t="str">
        <f t="shared" si="1"/>
        <v xml:space="preserve"> </v>
      </c>
      <c r="C97" s="20" t="s">
        <v>174</v>
      </c>
    </row>
    <row r="98" spans="1:3" ht="18" customHeight="1" x14ac:dyDescent="0.2">
      <c r="A98" s="11"/>
      <c r="B98" s="6" t="str">
        <f t="shared" si="1"/>
        <v xml:space="preserve"> </v>
      </c>
      <c r="C98" s="20" t="s">
        <v>174</v>
      </c>
    </row>
    <row r="99" spans="1:3" ht="18" customHeight="1" x14ac:dyDescent="0.2">
      <c r="A99" s="11"/>
      <c r="B99" s="6" t="str">
        <f t="shared" si="1"/>
        <v xml:space="preserve"> </v>
      </c>
      <c r="C99" s="20" t="s">
        <v>174</v>
      </c>
    </row>
    <row r="100" spans="1:3" ht="18" customHeight="1" x14ac:dyDescent="0.2">
      <c r="A100" s="11"/>
      <c r="B100" s="6" t="str">
        <f t="shared" si="1"/>
        <v xml:space="preserve"> </v>
      </c>
      <c r="C100" s="20" t="s">
        <v>174</v>
      </c>
    </row>
    <row r="101" spans="1:3" ht="18" customHeight="1" x14ac:dyDescent="0.2">
      <c r="A101" s="11"/>
      <c r="B101" s="6" t="str">
        <f t="shared" si="1"/>
        <v xml:space="preserve"> </v>
      </c>
      <c r="C101" s="20" t="s">
        <v>174</v>
      </c>
    </row>
    <row r="102" spans="1:3" ht="18" customHeight="1" x14ac:dyDescent="0.2">
      <c r="A102" s="11"/>
      <c r="B102" s="6" t="str">
        <f t="shared" si="1"/>
        <v xml:space="preserve"> </v>
      </c>
      <c r="C102" s="20" t="s">
        <v>174</v>
      </c>
    </row>
    <row r="103" spans="1:3" ht="18" customHeight="1" x14ac:dyDescent="0.2">
      <c r="A103" s="11"/>
      <c r="B103" s="6" t="str">
        <f t="shared" si="1"/>
        <v xml:space="preserve"> </v>
      </c>
      <c r="C103" s="20" t="s">
        <v>174</v>
      </c>
    </row>
    <row r="104" spans="1:3" ht="18" customHeight="1" x14ac:dyDescent="0.2">
      <c r="A104" s="11"/>
      <c r="B104" s="6" t="str">
        <f t="shared" si="1"/>
        <v xml:space="preserve"> </v>
      </c>
      <c r="C104" s="20" t="s">
        <v>174</v>
      </c>
    </row>
    <row r="105" spans="1:3" ht="18" customHeight="1" x14ac:dyDescent="0.2">
      <c r="A105" s="11"/>
      <c r="B105" s="6" t="str">
        <f t="shared" si="1"/>
        <v xml:space="preserve"> </v>
      </c>
      <c r="C105" s="20" t="s">
        <v>174</v>
      </c>
    </row>
    <row r="106" spans="1:3" ht="18" customHeight="1" x14ac:dyDescent="0.2">
      <c r="A106" s="11"/>
      <c r="B106" s="6" t="str">
        <f t="shared" si="1"/>
        <v xml:space="preserve"> </v>
      </c>
      <c r="C106" s="20" t="s">
        <v>174</v>
      </c>
    </row>
    <row r="107" spans="1:3" ht="18" customHeight="1" x14ac:dyDescent="0.2">
      <c r="A107" s="11"/>
      <c r="B107" s="6" t="str">
        <f t="shared" si="1"/>
        <v xml:space="preserve"> </v>
      </c>
      <c r="C107" s="20" t="s">
        <v>174</v>
      </c>
    </row>
    <row r="108" spans="1:3" ht="18" customHeight="1" x14ac:dyDescent="0.2">
      <c r="A108" s="11"/>
      <c r="B108" s="6" t="str">
        <f t="shared" si="1"/>
        <v xml:space="preserve"> </v>
      </c>
      <c r="C108" s="20" t="s">
        <v>174</v>
      </c>
    </row>
    <row r="109" spans="1:3" ht="18" customHeight="1" x14ac:dyDescent="0.2">
      <c r="A109" s="11"/>
      <c r="B109" s="6" t="str">
        <f t="shared" si="1"/>
        <v xml:space="preserve"> </v>
      </c>
      <c r="C109" s="20" t="s">
        <v>174</v>
      </c>
    </row>
    <row r="110" spans="1:3" ht="18" customHeight="1" x14ac:dyDescent="0.2">
      <c r="A110" s="11"/>
      <c r="B110" s="6" t="str">
        <f t="shared" si="1"/>
        <v xml:space="preserve"> </v>
      </c>
      <c r="C110" s="20" t="s">
        <v>174</v>
      </c>
    </row>
    <row r="111" spans="1:3" ht="18" customHeight="1" x14ac:dyDescent="0.2">
      <c r="A111" s="11"/>
      <c r="B111" s="6" t="str">
        <f t="shared" si="1"/>
        <v xml:space="preserve"> </v>
      </c>
      <c r="C111" s="20" t="s">
        <v>174</v>
      </c>
    </row>
    <row r="112" spans="1:3" ht="18" customHeight="1" x14ac:dyDescent="0.2">
      <c r="A112" s="11"/>
      <c r="B112" s="6" t="str">
        <f t="shared" si="1"/>
        <v xml:space="preserve"> </v>
      </c>
      <c r="C112" s="20" t="s">
        <v>174</v>
      </c>
    </row>
    <row r="113" spans="1:3" ht="18" customHeight="1" x14ac:dyDescent="0.2">
      <c r="A113" s="11"/>
      <c r="B113" s="6" t="str">
        <f t="shared" si="1"/>
        <v xml:space="preserve"> </v>
      </c>
      <c r="C113" s="20" t="s">
        <v>174</v>
      </c>
    </row>
    <row r="114" spans="1:3" ht="18" customHeight="1" x14ac:dyDescent="0.2">
      <c r="A114" s="11"/>
      <c r="B114" s="6" t="str">
        <f t="shared" si="1"/>
        <v xml:space="preserve"> </v>
      </c>
      <c r="C114" s="20" t="s">
        <v>174</v>
      </c>
    </row>
    <row r="115" spans="1:3" ht="18" customHeight="1" x14ac:dyDescent="0.2">
      <c r="A115" s="11"/>
      <c r="B115" s="6" t="str">
        <f t="shared" si="1"/>
        <v xml:space="preserve"> </v>
      </c>
      <c r="C115" s="20" t="s">
        <v>174</v>
      </c>
    </row>
    <row r="116" spans="1:3" ht="18" customHeight="1" x14ac:dyDescent="0.2">
      <c r="A116" s="11"/>
      <c r="B116" s="6" t="str">
        <f t="shared" si="1"/>
        <v xml:space="preserve"> </v>
      </c>
      <c r="C116" s="20" t="s">
        <v>174</v>
      </c>
    </row>
    <row r="117" spans="1:3" ht="18" customHeight="1" x14ac:dyDescent="0.2">
      <c r="A117" s="11"/>
      <c r="B117" s="6" t="str">
        <f t="shared" si="1"/>
        <v xml:space="preserve"> </v>
      </c>
      <c r="C117" s="20" t="s">
        <v>174</v>
      </c>
    </row>
    <row r="118" spans="1:3" ht="18" customHeight="1" x14ac:dyDescent="0.2">
      <c r="A118" s="11"/>
      <c r="B118" s="6" t="str">
        <f t="shared" si="1"/>
        <v xml:space="preserve"> </v>
      </c>
      <c r="C118" s="20" t="s">
        <v>174</v>
      </c>
    </row>
    <row r="119" spans="1:3" ht="18" customHeight="1" x14ac:dyDescent="0.2">
      <c r="A119" s="11"/>
      <c r="B119" s="6" t="str">
        <f t="shared" si="1"/>
        <v xml:space="preserve"> </v>
      </c>
      <c r="C119" s="20" t="s">
        <v>174</v>
      </c>
    </row>
    <row r="120" spans="1:3" ht="18" customHeight="1" x14ac:dyDescent="0.2">
      <c r="A120" s="11"/>
      <c r="B120" s="6" t="str">
        <f t="shared" si="1"/>
        <v xml:space="preserve"> </v>
      </c>
      <c r="C120" s="20" t="s">
        <v>174</v>
      </c>
    </row>
    <row r="121" spans="1:3" ht="18" customHeight="1" x14ac:dyDescent="0.2">
      <c r="A121" s="11"/>
      <c r="B121" s="6" t="str">
        <f t="shared" si="1"/>
        <v xml:space="preserve"> </v>
      </c>
      <c r="C121" s="20" t="s">
        <v>174</v>
      </c>
    </row>
    <row r="122" spans="1:3" ht="18" customHeight="1" x14ac:dyDescent="0.2">
      <c r="A122" s="11"/>
      <c r="B122" s="6" t="str">
        <f t="shared" si="1"/>
        <v xml:space="preserve"> </v>
      </c>
      <c r="C122" s="20" t="s">
        <v>174</v>
      </c>
    </row>
    <row r="123" spans="1:3" ht="18" customHeight="1" x14ac:dyDescent="0.2">
      <c r="A123" s="11"/>
      <c r="B123" s="6" t="str">
        <f t="shared" si="1"/>
        <v xml:space="preserve"> </v>
      </c>
      <c r="C123" s="20" t="s">
        <v>174</v>
      </c>
    </row>
    <row r="124" spans="1:3" ht="18" customHeight="1" x14ac:dyDescent="0.2">
      <c r="A124" s="11"/>
      <c r="B124" s="6" t="str">
        <f t="shared" si="1"/>
        <v xml:space="preserve"> </v>
      </c>
      <c r="C124" s="20" t="s">
        <v>174</v>
      </c>
    </row>
    <row r="125" spans="1:3" ht="18" customHeight="1" x14ac:dyDescent="0.2">
      <c r="A125" s="11"/>
      <c r="B125" s="6" t="str">
        <f t="shared" si="1"/>
        <v xml:space="preserve"> </v>
      </c>
      <c r="C125" s="20" t="s">
        <v>174</v>
      </c>
    </row>
    <row r="126" spans="1:3" ht="18" customHeight="1" x14ac:dyDescent="0.2">
      <c r="A126" s="11"/>
      <c r="B126" s="6" t="str">
        <f t="shared" si="1"/>
        <v xml:space="preserve"> </v>
      </c>
      <c r="C126" s="20" t="s">
        <v>174</v>
      </c>
    </row>
    <row r="127" spans="1:3" ht="18" customHeight="1" x14ac:dyDescent="0.2">
      <c r="A127" s="11"/>
      <c r="B127" s="6" t="str">
        <f t="shared" si="1"/>
        <v xml:space="preserve"> </v>
      </c>
      <c r="C127" s="20" t="s">
        <v>174</v>
      </c>
    </row>
    <row r="128" spans="1:3" ht="18" customHeight="1" x14ac:dyDescent="0.2">
      <c r="A128" s="11"/>
      <c r="B128" s="6" t="str">
        <f t="shared" si="1"/>
        <v xml:space="preserve"> </v>
      </c>
      <c r="C128" s="20" t="s">
        <v>174</v>
      </c>
    </row>
    <row r="129" spans="1:3" ht="18" customHeight="1" x14ac:dyDescent="0.2">
      <c r="A129" s="3"/>
      <c r="B129" s="6" t="str">
        <f t="shared" si="1"/>
        <v xml:space="preserve"> </v>
      </c>
      <c r="C129" s="20" t="s">
        <v>174</v>
      </c>
    </row>
    <row r="130" spans="1:3" ht="18" customHeight="1" x14ac:dyDescent="0.2">
      <c r="A130" s="3"/>
      <c r="B130" s="6" t="str">
        <f t="shared" si="1"/>
        <v xml:space="preserve"> </v>
      </c>
      <c r="C130" s="20" t="s">
        <v>174</v>
      </c>
    </row>
    <row r="131" spans="1:3" ht="18" customHeight="1" x14ac:dyDescent="0.2">
      <c r="A131" s="3"/>
      <c r="B131" s="6" t="str">
        <f t="shared" ref="B131:B194" si="2">IF(ISBLANK(A131)=TRUE,B130,B130&amp;","&amp;A131)</f>
        <v xml:space="preserve"> </v>
      </c>
      <c r="C131" s="20" t="s">
        <v>174</v>
      </c>
    </row>
    <row r="132" spans="1:3" ht="18" customHeight="1" x14ac:dyDescent="0.2">
      <c r="A132" s="3"/>
      <c r="B132" s="6" t="str">
        <f t="shared" si="2"/>
        <v xml:space="preserve"> </v>
      </c>
      <c r="C132" s="20" t="s">
        <v>174</v>
      </c>
    </row>
    <row r="133" spans="1:3" ht="18" customHeight="1" x14ac:dyDescent="0.2">
      <c r="A133" s="3"/>
      <c r="B133" s="6" t="str">
        <f t="shared" si="2"/>
        <v xml:space="preserve"> </v>
      </c>
      <c r="C133" s="20" t="s">
        <v>174</v>
      </c>
    </row>
    <row r="134" spans="1:3" ht="18" customHeight="1" x14ac:dyDescent="0.2">
      <c r="A134" s="3"/>
      <c r="B134" s="6" t="str">
        <f t="shared" si="2"/>
        <v xml:space="preserve"> </v>
      </c>
      <c r="C134" s="20" t="s">
        <v>174</v>
      </c>
    </row>
    <row r="135" spans="1:3" ht="18" customHeight="1" x14ac:dyDescent="0.2">
      <c r="A135" s="3"/>
      <c r="B135" s="6" t="str">
        <f t="shared" si="2"/>
        <v xml:space="preserve"> </v>
      </c>
      <c r="C135" s="20" t="s">
        <v>174</v>
      </c>
    </row>
    <row r="136" spans="1:3" ht="18" customHeight="1" x14ac:dyDescent="0.2">
      <c r="A136" s="3"/>
      <c r="B136" s="6" t="str">
        <f t="shared" si="2"/>
        <v xml:space="preserve"> </v>
      </c>
      <c r="C136" s="20" t="s">
        <v>174</v>
      </c>
    </row>
    <row r="137" spans="1:3" ht="18" customHeight="1" x14ac:dyDescent="0.2">
      <c r="A137" s="3"/>
      <c r="B137" s="6" t="str">
        <f t="shared" si="2"/>
        <v xml:space="preserve"> </v>
      </c>
      <c r="C137" s="20" t="s">
        <v>174</v>
      </c>
    </row>
    <row r="138" spans="1:3" ht="18" customHeight="1" x14ac:dyDescent="0.2">
      <c r="A138" s="3"/>
      <c r="B138" s="6" t="str">
        <f t="shared" si="2"/>
        <v xml:space="preserve"> </v>
      </c>
      <c r="C138" s="20" t="s">
        <v>174</v>
      </c>
    </row>
    <row r="139" spans="1:3" ht="18" customHeight="1" x14ac:dyDescent="0.2">
      <c r="A139" s="3"/>
      <c r="B139" s="6" t="str">
        <f t="shared" si="2"/>
        <v xml:space="preserve"> </v>
      </c>
      <c r="C139" s="20" t="s">
        <v>174</v>
      </c>
    </row>
    <row r="140" spans="1:3" ht="18" customHeight="1" x14ac:dyDescent="0.2">
      <c r="A140" s="3"/>
      <c r="B140" s="6" t="str">
        <f t="shared" si="2"/>
        <v xml:space="preserve"> </v>
      </c>
      <c r="C140" s="20" t="s">
        <v>174</v>
      </c>
    </row>
    <row r="141" spans="1:3" ht="18" customHeight="1" x14ac:dyDescent="0.2">
      <c r="A141" s="3"/>
      <c r="B141" s="6" t="str">
        <f t="shared" si="2"/>
        <v xml:space="preserve"> </v>
      </c>
      <c r="C141" s="20" t="s">
        <v>174</v>
      </c>
    </row>
    <row r="142" spans="1:3" ht="18" customHeight="1" x14ac:dyDescent="0.2">
      <c r="A142" s="3"/>
      <c r="B142" s="6" t="str">
        <f t="shared" si="2"/>
        <v xml:space="preserve"> </v>
      </c>
      <c r="C142" s="20" t="s">
        <v>174</v>
      </c>
    </row>
    <row r="143" spans="1:3" ht="18" customHeight="1" x14ac:dyDescent="0.2">
      <c r="A143" s="3"/>
      <c r="B143" s="6" t="str">
        <f t="shared" si="2"/>
        <v xml:space="preserve"> </v>
      </c>
      <c r="C143" s="20" t="s">
        <v>174</v>
      </c>
    </row>
    <row r="144" spans="1:3" ht="18" customHeight="1" x14ac:dyDescent="0.2">
      <c r="A144" s="3"/>
      <c r="B144" s="6" t="str">
        <f t="shared" si="2"/>
        <v xml:space="preserve"> </v>
      </c>
      <c r="C144" s="20" t="s">
        <v>174</v>
      </c>
    </row>
    <row r="145" spans="1:3" ht="18" customHeight="1" x14ac:dyDescent="0.2">
      <c r="A145" s="3"/>
      <c r="B145" s="6" t="str">
        <f t="shared" si="2"/>
        <v xml:space="preserve"> </v>
      </c>
      <c r="C145" s="20" t="s">
        <v>174</v>
      </c>
    </row>
    <row r="146" spans="1:3" ht="18" customHeight="1" x14ac:dyDescent="0.2">
      <c r="A146" s="3"/>
      <c r="B146" s="6" t="str">
        <f t="shared" si="2"/>
        <v xml:space="preserve"> </v>
      </c>
      <c r="C146" s="20" t="s">
        <v>174</v>
      </c>
    </row>
    <row r="147" spans="1:3" ht="18" customHeight="1" x14ac:dyDescent="0.2">
      <c r="A147" s="3"/>
      <c r="B147" s="6" t="str">
        <f t="shared" si="2"/>
        <v xml:space="preserve"> </v>
      </c>
      <c r="C147" s="20" t="s">
        <v>174</v>
      </c>
    </row>
    <row r="148" spans="1:3" ht="18" customHeight="1" x14ac:dyDescent="0.2">
      <c r="A148" s="3"/>
      <c r="B148" s="6" t="str">
        <f t="shared" si="2"/>
        <v xml:space="preserve"> </v>
      </c>
      <c r="C148" s="20" t="s">
        <v>174</v>
      </c>
    </row>
    <row r="149" spans="1:3" ht="18" customHeight="1" x14ac:dyDescent="0.2">
      <c r="A149" s="3"/>
      <c r="B149" s="6" t="str">
        <f t="shared" si="2"/>
        <v xml:space="preserve"> </v>
      </c>
      <c r="C149" s="20" t="s">
        <v>174</v>
      </c>
    </row>
    <row r="150" spans="1:3" ht="18" customHeight="1" x14ac:dyDescent="0.2">
      <c r="A150" s="3"/>
      <c r="B150" s="6" t="str">
        <f t="shared" si="2"/>
        <v xml:space="preserve"> </v>
      </c>
      <c r="C150" s="20" t="s">
        <v>174</v>
      </c>
    </row>
    <row r="151" spans="1:3" ht="18" customHeight="1" x14ac:dyDescent="0.2">
      <c r="A151" s="3"/>
      <c r="B151" s="6" t="str">
        <f t="shared" si="2"/>
        <v xml:space="preserve"> </v>
      </c>
      <c r="C151" s="20" t="s">
        <v>174</v>
      </c>
    </row>
    <row r="152" spans="1:3" ht="18" customHeight="1" x14ac:dyDescent="0.2">
      <c r="A152" s="3"/>
      <c r="B152" s="6" t="str">
        <f t="shared" si="2"/>
        <v xml:space="preserve"> </v>
      </c>
      <c r="C152" s="20" t="s">
        <v>174</v>
      </c>
    </row>
    <row r="153" spans="1:3" ht="18" customHeight="1" x14ac:dyDescent="0.2">
      <c r="A153" s="3"/>
      <c r="B153" s="6" t="str">
        <f t="shared" si="2"/>
        <v xml:space="preserve"> </v>
      </c>
      <c r="C153" s="20" t="s">
        <v>174</v>
      </c>
    </row>
    <row r="154" spans="1:3" ht="18" customHeight="1" x14ac:dyDescent="0.2">
      <c r="A154" s="3"/>
      <c r="B154" s="6" t="str">
        <f t="shared" si="2"/>
        <v xml:space="preserve"> </v>
      </c>
      <c r="C154" s="20" t="s">
        <v>174</v>
      </c>
    </row>
    <row r="155" spans="1:3" ht="18" customHeight="1" x14ac:dyDescent="0.2">
      <c r="A155" s="3"/>
      <c r="B155" s="6" t="str">
        <f t="shared" si="2"/>
        <v xml:space="preserve"> </v>
      </c>
      <c r="C155" s="20" t="s">
        <v>174</v>
      </c>
    </row>
    <row r="156" spans="1:3" ht="18" customHeight="1" x14ac:dyDescent="0.2">
      <c r="A156" s="3"/>
      <c r="B156" s="6" t="str">
        <f t="shared" si="2"/>
        <v xml:space="preserve"> </v>
      </c>
      <c r="C156" s="20" t="s">
        <v>174</v>
      </c>
    </row>
    <row r="157" spans="1:3" ht="18" customHeight="1" x14ac:dyDescent="0.2">
      <c r="A157" s="3"/>
      <c r="B157" s="6" t="str">
        <f t="shared" si="2"/>
        <v xml:space="preserve"> </v>
      </c>
      <c r="C157" s="20" t="s">
        <v>174</v>
      </c>
    </row>
    <row r="158" spans="1:3" ht="18" customHeight="1" x14ac:dyDescent="0.2">
      <c r="A158" s="3"/>
      <c r="B158" s="6" t="str">
        <f t="shared" si="2"/>
        <v xml:space="preserve"> </v>
      </c>
      <c r="C158" s="20" t="s">
        <v>174</v>
      </c>
    </row>
    <row r="159" spans="1:3" ht="18" customHeight="1" x14ac:dyDescent="0.2">
      <c r="A159" s="3"/>
      <c r="B159" s="6" t="str">
        <f t="shared" si="2"/>
        <v xml:space="preserve"> </v>
      </c>
      <c r="C159" s="20" t="s">
        <v>174</v>
      </c>
    </row>
    <row r="160" spans="1:3" ht="18" customHeight="1" x14ac:dyDescent="0.2">
      <c r="A160" s="3"/>
      <c r="B160" s="6" t="str">
        <f t="shared" si="2"/>
        <v xml:space="preserve"> </v>
      </c>
      <c r="C160" s="20" t="s">
        <v>174</v>
      </c>
    </row>
    <row r="161" spans="1:3" ht="18" customHeight="1" x14ac:dyDescent="0.2">
      <c r="A161" s="3"/>
      <c r="B161" s="6" t="str">
        <f t="shared" si="2"/>
        <v xml:space="preserve"> </v>
      </c>
      <c r="C161" s="20" t="s">
        <v>174</v>
      </c>
    </row>
    <row r="162" spans="1:3" ht="18" customHeight="1" x14ac:dyDescent="0.2">
      <c r="A162" s="3"/>
      <c r="B162" s="6" t="str">
        <f t="shared" si="2"/>
        <v xml:space="preserve"> </v>
      </c>
      <c r="C162" s="20" t="s">
        <v>174</v>
      </c>
    </row>
    <row r="163" spans="1:3" ht="18" customHeight="1" x14ac:dyDescent="0.2">
      <c r="A163" s="3"/>
      <c r="B163" s="6" t="str">
        <f t="shared" si="2"/>
        <v xml:space="preserve"> </v>
      </c>
      <c r="C163" s="20" t="s">
        <v>174</v>
      </c>
    </row>
    <row r="164" spans="1:3" ht="18" customHeight="1" x14ac:dyDescent="0.2">
      <c r="A164" s="3"/>
      <c r="B164" s="6" t="str">
        <f t="shared" si="2"/>
        <v xml:space="preserve"> </v>
      </c>
      <c r="C164" s="20" t="s">
        <v>174</v>
      </c>
    </row>
    <row r="165" spans="1:3" ht="18" customHeight="1" x14ac:dyDescent="0.2">
      <c r="A165" s="3"/>
      <c r="B165" s="6" t="str">
        <f t="shared" si="2"/>
        <v xml:space="preserve"> </v>
      </c>
      <c r="C165" s="20" t="s">
        <v>174</v>
      </c>
    </row>
    <row r="166" spans="1:3" ht="18" customHeight="1" x14ac:dyDescent="0.2">
      <c r="A166" s="3"/>
      <c r="B166" s="6" t="str">
        <f t="shared" si="2"/>
        <v xml:space="preserve"> </v>
      </c>
      <c r="C166" s="20" t="s">
        <v>174</v>
      </c>
    </row>
    <row r="167" spans="1:3" ht="18" customHeight="1" x14ac:dyDescent="0.2">
      <c r="A167" s="3"/>
      <c r="B167" s="6" t="str">
        <f t="shared" si="2"/>
        <v xml:space="preserve"> </v>
      </c>
      <c r="C167" s="20" t="s">
        <v>174</v>
      </c>
    </row>
    <row r="168" spans="1:3" ht="18" customHeight="1" x14ac:dyDescent="0.2">
      <c r="A168" s="3"/>
      <c r="B168" s="6" t="str">
        <f t="shared" si="2"/>
        <v xml:space="preserve"> </v>
      </c>
      <c r="C168" s="20" t="s">
        <v>174</v>
      </c>
    </row>
    <row r="169" spans="1:3" ht="18" customHeight="1" x14ac:dyDescent="0.2">
      <c r="A169" s="3"/>
      <c r="B169" s="6" t="str">
        <f t="shared" si="2"/>
        <v xml:space="preserve"> </v>
      </c>
      <c r="C169" s="20" t="s">
        <v>174</v>
      </c>
    </row>
    <row r="170" spans="1:3" ht="18" customHeight="1" x14ac:dyDescent="0.2">
      <c r="A170" s="3"/>
      <c r="B170" s="6" t="str">
        <f t="shared" si="2"/>
        <v xml:space="preserve"> </v>
      </c>
      <c r="C170" s="20" t="s">
        <v>174</v>
      </c>
    </row>
    <row r="171" spans="1:3" ht="18" customHeight="1" x14ac:dyDescent="0.2">
      <c r="A171" s="3"/>
      <c r="B171" s="6" t="str">
        <f t="shared" si="2"/>
        <v xml:space="preserve"> </v>
      </c>
      <c r="C171" s="20" t="s">
        <v>174</v>
      </c>
    </row>
    <row r="172" spans="1:3" ht="18" customHeight="1" x14ac:dyDescent="0.2">
      <c r="A172" s="3"/>
      <c r="B172" s="6" t="str">
        <f t="shared" si="2"/>
        <v xml:space="preserve"> </v>
      </c>
      <c r="C172" s="20" t="s">
        <v>174</v>
      </c>
    </row>
    <row r="173" spans="1:3" ht="18" customHeight="1" x14ac:dyDescent="0.2">
      <c r="A173" s="3"/>
      <c r="B173" s="6" t="str">
        <f t="shared" si="2"/>
        <v xml:space="preserve"> </v>
      </c>
      <c r="C173" s="20" t="s">
        <v>174</v>
      </c>
    </row>
    <row r="174" spans="1:3" ht="18" customHeight="1" x14ac:dyDescent="0.2">
      <c r="A174" s="3"/>
      <c r="B174" s="6" t="str">
        <f t="shared" si="2"/>
        <v xml:space="preserve"> </v>
      </c>
      <c r="C174" s="20" t="s">
        <v>174</v>
      </c>
    </row>
    <row r="175" spans="1:3" ht="18" customHeight="1" x14ac:dyDescent="0.2">
      <c r="A175" s="3"/>
      <c r="B175" s="6" t="str">
        <f t="shared" si="2"/>
        <v xml:space="preserve"> </v>
      </c>
      <c r="C175" s="20" t="s">
        <v>174</v>
      </c>
    </row>
    <row r="176" spans="1:3" ht="18" customHeight="1" x14ac:dyDescent="0.2">
      <c r="A176" s="3"/>
      <c r="B176" s="6" t="str">
        <f t="shared" si="2"/>
        <v xml:space="preserve"> </v>
      </c>
      <c r="C176" s="20" t="s">
        <v>174</v>
      </c>
    </row>
    <row r="177" spans="1:3" ht="18" customHeight="1" x14ac:dyDescent="0.2">
      <c r="A177" s="3"/>
      <c r="B177" s="6" t="str">
        <f t="shared" si="2"/>
        <v xml:space="preserve"> </v>
      </c>
      <c r="C177" s="20" t="s">
        <v>174</v>
      </c>
    </row>
    <row r="178" spans="1:3" ht="18" customHeight="1" x14ac:dyDescent="0.2">
      <c r="A178" s="3"/>
      <c r="B178" s="6" t="str">
        <f t="shared" si="2"/>
        <v xml:space="preserve"> </v>
      </c>
      <c r="C178" s="20" t="s">
        <v>174</v>
      </c>
    </row>
    <row r="179" spans="1:3" ht="18" customHeight="1" x14ac:dyDescent="0.2">
      <c r="A179" s="3"/>
      <c r="B179" s="6" t="str">
        <f t="shared" si="2"/>
        <v xml:space="preserve"> </v>
      </c>
      <c r="C179" s="20" t="s">
        <v>174</v>
      </c>
    </row>
    <row r="180" spans="1:3" ht="18" customHeight="1" x14ac:dyDescent="0.2">
      <c r="A180" s="3"/>
      <c r="B180" s="6" t="str">
        <f t="shared" si="2"/>
        <v xml:space="preserve"> </v>
      </c>
      <c r="C180" s="20" t="s">
        <v>174</v>
      </c>
    </row>
    <row r="181" spans="1:3" ht="18" customHeight="1" x14ac:dyDescent="0.2">
      <c r="A181" s="3"/>
      <c r="B181" s="6" t="str">
        <f t="shared" si="2"/>
        <v xml:space="preserve"> </v>
      </c>
      <c r="C181" s="20" t="s">
        <v>174</v>
      </c>
    </row>
    <row r="182" spans="1:3" ht="18" customHeight="1" x14ac:dyDescent="0.2">
      <c r="A182" s="3"/>
      <c r="B182" s="6" t="str">
        <f t="shared" si="2"/>
        <v xml:space="preserve"> </v>
      </c>
      <c r="C182" s="20" t="s">
        <v>174</v>
      </c>
    </row>
    <row r="183" spans="1:3" ht="18" customHeight="1" x14ac:dyDescent="0.2">
      <c r="A183" s="3"/>
      <c r="B183" s="6" t="str">
        <f t="shared" si="2"/>
        <v xml:space="preserve"> </v>
      </c>
      <c r="C183" s="20" t="s">
        <v>174</v>
      </c>
    </row>
    <row r="184" spans="1:3" ht="18" customHeight="1" x14ac:dyDescent="0.2">
      <c r="A184" s="3"/>
      <c r="B184" s="6" t="str">
        <f t="shared" si="2"/>
        <v xml:space="preserve"> </v>
      </c>
      <c r="C184" s="20" t="s">
        <v>174</v>
      </c>
    </row>
    <row r="185" spans="1:3" ht="18" customHeight="1" x14ac:dyDescent="0.2">
      <c r="A185" s="3"/>
      <c r="B185" s="6" t="str">
        <f t="shared" si="2"/>
        <v xml:space="preserve"> </v>
      </c>
      <c r="C185" s="20" t="s">
        <v>174</v>
      </c>
    </row>
    <row r="186" spans="1:3" ht="18" customHeight="1" x14ac:dyDescent="0.2">
      <c r="A186" s="3"/>
      <c r="B186" s="6" t="str">
        <f t="shared" si="2"/>
        <v xml:space="preserve"> </v>
      </c>
      <c r="C186" s="20" t="s">
        <v>174</v>
      </c>
    </row>
    <row r="187" spans="1:3" ht="18" customHeight="1" x14ac:dyDescent="0.2">
      <c r="A187" s="3"/>
      <c r="B187" s="6" t="str">
        <f t="shared" si="2"/>
        <v xml:space="preserve"> </v>
      </c>
      <c r="C187" s="20" t="s">
        <v>174</v>
      </c>
    </row>
    <row r="188" spans="1:3" ht="18" customHeight="1" x14ac:dyDescent="0.2">
      <c r="A188" s="3"/>
      <c r="B188" s="6" t="str">
        <f t="shared" si="2"/>
        <v xml:space="preserve"> </v>
      </c>
      <c r="C188" s="20" t="s">
        <v>174</v>
      </c>
    </row>
    <row r="189" spans="1:3" ht="18" customHeight="1" x14ac:dyDescent="0.2">
      <c r="A189" s="3"/>
      <c r="B189" s="6" t="str">
        <f t="shared" si="2"/>
        <v xml:space="preserve"> </v>
      </c>
      <c r="C189" s="20" t="s">
        <v>174</v>
      </c>
    </row>
    <row r="190" spans="1:3" ht="18" customHeight="1" x14ac:dyDescent="0.2">
      <c r="A190" s="3"/>
      <c r="B190" s="6" t="str">
        <f t="shared" si="2"/>
        <v xml:space="preserve"> </v>
      </c>
      <c r="C190" s="20" t="s">
        <v>174</v>
      </c>
    </row>
    <row r="191" spans="1:3" ht="18" customHeight="1" x14ac:dyDescent="0.2">
      <c r="A191" s="3"/>
      <c r="B191" s="6" t="str">
        <f t="shared" si="2"/>
        <v xml:space="preserve"> </v>
      </c>
      <c r="C191" s="20" t="s">
        <v>174</v>
      </c>
    </row>
    <row r="192" spans="1:3" ht="18" customHeight="1" x14ac:dyDescent="0.2">
      <c r="A192" s="3"/>
      <c r="B192" s="6" t="str">
        <f t="shared" si="2"/>
        <v xml:space="preserve"> </v>
      </c>
      <c r="C192" s="20" t="s">
        <v>174</v>
      </c>
    </row>
    <row r="193" spans="1:3" ht="18" customHeight="1" x14ac:dyDescent="0.2">
      <c r="A193" s="3"/>
      <c r="B193" s="6" t="str">
        <f t="shared" si="2"/>
        <v xml:space="preserve"> </v>
      </c>
      <c r="C193" s="20" t="s">
        <v>174</v>
      </c>
    </row>
    <row r="194" spans="1:3" ht="18" customHeight="1" x14ac:dyDescent="0.2">
      <c r="A194" s="3"/>
      <c r="B194" s="6" t="str">
        <f t="shared" si="2"/>
        <v xml:space="preserve"> </v>
      </c>
      <c r="C194" s="20" t="s">
        <v>174</v>
      </c>
    </row>
    <row r="195" spans="1:3" ht="18" customHeight="1" x14ac:dyDescent="0.2">
      <c r="A195" s="3"/>
      <c r="B195" s="6" t="str">
        <f t="shared" ref="B195:B258" si="3">IF(ISBLANK(A195)=TRUE,B194,B194&amp;","&amp;A195)</f>
        <v xml:space="preserve"> </v>
      </c>
      <c r="C195" s="20" t="s">
        <v>174</v>
      </c>
    </row>
    <row r="196" spans="1:3" ht="18" customHeight="1" x14ac:dyDescent="0.2">
      <c r="A196" s="3"/>
      <c r="B196" s="6" t="str">
        <f t="shared" si="3"/>
        <v xml:space="preserve"> </v>
      </c>
      <c r="C196" s="20" t="s">
        <v>174</v>
      </c>
    </row>
    <row r="197" spans="1:3" ht="18" customHeight="1" x14ac:dyDescent="0.2">
      <c r="A197" s="3"/>
      <c r="B197" s="6" t="str">
        <f t="shared" si="3"/>
        <v xml:space="preserve"> </v>
      </c>
      <c r="C197" s="20" t="s">
        <v>174</v>
      </c>
    </row>
    <row r="198" spans="1:3" ht="18" customHeight="1" x14ac:dyDescent="0.2">
      <c r="A198" s="3"/>
      <c r="B198" s="6" t="str">
        <f t="shared" si="3"/>
        <v xml:space="preserve"> </v>
      </c>
      <c r="C198" s="20" t="s">
        <v>174</v>
      </c>
    </row>
    <row r="199" spans="1:3" ht="18" customHeight="1" x14ac:dyDescent="0.2">
      <c r="A199" s="3"/>
      <c r="B199" s="6" t="str">
        <f t="shared" si="3"/>
        <v xml:space="preserve"> </v>
      </c>
      <c r="C199" s="20" t="s">
        <v>174</v>
      </c>
    </row>
    <row r="200" spans="1:3" ht="18" customHeight="1" x14ac:dyDescent="0.2">
      <c r="A200" s="3"/>
      <c r="B200" s="6" t="str">
        <f t="shared" si="3"/>
        <v xml:space="preserve"> </v>
      </c>
      <c r="C200" s="20" t="s">
        <v>174</v>
      </c>
    </row>
    <row r="201" spans="1:3" ht="18" customHeight="1" x14ac:dyDescent="0.2">
      <c r="A201" s="3"/>
      <c r="B201" s="6" t="str">
        <f t="shared" si="3"/>
        <v xml:space="preserve"> </v>
      </c>
      <c r="C201" s="20" t="s">
        <v>174</v>
      </c>
    </row>
    <row r="202" spans="1:3" ht="18" customHeight="1" x14ac:dyDescent="0.2">
      <c r="A202" s="3"/>
      <c r="B202" s="6" t="str">
        <f t="shared" si="3"/>
        <v xml:space="preserve"> </v>
      </c>
      <c r="C202" s="20" t="s">
        <v>174</v>
      </c>
    </row>
    <row r="203" spans="1:3" ht="18" customHeight="1" x14ac:dyDescent="0.2">
      <c r="A203" s="3"/>
      <c r="B203" s="6" t="str">
        <f t="shared" si="3"/>
        <v xml:space="preserve"> </v>
      </c>
      <c r="C203" s="20" t="s">
        <v>174</v>
      </c>
    </row>
    <row r="204" spans="1:3" ht="18" customHeight="1" x14ac:dyDescent="0.2">
      <c r="A204" s="3"/>
      <c r="B204" s="6" t="str">
        <f t="shared" si="3"/>
        <v xml:space="preserve"> </v>
      </c>
      <c r="C204" s="20" t="s">
        <v>174</v>
      </c>
    </row>
    <row r="205" spans="1:3" ht="18" customHeight="1" x14ac:dyDescent="0.2">
      <c r="A205" s="3"/>
      <c r="B205" s="6" t="str">
        <f t="shared" si="3"/>
        <v xml:space="preserve"> </v>
      </c>
      <c r="C205" s="20" t="s">
        <v>174</v>
      </c>
    </row>
    <row r="206" spans="1:3" ht="18" customHeight="1" x14ac:dyDescent="0.2">
      <c r="A206" s="3"/>
      <c r="B206" s="6" t="str">
        <f t="shared" si="3"/>
        <v xml:space="preserve"> </v>
      </c>
      <c r="C206" s="20" t="s">
        <v>174</v>
      </c>
    </row>
    <row r="207" spans="1:3" ht="18" customHeight="1" x14ac:dyDescent="0.2">
      <c r="A207" s="3"/>
      <c r="B207" s="6" t="str">
        <f t="shared" si="3"/>
        <v xml:space="preserve"> </v>
      </c>
      <c r="C207" s="20" t="s">
        <v>174</v>
      </c>
    </row>
    <row r="208" spans="1:3" ht="18" customHeight="1" x14ac:dyDescent="0.2">
      <c r="A208" s="3"/>
      <c r="B208" s="6" t="str">
        <f t="shared" si="3"/>
        <v xml:space="preserve"> </v>
      </c>
      <c r="C208" s="20" t="s">
        <v>174</v>
      </c>
    </row>
    <row r="209" spans="1:3" ht="18" customHeight="1" x14ac:dyDescent="0.2">
      <c r="A209" s="3"/>
      <c r="B209" s="6" t="str">
        <f t="shared" si="3"/>
        <v xml:space="preserve"> </v>
      </c>
      <c r="C209" s="20" t="s">
        <v>174</v>
      </c>
    </row>
    <row r="210" spans="1:3" ht="18" customHeight="1" x14ac:dyDescent="0.2">
      <c r="A210" s="3"/>
      <c r="B210" s="6" t="str">
        <f t="shared" si="3"/>
        <v xml:space="preserve"> </v>
      </c>
      <c r="C210" s="20" t="s">
        <v>174</v>
      </c>
    </row>
    <row r="211" spans="1:3" ht="18" customHeight="1" x14ac:dyDescent="0.2">
      <c r="A211" s="3"/>
      <c r="B211" s="6" t="str">
        <f t="shared" si="3"/>
        <v xml:space="preserve"> </v>
      </c>
      <c r="C211" s="20" t="s">
        <v>174</v>
      </c>
    </row>
    <row r="212" spans="1:3" ht="18" customHeight="1" x14ac:dyDescent="0.2">
      <c r="A212" s="3"/>
      <c r="B212" s="6" t="str">
        <f t="shared" si="3"/>
        <v xml:space="preserve"> </v>
      </c>
      <c r="C212" s="20" t="s">
        <v>174</v>
      </c>
    </row>
    <row r="213" spans="1:3" ht="18" customHeight="1" x14ac:dyDescent="0.2">
      <c r="A213" s="3"/>
      <c r="B213" s="6" t="str">
        <f t="shared" si="3"/>
        <v xml:space="preserve"> </v>
      </c>
      <c r="C213" s="20" t="s">
        <v>174</v>
      </c>
    </row>
    <row r="214" spans="1:3" ht="18" customHeight="1" x14ac:dyDescent="0.2">
      <c r="A214" s="3"/>
      <c r="B214" s="6" t="str">
        <f t="shared" si="3"/>
        <v xml:space="preserve"> </v>
      </c>
      <c r="C214" s="20" t="s">
        <v>174</v>
      </c>
    </row>
    <row r="215" spans="1:3" ht="18" customHeight="1" x14ac:dyDescent="0.2">
      <c r="A215" s="3"/>
      <c r="B215" s="6" t="str">
        <f t="shared" si="3"/>
        <v xml:space="preserve"> </v>
      </c>
      <c r="C215" s="20" t="s">
        <v>174</v>
      </c>
    </row>
    <row r="216" spans="1:3" ht="18" customHeight="1" x14ac:dyDescent="0.2">
      <c r="A216" s="3"/>
      <c r="B216" s="6" t="str">
        <f t="shared" si="3"/>
        <v xml:space="preserve"> </v>
      </c>
      <c r="C216" s="20" t="s">
        <v>174</v>
      </c>
    </row>
    <row r="217" spans="1:3" ht="18" customHeight="1" x14ac:dyDescent="0.2">
      <c r="A217" s="3"/>
      <c r="B217" s="6" t="str">
        <f t="shared" si="3"/>
        <v xml:space="preserve"> </v>
      </c>
      <c r="C217" s="20" t="s">
        <v>174</v>
      </c>
    </row>
    <row r="218" spans="1:3" ht="18" customHeight="1" x14ac:dyDescent="0.2">
      <c r="A218" s="3"/>
      <c r="B218" s="6" t="str">
        <f t="shared" si="3"/>
        <v xml:space="preserve"> </v>
      </c>
      <c r="C218" s="20" t="s">
        <v>174</v>
      </c>
    </row>
    <row r="219" spans="1:3" ht="18" customHeight="1" x14ac:dyDescent="0.2">
      <c r="A219" s="3"/>
      <c r="B219" s="6" t="str">
        <f t="shared" si="3"/>
        <v xml:space="preserve"> </v>
      </c>
      <c r="C219" s="20" t="s">
        <v>174</v>
      </c>
    </row>
    <row r="220" spans="1:3" ht="18" customHeight="1" x14ac:dyDescent="0.2">
      <c r="A220" s="3"/>
      <c r="B220" s="6" t="str">
        <f t="shared" si="3"/>
        <v xml:space="preserve"> </v>
      </c>
      <c r="C220" s="20" t="s">
        <v>174</v>
      </c>
    </row>
    <row r="221" spans="1:3" ht="18" customHeight="1" x14ac:dyDescent="0.2">
      <c r="A221" s="3"/>
      <c r="B221" s="6" t="str">
        <f t="shared" si="3"/>
        <v xml:space="preserve"> </v>
      </c>
      <c r="C221" s="20" t="s">
        <v>174</v>
      </c>
    </row>
    <row r="222" spans="1:3" ht="18" customHeight="1" x14ac:dyDescent="0.2">
      <c r="A222" s="3"/>
      <c r="B222" s="6" t="str">
        <f t="shared" si="3"/>
        <v xml:space="preserve"> </v>
      </c>
      <c r="C222" s="20" t="s">
        <v>174</v>
      </c>
    </row>
    <row r="223" spans="1:3" ht="18" customHeight="1" x14ac:dyDescent="0.2">
      <c r="A223" s="3"/>
      <c r="B223" s="6" t="str">
        <f t="shared" si="3"/>
        <v xml:space="preserve"> </v>
      </c>
      <c r="C223" s="20" t="s">
        <v>174</v>
      </c>
    </row>
    <row r="224" spans="1:3" ht="18" customHeight="1" x14ac:dyDescent="0.2">
      <c r="A224" s="3"/>
      <c r="B224" s="6" t="str">
        <f t="shared" si="3"/>
        <v xml:space="preserve"> </v>
      </c>
      <c r="C224" s="20" t="s">
        <v>174</v>
      </c>
    </row>
    <row r="225" spans="1:3" ht="18" customHeight="1" x14ac:dyDescent="0.2">
      <c r="A225" s="3"/>
      <c r="B225" s="6" t="str">
        <f t="shared" si="3"/>
        <v xml:space="preserve"> </v>
      </c>
      <c r="C225" s="20" t="s">
        <v>174</v>
      </c>
    </row>
    <row r="226" spans="1:3" ht="18" customHeight="1" x14ac:dyDescent="0.2">
      <c r="A226" s="3"/>
      <c r="B226" s="6" t="str">
        <f t="shared" si="3"/>
        <v xml:space="preserve"> </v>
      </c>
      <c r="C226" s="20" t="s">
        <v>174</v>
      </c>
    </row>
    <row r="227" spans="1:3" ht="18" customHeight="1" x14ac:dyDescent="0.2">
      <c r="A227" s="3"/>
      <c r="B227" s="6" t="str">
        <f t="shared" si="3"/>
        <v xml:space="preserve"> </v>
      </c>
      <c r="C227" s="20" t="s">
        <v>174</v>
      </c>
    </row>
    <row r="228" spans="1:3" ht="18" customHeight="1" x14ac:dyDescent="0.2">
      <c r="A228" s="3"/>
      <c r="B228" s="6" t="str">
        <f t="shared" si="3"/>
        <v xml:space="preserve"> </v>
      </c>
      <c r="C228" s="20" t="s">
        <v>174</v>
      </c>
    </row>
    <row r="229" spans="1:3" ht="18" customHeight="1" x14ac:dyDescent="0.2">
      <c r="A229" s="3"/>
      <c r="B229" s="6" t="str">
        <f t="shared" si="3"/>
        <v xml:space="preserve"> </v>
      </c>
      <c r="C229" s="20" t="s">
        <v>174</v>
      </c>
    </row>
    <row r="230" spans="1:3" ht="18" customHeight="1" x14ac:dyDescent="0.2">
      <c r="A230" s="3"/>
      <c r="B230" s="6" t="str">
        <f t="shared" si="3"/>
        <v xml:space="preserve"> </v>
      </c>
      <c r="C230" s="20" t="s">
        <v>174</v>
      </c>
    </row>
    <row r="231" spans="1:3" ht="18" customHeight="1" x14ac:dyDescent="0.2">
      <c r="A231" s="3"/>
      <c r="B231" s="6" t="str">
        <f t="shared" si="3"/>
        <v xml:space="preserve"> </v>
      </c>
      <c r="C231" s="20" t="s">
        <v>174</v>
      </c>
    </row>
    <row r="232" spans="1:3" ht="18" customHeight="1" x14ac:dyDescent="0.2">
      <c r="A232" s="3"/>
      <c r="B232" s="6" t="str">
        <f t="shared" si="3"/>
        <v xml:space="preserve"> </v>
      </c>
      <c r="C232" s="20" t="s">
        <v>174</v>
      </c>
    </row>
    <row r="233" spans="1:3" ht="18" customHeight="1" x14ac:dyDescent="0.2">
      <c r="A233" s="3"/>
      <c r="B233" s="6" t="str">
        <f t="shared" si="3"/>
        <v xml:space="preserve"> </v>
      </c>
      <c r="C233" s="20" t="s">
        <v>174</v>
      </c>
    </row>
    <row r="234" spans="1:3" ht="18" customHeight="1" x14ac:dyDescent="0.2">
      <c r="A234" s="3"/>
      <c r="B234" s="6" t="str">
        <f t="shared" si="3"/>
        <v xml:space="preserve"> </v>
      </c>
      <c r="C234" s="20" t="s">
        <v>174</v>
      </c>
    </row>
    <row r="235" spans="1:3" ht="18" customHeight="1" x14ac:dyDescent="0.2">
      <c r="A235" s="3"/>
      <c r="B235" s="6" t="str">
        <f t="shared" si="3"/>
        <v xml:space="preserve"> </v>
      </c>
      <c r="C235" s="20" t="s">
        <v>174</v>
      </c>
    </row>
    <row r="236" spans="1:3" ht="18" customHeight="1" x14ac:dyDescent="0.2">
      <c r="A236" s="3"/>
      <c r="B236" s="6" t="str">
        <f t="shared" si="3"/>
        <v xml:space="preserve"> </v>
      </c>
      <c r="C236" s="20" t="s">
        <v>174</v>
      </c>
    </row>
    <row r="237" spans="1:3" ht="18" customHeight="1" x14ac:dyDescent="0.2">
      <c r="A237" s="3"/>
      <c r="B237" s="6" t="str">
        <f t="shared" si="3"/>
        <v xml:space="preserve"> </v>
      </c>
      <c r="C237" s="20" t="s">
        <v>174</v>
      </c>
    </row>
    <row r="238" spans="1:3" ht="18" customHeight="1" x14ac:dyDescent="0.2">
      <c r="A238" s="3"/>
      <c r="B238" s="6" t="str">
        <f t="shared" si="3"/>
        <v xml:space="preserve"> </v>
      </c>
      <c r="C238" s="20" t="s">
        <v>174</v>
      </c>
    </row>
    <row r="239" spans="1:3" ht="18" customHeight="1" x14ac:dyDescent="0.2">
      <c r="A239" s="3"/>
      <c r="B239" s="6" t="str">
        <f t="shared" si="3"/>
        <v xml:space="preserve"> </v>
      </c>
      <c r="C239" s="20" t="s">
        <v>174</v>
      </c>
    </row>
    <row r="240" spans="1:3" ht="18" customHeight="1" x14ac:dyDescent="0.2">
      <c r="A240" s="3"/>
      <c r="B240" s="6" t="str">
        <f t="shared" si="3"/>
        <v xml:space="preserve"> </v>
      </c>
      <c r="C240" s="20" t="s">
        <v>174</v>
      </c>
    </row>
    <row r="241" spans="1:3" ht="18" customHeight="1" x14ac:dyDescent="0.2">
      <c r="A241" s="3"/>
      <c r="B241" s="6" t="str">
        <f t="shared" si="3"/>
        <v xml:space="preserve"> </v>
      </c>
      <c r="C241" s="20" t="s">
        <v>174</v>
      </c>
    </row>
    <row r="242" spans="1:3" ht="18" customHeight="1" x14ac:dyDescent="0.2">
      <c r="A242" s="3"/>
      <c r="B242" s="6" t="str">
        <f t="shared" si="3"/>
        <v xml:space="preserve"> </v>
      </c>
      <c r="C242" s="20" t="s">
        <v>174</v>
      </c>
    </row>
    <row r="243" spans="1:3" ht="18" customHeight="1" x14ac:dyDescent="0.2">
      <c r="A243" s="3"/>
      <c r="B243" s="6" t="str">
        <f t="shared" si="3"/>
        <v xml:space="preserve"> </v>
      </c>
      <c r="C243" s="20" t="s">
        <v>174</v>
      </c>
    </row>
    <row r="244" spans="1:3" ht="18" customHeight="1" x14ac:dyDescent="0.2">
      <c r="A244" s="3"/>
      <c r="B244" s="6" t="str">
        <f t="shared" si="3"/>
        <v xml:space="preserve"> </v>
      </c>
      <c r="C244" s="20" t="s">
        <v>174</v>
      </c>
    </row>
    <row r="245" spans="1:3" ht="18" customHeight="1" x14ac:dyDescent="0.2">
      <c r="A245" s="3"/>
      <c r="B245" s="6" t="str">
        <f t="shared" si="3"/>
        <v xml:space="preserve"> </v>
      </c>
      <c r="C245" s="20" t="s">
        <v>174</v>
      </c>
    </row>
    <row r="246" spans="1:3" ht="18" customHeight="1" x14ac:dyDescent="0.2">
      <c r="A246" s="3"/>
      <c r="B246" s="6" t="str">
        <f t="shared" si="3"/>
        <v xml:space="preserve"> </v>
      </c>
      <c r="C246" s="20" t="s">
        <v>174</v>
      </c>
    </row>
    <row r="247" spans="1:3" ht="18" customHeight="1" x14ac:dyDescent="0.2">
      <c r="A247" s="3"/>
      <c r="B247" s="6" t="str">
        <f t="shared" si="3"/>
        <v xml:space="preserve"> </v>
      </c>
      <c r="C247" s="20" t="s">
        <v>174</v>
      </c>
    </row>
    <row r="248" spans="1:3" ht="18" customHeight="1" x14ac:dyDescent="0.2">
      <c r="A248" s="3"/>
      <c r="B248" s="6" t="str">
        <f t="shared" si="3"/>
        <v xml:space="preserve"> </v>
      </c>
      <c r="C248" s="20" t="s">
        <v>174</v>
      </c>
    </row>
    <row r="249" spans="1:3" ht="18" customHeight="1" x14ac:dyDescent="0.2">
      <c r="A249" s="3"/>
      <c r="B249" s="6" t="str">
        <f t="shared" si="3"/>
        <v xml:space="preserve"> </v>
      </c>
      <c r="C249" s="20" t="s">
        <v>174</v>
      </c>
    </row>
    <row r="250" spans="1:3" ht="18" customHeight="1" x14ac:dyDescent="0.2">
      <c r="A250" s="3"/>
      <c r="B250" s="6" t="str">
        <f t="shared" si="3"/>
        <v xml:space="preserve"> </v>
      </c>
      <c r="C250" s="20" t="s">
        <v>174</v>
      </c>
    </row>
    <row r="251" spans="1:3" ht="18" customHeight="1" x14ac:dyDescent="0.2">
      <c r="A251" s="3"/>
      <c r="B251" s="6" t="str">
        <f t="shared" si="3"/>
        <v xml:space="preserve"> </v>
      </c>
      <c r="C251" s="20" t="s">
        <v>174</v>
      </c>
    </row>
    <row r="252" spans="1:3" ht="18" customHeight="1" x14ac:dyDescent="0.2">
      <c r="A252" s="3"/>
      <c r="B252" s="6" t="str">
        <f t="shared" si="3"/>
        <v xml:space="preserve"> </v>
      </c>
      <c r="C252" s="20" t="s">
        <v>174</v>
      </c>
    </row>
    <row r="253" spans="1:3" ht="18" customHeight="1" x14ac:dyDescent="0.2">
      <c r="A253" s="3"/>
      <c r="B253" s="6" t="str">
        <f t="shared" si="3"/>
        <v xml:space="preserve"> </v>
      </c>
      <c r="C253" s="20" t="s">
        <v>174</v>
      </c>
    </row>
    <row r="254" spans="1:3" ht="18" customHeight="1" x14ac:dyDescent="0.2">
      <c r="A254" s="3"/>
      <c r="B254" s="6" t="str">
        <f t="shared" si="3"/>
        <v xml:space="preserve"> </v>
      </c>
      <c r="C254" s="20" t="s">
        <v>174</v>
      </c>
    </row>
    <row r="255" spans="1:3" ht="18" customHeight="1" x14ac:dyDescent="0.2">
      <c r="A255" s="3"/>
      <c r="B255" s="6" t="str">
        <f t="shared" si="3"/>
        <v xml:space="preserve"> </v>
      </c>
      <c r="C255" s="20" t="s">
        <v>174</v>
      </c>
    </row>
    <row r="256" spans="1:3" ht="18" customHeight="1" x14ac:dyDescent="0.2">
      <c r="A256" s="3"/>
      <c r="B256" s="6" t="str">
        <f t="shared" si="3"/>
        <v xml:space="preserve"> </v>
      </c>
      <c r="C256" s="20" t="s">
        <v>174</v>
      </c>
    </row>
    <row r="257" spans="1:3" ht="18" customHeight="1" x14ac:dyDescent="0.2">
      <c r="A257" s="3"/>
      <c r="B257" s="6" t="str">
        <f t="shared" si="3"/>
        <v xml:space="preserve"> </v>
      </c>
      <c r="C257" s="20" t="s">
        <v>174</v>
      </c>
    </row>
    <row r="258" spans="1:3" ht="18" customHeight="1" x14ac:dyDescent="0.2">
      <c r="A258" s="3"/>
      <c r="B258" s="6" t="str">
        <f t="shared" si="3"/>
        <v xml:space="preserve"> </v>
      </c>
      <c r="C258" s="20" t="s">
        <v>174</v>
      </c>
    </row>
    <row r="259" spans="1:3" ht="18" customHeight="1" x14ac:dyDescent="0.2">
      <c r="A259" s="3"/>
      <c r="B259" s="6" t="str">
        <f t="shared" ref="B259:B322" si="4">IF(ISBLANK(A259)=TRUE,B258,B258&amp;","&amp;A259)</f>
        <v xml:space="preserve"> </v>
      </c>
      <c r="C259" s="20" t="s">
        <v>174</v>
      </c>
    </row>
    <row r="260" spans="1:3" ht="18" customHeight="1" x14ac:dyDescent="0.2">
      <c r="A260" s="3"/>
      <c r="B260" s="6" t="str">
        <f t="shared" si="4"/>
        <v xml:space="preserve"> </v>
      </c>
      <c r="C260" s="20" t="s">
        <v>174</v>
      </c>
    </row>
    <row r="261" spans="1:3" ht="18" customHeight="1" x14ac:dyDescent="0.2">
      <c r="A261" s="3"/>
      <c r="B261" s="6" t="str">
        <f t="shared" si="4"/>
        <v xml:space="preserve"> </v>
      </c>
      <c r="C261" s="20" t="s">
        <v>174</v>
      </c>
    </row>
    <row r="262" spans="1:3" ht="18" customHeight="1" x14ac:dyDescent="0.2">
      <c r="A262" s="3"/>
      <c r="B262" s="6" t="str">
        <f t="shared" si="4"/>
        <v xml:space="preserve"> </v>
      </c>
      <c r="C262" s="20" t="s">
        <v>174</v>
      </c>
    </row>
    <row r="263" spans="1:3" ht="18" customHeight="1" x14ac:dyDescent="0.2">
      <c r="A263" s="3"/>
      <c r="B263" s="6" t="str">
        <f t="shared" si="4"/>
        <v xml:space="preserve"> </v>
      </c>
      <c r="C263" s="20" t="s">
        <v>174</v>
      </c>
    </row>
    <row r="264" spans="1:3" ht="18" customHeight="1" x14ac:dyDescent="0.2">
      <c r="A264" s="3"/>
      <c r="B264" s="6" t="str">
        <f t="shared" si="4"/>
        <v xml:space="preserve"> </v>
      </c>
      <c r="C264" s="20" t="s">
        <v>174</v>
      </c>
    </row>
    <row r="265" spans="1:3" ht="18" customHeight="1" x14ac:dyDescent="0.2">
      <c r="A265" s="3"/>
      <c r="B265" s="6" t="str">
        <f t="shared" si="4"/>
        <v xml:space="preserve"> </v>
      </c>
      <c r="C265" s="20" t="s">
        <v>174</v>
      </c>
    </row>
    <row r="266" spans="1:3" ht="18" customHeight="1" x14ac:dyDescent="0.2">
      <c r="A266" s="3"/>
      <c r="B266" s="6" t="str">
        <f t="shared" si="4"/>
        <v xml:space="preserve"> </v>
      </c>
      <c r="C266" s="20" t="s">
        <v>174</v>
      </c>
    </row>
    <row r="267" spans="1:3" ht="18" customHeight="1" x14ac:dyDescent="0.2">
      <c r="A267" s="3"/>
      <c r="B267" s="6" t="str">
        <f t="shared" si="4"/>
        <v xml:space="preserve"> </v>
      </c>
      <c r="C267" s="20" t="s">
        <v>174</v>
      </c>
    </row>
    <row r="268" spans="1:3" ht="18" customHeight="1" x14ac:dyDescent="0.2">
      <c r="A268" s="3"/>
      <c r="B268" s="6" t="str">
        <f t="shared" si="4"/>
        <v xml:space="preserve"> </v>
      </c>
      <c r="C268" s="20" t="s">
        <v>174</v>
      </c>
    </row>
    <row r="269" spans="1:3" ht="18" customHeight="1" x14ac:dyDescent="0.2">
      <c r="A269" s="3"/>
      <c r="B269" s="6" t="str">
        <f t="shared" si="4"/>
        <v xml:space="preserve"> </v>
      </c>
      <c r="C269" s="20" t="s">
        <v>174</v>
      </c>
    </row>
    <row r="270" spans="1:3" ht="18" customHeight="1" x14ac:dyDescent="0.2">
      <c r="A270" s="3"/>
      <c r="B270" s="6" t="str">
        <f t="shared" si="4"/>
        <v xml:space="preserve"> </v>
      </c>
      <c r="C270" s="20" t="s">
        <v>174</v>
      </c>
    </row>
    <row r="271" spans="1:3" ht="18" customHeight="1" x14ac:dyDescent="0.2">
      <c r="A271" s="3"/>
      <c r="B271" s="6" t="str">
        <f t="shared" si="4"/>
        <v xml:space="preserve"> </v>
      </c>
      <c r="C271" s="20" t="s">
        <v>174</v>
      </c>
    </row>
    <row r="272" spans="1:3" ht="18" customHeight="1" x14ac:dyDescent="0.2">
      <c r="A272" s="3"/>
      <c r="B272" s="6" t="str">
        <f t="shared" si="4"/>
        <v xml:space="preserve"> </v>
      </c>
      <c r="C272" s="20" t="s">
        <v>174</v>
      </c>
    </row>
    <row r="273" spans="1:3" ht="18" customHeight="1" x14ac:dyDescent="0.2">
      <c r="A273" s="3"/>
      <c r="B273" s="6" t="str">
        <f t="shared" si="4"/>
        <v xml:space="preserve"> </v>
      </c>
      <c r="C273" s="20" t="s">
        <v>174</v>
      </c>
    </row>
    <row r="274" spans="1:3" ht="18" customHeight="1" x14ac:dyDescent="0.2">
      <c r="A274" s="3"/>
      <c r="B274" s="6" t="str">
        <f t="shared" si="4"/>
        <v xml:space="preserve"> </v>
      </c>
      <c r="C274" s="20" t="s">
        <v>174</v>
      </c>
    </row>
    <row r="275" spans="1:3" ht="18" customHeight="1" x14ac:dyDescent="0.2">
      <c r="A275" s="3"/>
      <c r="B275" s="6" t="str">
        <f t="shared" si="4"/>
        <v xml:space="preserve"> </v>
      </c>
      <c r="C275" s="20" t="s">
        <v>174</v>
      </c>
    </row>
    <row r="276" spans="1:3" ht="18" customHeight="1" x14ac:dyDescent="0.2">
      <c r="A276" s="3"/>
      <c r="B276" s="6" t="str">
        <f t="shared" si="4"/>
        <v xml:space="preserve"> </v>
      </c>
      <c r="C276" s="20" t="s">
        <v>174</v>
      </c>
    </row>
    <row r="277" spans="1:3" ht="18" customHeight="1" x14ac:dyDescent="0.2">
      <c r="A277" s="3"/>
      <c r="B277" s="6" t="str">
        <f t="shared" si="4"/>
        <v xml:space="preserve"> </v>
      </c>
      <c r="C277" s="20" t="s">
        <v>174</v>
      </c>
    </row>
    <row r="278" spans="1:3" ht="18" customHeight="1" x14ac:dyDescent="0.2">
      <c r="A278" s="3"/>
      <c r="B278" s="6" t="str">
        <f t="shared" si="4"/>
        <v xml:space="preserve"> </v>
      </c>
      <c r="C278" s="20" t="s">
        <v>174</v>
      </c>
    </row>
    <row r="279" spans="1:3" ht="18" customHeight="1" x14ac:dyDescent="0.2">
      <c r="A279" s="3"/>
      <c r="B279" s="6" t="str">
        <f t="shared" si="4"/>
        <v xml:space="preserve"> </v>
      </c>
      <c r="C279" s="20" t="s">
        <v>174</v>
      </c>
    </row>
    <row r="280" spans="1:3" ht="18" customHeight="1" x14ac:dyDescent="0.2">
      <c r="A280" s="3"/>
      <c r="B280" s="6" t="str">
        <f t="shared" si="4"/>
        <v xml:space="preserve"> </v>
      </c>
      <c r="C280" s="20" t="s">
        <v>174</v>
      </c>
    </row>
    <row r="281" spans="1:3" ht="18" customHeight="1" x14ac:dyDescent="0.2">
      <c r="A281" s="3"/>
      <c r="B281" s="6" t="str">
        <f t="shared" si="4"/>
        <v xml:space="preserve"> </v>
      </c>
      <c r="C281" s="20" t="s">
        <v>174</v>
      </c>
    </row>
    <row r="282" spans="1:3" ht="18" customHeight="1" x14ac:dyDescent="0.2">
      <c r="A282" s="3"/>
      <c r="B282" s="6" t="str">
        <f t="shared" si="4"/>
        <v xml:space="preserve"> </v>
      </c>
      <c r="C282" s="20" t="s">
        <v>174</v>
      </c>
    </row>
    <row r="283" spans="1:3" ht="18" customHeight="1" x14ac:dyDescent="0.2">
      <c r="A283" s="3"/>
      <c r="B283" s="6" t="str">
        <f t="shared" si="4"/>
        <v xml:space="preserve"> </v>
      </c>
      <c r="C283" s="20" t="s">
        <v>174</v>
      </c>
    </row>
    <row r="284" spans="1:3" ht="18" customHeight="1" x14ac:dyDescent="0.2">
      <c r="A284" s="3"/>
      <c r="B284" s="6" t="str">
        <f t="shared" si="4"/>
        <v xml:space="preserve"> </v>
      </c>
      <c r="C284" s="20" t="s">
        <v>174</v>
      </c>
    </row>
    <row r="285" spans="1:3" ht="18" customHeight="1" x14ac:dyDescent="0.2">
      <c r="A285" s="3"/>
      <c r="B285" s="6" t="str">
        <f t="shared" si="4"/>
        <v xml:space="preserve"> </v>
      </c>
      <c r="C285" s="20" t="s">
        <v>174</v>
      </c>
    </row>
    <row r="286" spans="1:3" ht="18" customHeight="1" x14ac:dyDescent="0.2">
      <c r="A286" s="3"/>
      <c r="B286" s="6" t="str">
        <f t="shared" si="4"/>
        <v xml:space="preserve"> </v>
      </c>
      <c r="C286" s="20" t="s">
        <v>174</v>
      </c>
    </row>
    <row r="287" spans="1:3" ht="18" customHeight="1" x14ac:dyDescent="0.2">
      <c r="A287" s="3"/>
      <c r="B287" s="6" t="str">
        <f t="shared" si="4"/>
        <v xml:space="preserve"> </v>
      </c>
      <c r="C287" s="20" t="s">
        <v>174</v>
      </c>
    </row>
    <row r="288" spans="1:3" ht="18" customHeight="1" x14ac:dyDescent="0.2">
      <c r="A288" s="3"/>
      <c r="B288" s="6" t="str">
        <f t="shared" si="4"/>
        <v xml:space="preserve"> </v>
      </c>
      <c r="C288" s="20" t="s">
        <v>174</v>
      </c>
    </row>
    <row r="289" spans="1:3" ht="18" customHeight="1" x14ac:dyDescent="0.2">
      <c r="A289" s="3"/>
      <c r="B289" s="6" t="str">
        <f t="shared" si="4"/>
        <v xml:space="preserve"> </v>
      </c>
      <c r="C289" s="20" t="s">
        <v>174</v>
      </c>
    </row>
    <row r="290" spans="1:3" ht="18" customHeight="1" x14ac:dyDescent="0.2">
      <c r="A290" s="3"/>
      <c r="B290" s="6" t="str">
        <f t="shared" si="4"/>
        <v xml:space="preserve"> </v>
      </c>
      <c r="C290" s="20" t="s">
        <v>174</v>
      </c>
    </row>
    <row r="291" spans="1:3" ht="18" customHeight="1" x14ac:dyDescent="0.2">
      <c r="A291" s="3"/>
      <c r="B291" s="6" t="str">
        <f t="shared" si="4"/>
        <v xml:space="preserve"> </v>
      </c>
      <c r="C291" s="20" t="s">
        <v>174</v>
      </c>
    </row>
    <row r="292" spans="1:3" ht="18" customHeight="1" x14ac:dyDescent="0.2">
      <c r="A292" s="3"/>
      <c r="B292" s="6" t="str">
        <f t="shared" si="4"/>
        <v xml:space="preserve"> </v>
      </c>
      <c r="C292" s="20" t="s">
        <v>174</v>
      </c>
    </row>
    <row r="293" spans="1:3" ht="18" customHeight="1" x14ac:dyDescent="0.2">
      <c r="A293" s="3"/>
      <c r="B293" s="6" t="str">
        <f t="shared" si="4"/>
        <v xml:space="preserve"> </v>
      </c>
      <c r="C293" s="20" t="s">
        <v>174</v>
      </c>
    </row>
    <row r="294" spans="1:3" ht="18" customHeight="1" x14ac:dyDescent="0.2">
      <c r="A294" s="3"/>
      <c r="B294" s="6" t="str">
        <f t="shared" si="4"/>
        <v xml:space="preserve"> </v>
      </c>
      <c r="C294" s="20" t="s">
        <v>174</v>
      </c>
    </row>
    <row r="295" spans="1:3" ht="18" customHeight="1" x14ac:dyDescent="0.2">
      <c r="A295" s="3"/>
      <c r="B295" s="6" t="str">
        <f t="shared" si="4"/>
        <v xml:space="preserve"> </v>
      </c>
      <c r="C295" s="20" t="s">
        <v>174</v>
      </c>
    </row>
    <row r="296" spans="1:3" ht="18" customHeight="1" x14ac:dyDescent="0.2">
      <c r="A296" s="3"/>
      <c r="B296" s="6" t="str">
        <f t="shared" si="4"/>
        <v xml:space="preserve"> </v>
      </c>
      <c r="C296" s="20" t="s">
        <v>174</v>
      </c>
    </row>
    <row r="297" spans="1:3" ht="18" customHeight="1" x14ac:dyDescent="0.2">
      <c r="A297" s="3"/>
      <c r="B297" s="6" t="str">
        <f t="shared" si="4"/>
        <v xml:space="preserve"> </v>
      </c>
      <c r="C297" s="20" t="s">
        <v>174</v>
      </c>
    </row>
    <row r="298" spans="1:3" ht="18" customHeight="1" x14ac:dyDescent="0.2">
      <c r="A298" s="3"/>
      <c r="B298" s="6" t="str">
        <f t="shared" si="4"/>
        <v xml:space="preserve"> </v>
      </c>
      <c r="C298" s="20" t="s">
        <v>174</v>
      </c>
    </row>
    <row r="299" spans="1:3" ht="18" customHeight="1" x14ac:dyDescent="0.2">
      <c r="A299" s="3"/>
      <c r="B299" s="6" t="str">
        <f t="shared" si="4"/>
        <v xml:space="preserve"> </v>
      </c>
      <c r="C299" s="20" t="s">
        <v>174</v>
      </c>
    </row>
    <row r="300" spans="1:3" ht="18" customHeight="1" x14ac:dyDescent="0.2">
      <c r="A300" s="3"/>
      <c r="B300" s="6" t="str">
        <f t="shared" si="4"/>
        <v xml:space="preserve"> </v>
      </c>
      <c r="C300" s="20" t="s">
        <v>174</v>
      </c>
    </row>
    <row r="301" spans="1:3" ht="18" customHeight="1" x14ac:dyDescent="0.2">
      <c r="A301" s="3"/>
      <c r="B301" s="6" t="str">
        <f t="shared" si="4"/>
        <v xml:space="preserve"> </v>
      </c>
      <c r="C301" s="20" t="s">
        <v>174</v>
      </c>
    </row>
    <row r="302" spans="1:3" ht="18" customHeight="1" x14ac:dyDescent="0.2">
      <c r="A302" s="3"/>
      <c r="B302" s="6" t="str">
        <f t="shared" si="4"/>
        <v xml:space="preserve"> </v>
      </c>
      <c r="C302" s="20" t="s">
        <v>174</v>
      </c>
    </row>
    <row r="303" spans="1:3" ht="18" customHeight="1" x14ac:dyDescent="0.2">
      <c r="A303" s="3"/>
      <c r="B303" s="6" t="str">
        <f t="shared" si="4"/>
        <v xml:space="preserve"> </v>
      </c>
      <c r="C303" s="20" t="s">
        <v>174</v>
      </c>
    </row>
    <row r="304" spans="1:3" ht="18" customHeight="1" x14ac:dyDescent="0.2">
      <c r="A304" s="3"/>
      <c r="B304" s="6" t="str">
        <f t="shared" si="4"/>
        <v xml:space="preserve"> </v>
      </c>
      <c r="C304" s="20" t="s">
        <v>174</v>
      </c>
    </row>
    <row r="305" spans="1:3" ht="18" customHeight="1" x14ac:dyDescent="0.2">
      <c r="A305" s="3"/>
      <c r="B305" s="6" t="str">
        <f t="shared" si="4"/>
        <v xml:space="preserve"> </v>
      </c>
      <c r="C305" s="20" t="s">
        <v>174</v>
      </c>
    </row>
    <row r="306" spans="1:3" ht="18" customHeight="1" x14ac:dyDescent="0.2">
      <c r="A306" s="3"/>
      <c r="B306" s="6" t="str">
        <f t="shared" si="4"/>
        <v xml:space="preserve"> </v>
      </c>
      <c r="C306" s="20" t="s">
        <v>174</v>
      </c>
    </row>
    <row r="307" spans="1:3" ht="18" customHeight="1" x14ac:dyDescent="0.2">
      <c r="A307" s="3"/>
      <c r="B307" s="6" t="str">
        <f t="shared" si="4"/>
        <v xml:space="preserve"> </v>
      </c>
      <c r="C307" s="20" t="s">
        <v>174</v>
      </c>
    </row>
    <row r="308" spans="1:3" ht="18" customHeight="1" x14ac:dyDescent="0.2">
      <c r="A308" s="3"/>
      <c r="B308" s="6" t="str">
        <f t="shared" si="4"/>
        <v xml:space="preserve"> </v>
      </c>
      <c r="C308" s="20" t="s">
        <v>174</v>
      </c>
    </row>
    <row r="309" spans="1:3" ht="18" customHeight="1" x14ac:dyDescent="0.2">
      <c r="A309" s="3"/>
      <c r="B309" s="6" t="str">
        <f t="shared" si="4"/>
        <v xml:space="preserve"> </v>
      </c>
      <c r="C309" s="20" t="s">
        <v>174</v>
      </c>
    </row>
    <row r="310" spans="1:3" ht="18" customHeight="1" x14ac:dyDescent="0.2">
      <c r="A310" s="3"/>
      <c r="B310" s="6" t="str">
        <f t="shared" si="4"/>
        <v xml:space="preserve"> </v>
      </c>
      <c r="C310" s="20" t="s">
        <v>174</v>
      </c>
    </row>
    <row r="311" spans="1:3" ht="18" customHeight="1" x14ac:dyDescent="0.2">
      <c r="A311" s="3"/>
      <c r="B311" s="6" t="str">
        <f t="shared" si="4"/>
        <v xml:space="preserve"> </v>
      </c>
      <c r="C311" s="20" t="s">
        <v>174</v>
      </c>
    </row>
    <row r="312" spans="1:3" ht="18" customHeight="1" x14ac:dyDescent="0.2">
      <c r="A312" s="3"/>
      <c r="B312" s="6" t="str">
        <f t="shared" si="4"/>
        <v xml:space="preserve"> </v>
      </c>
      <c r="C312" s="20" t="s">
        <v>174</v>
      </c>
    </row>
    <row r="313" spans="1:3" ht="18" customHeight="1" x14ac:dyDescent="0.2">
      <c r="A313" s="3"/>
      <c r="B313" s="6" t="str">
        <f t="shared" si="4"/>
        <v xml:space="preserve"> </v>
      </c>
      <c r="C313" s="20" t="s">
        <v>174</v>
      </c>
    </row>
    <row r="314" spans="1:3" ht="18" customHeight="1" x14ac:dyDescent="0.2">
      <c r="A314" s="3"/>
      <c r="B314" s="6" t="str">
        <f t="shared" si="4"/>
        <v xml:space="preserve"> </v>
      </c>
      <c r="C314" s="20" t="s">
        <v>174</v>
      </c>
    </row>
    <row r="315" spans="1:3" ht="18" customHeight="1" x14ac:dyDescent="0.2">
      <c r="A315" s="3"/>
      <c r="B315" s="6" t="str">
        <f t="shared" si="4"/>
        <v xml:space="preserve"> </v>
      </c>
      <c r="C315" s="20" t="s">
        <v>174</v>
      </c>
    </row>
    <row r="316" spans="1:3" ht="18" customHeight="1" x14ac:dyDescent="0.2">
      <c r="A316" s="3"/>
      <c r="B316" s="6" t="str">
        <f t="shared" si="4"/>
        <v xml:space="preserve"> </v>
      </c>
      <c r="C316" s="20" t="s">
        <v>174</v>
      </c>
    </row>
    <row r="317" spans="1:3" ht="18" customHeight="1" x14ac:dyDescent="0.2">
      <c r="A317" s="3"/>
      <c r="B317" s="6" t="str">
        <f t="shared" si="4"/>
        <v xml:space="preserve"> </v>
      </c>
      <c r="C317" s="20" t="s">
        <v>174</v>
      </c>
    </row>
    <row r="318" spans="1:3" ht="18" customHeight="1" x14ac:dyDescent="0.2">
      <c r="A318" s="3"/>
      <c r="B318" s="6" t="str">
        <f t="shared" si="4"/>
        <v xml:space="preserve"> </v>
      </c>
      <c r="C318" s="20" t="s">
        <v>174</v>
      </c>
    </row>
    <row r="319" spans="1:3" ht="18" customHeight="1" x14ac:dyDescent="0.2">
      <c r="A319" s="3"/>
      <c r="B319" s="6" t="str">
        <f t="shared" si="4"/>
        <v xml:space="preserve"> </v>
      </c>
      <c r="C319" s="20" t="s">
        <v>174</v>
      </c>
    </row>
    <row r="320" spans="1:3" ht="18" customHeight="1" x14ac:dyDescent="0.2">
      <c r="A320" s="3"/>
      <c r="B320" s="6" t="str">
        <f t="shared" si="4"/>
        <v xml:space="preserve"> </v>
      </c>
      <c r="C320" s="20" t="s">
        <v>174</v>
      </c>
    </row>
    <row r="321" spans="1:3" ht="18" customHeight="1" x14ac:dyDescent="0.2">
      <c r="A321" s="3"/>
      <c r="B321" s="6" t="str">
        <f t="shared" si="4"/>
        <v xml:space="preserve"> </v>
      </c>
      <c r="C321" s="20" t="s">
        <v>174</v>
      </c>
    </row>
    <row r="322" spans="1:3" ht="18" customHeight="1" x14ac:dyDescent="0.2">
      <c r="A322" s="3"/>
      <c r="B322" s="6" t="str">
        <f t="shared" si="4"/>
        <v xml:space="preserve"> </v>
      </c>
      <c r="C322" s="20" t="s">
        <v>174</v>
      </c>
    </row>
    <row r="323" spans="1:3" ht="18" customHeight="1" x14ac:dyDescent="0.2">
      <c r="A323" s="3"/>
      <c r="B323" s="6" t="str">
        <f t="shared" ref="B323:B386" si="5">IF(ISBLANK(A323)=TRUE,B322,B322&amp;","&amp;A323)</f>
        <v xml:space="preserve"> </v>
      </c>
      <c r="C323" s="20" t="s">
        <v>174</v>
      </c>
    </row>
    <row r="324" spans="1:3" ht="18" customHeight="1" x14ac:dyDescent="0.2">
      <c r="A324" s="3"/>
      <c r="B324" s="6" t="str">
        <f t="shared" si="5"/>
        <v xml:space="preserve"> </v>
      </c>
      <c r="C324" s="20" t="s">
        <v>174</v>
      </c>
    </row>
    <row r="325" spans="1:3" ht="18" customHeight="1" x14ac:dyDescent="0.2">
      <c r="A325" s="3"/>
      <c r="B325" s="6" t="str">
        <f t="shared" si="5"/>
        <v xml:space="preserve"> </v>
      </c>
      <c r="C325" s="20" t="s">
        <v>174</v>
      </c>
    </row>
    <row r="326" spans="1:3" ht="18" customHeight="1" x14ac:dyDescent="0.2">
      <c r="A326" s="3"/>
      <c r="B326" s="6" t="str">
        <f t="shared" si="5"/>
        <v xml:space="preserve"> </v>
      </c>
      <c r="C326" s="20" t="s">
        <v>174</v>
      </c>
    </row>
    <row r="327" spans="1:3" ht="18" customHeight="1" x14ac:dyDescent="0.2">
      <c r="A327" s="3"/>
      <c r="B327" s="6" t="str">
        <f t="shared" si="5"/>
        <v xml:space="preserve"> </v>
      </c>
      <c r="C327" s="20" t="s">
        <v>174</v>
      </c>
    </row>
    <row r="328" spans="1:3" ht="18" customHeight="1" x14ac:dyDescent="0.2">
      <c r="A328" s="3"/>
      <c r="B328" s="6" t="str">
        <f t="shared" si="5"/>
        <v xml:space="preserve"> </v>
      </c>
      <c r="C328" s="20" t="s">
        <v>174</v>
      </c>
    </row>
    <row r="329" spans="1:3" ht="18" customHeight="1" x14ac:dyDescent="0.2">
      <c r="A329" s="3"/>
      <c r="B329" s="6" t="str">
        <f t="shared" si="5"/>
        <v xml:space="preserve"> </v>
      </c>
      <c r="C329" s="20" t="s">
        <v>174</v>
      </c>
    </row>
    <row r="330" spans="1:3" ht="18" customHeight="1" x14ac:dyDescent="0.2">
      <c r="A330" s="3"/>
      <c r="B330" s="6" t="str">
        <f t="shared" si="5"/>
        <v xml:space="preserve"> </v>
      </c>
      <c r="C330" s="20" t="s">
        <v>174</v>
      </c>
    </row>
    <row r="331" spans="1:3" ht="18" customHeight="1" x14ac:dyDescent="0.2">
      <c r="A331" s="3"/>
      <c r="B331" s="6" t="str">
        <f t="shared" si="5"/>
        <v xml:space="preserve"> </v>
      </c>
      <c r="C331" s="20" t="s">
        <v>174</v>
      </c>
    </row>
    <row r="332" spans="1:3" ht="18" customHeight="1" x14ac:dyDescent="0.2">
      <c r="A332" s="3"/>
      <c r="B332" s="6" t="str">
        <f t="shared" si="5"/>
        <v xml:space="preserve"> </v>
      </c>
      <c r="C332" s="20" t="s">
        <v>174</v>
      </c>
    </row>
    <row r="333" spans="1:3" ht="18" customHeight="1" x14ac:dyDescent="0.2">
      <c r="A333" s="3"/>
      <c r="B333" s="6" t="str">
        <f t="shared" si="5"/>
        <v xml:space="preserve"> </v>
      </c>
      <c r="C333" s="20" t="s">
        <v>174</v>
      </c>
    </row>
    <row r="334" spans="1:3" ht="18" customHeight="1" x14ac:dyDescent="0.2">
      <c r="A334" s="3"/>
      <c r="B334" s="6" t="str">
        <f t="shared" si="5"/>
        <v xml:space="preserve"> </v>
      </c>
      <c r="C334" s="20" t="s">
        <v>174</v>
      </c>
    </row>
    <row r="335" spans="1:3" ht="18" customHeight="1" x14ac:dyDescent="0.2">
      <c r="A335" s="3"/>
      <c r="B335" s="6" t="str">
        <f t="shared" si="5"/>
        <v xml:space="preserve"> </v>
      </c>
      <c r="C335" s="20" t="s">
        <v>174</v>
      </c>
    </row>
    <row r="336" spans="1:3" ht="18" customHeight="1" x14ac:dyDescent="0.2">
      <c r="A336" s="3"/>
      <c r="B336" s="6" t="str">
        <f t="shared" si="5"/>
        <v xml:space="preserve"> </v>
      </c>
      <c r="C336" s="20" t="s">
        <v>174</v>
      </c>
    </row>
    <row r="337" spans="1:3" ht="18" customHeight="1" x14ac:dyDescent="0.2">
      <c r="A337" s="3"/>
      <c r="B337" s="6" t="str">
        <f t="shared" si="5"/>
        <v xml:space="preserve"> </v>
      </c>
      <c r="C337" s="20" t="s">
        <v>174</v>
      </c>
    </row>
    <row r="338" spans="1:3" ht="18" customHeight="1" x14ac:dyDescent="0.2">
      <c r="A338" s="3"/>
      <c r="B338" s="6" t="str">
        <f t="shared" si="5"/>
        <v xml:space="preserve"> </v>
      </c>
      <c r="C338" s="20" t="s">
        <v>174</v>
      </c>
    </row>
    <row r="339" spans="1:3" ht="18" customHeight="1" x14ac:dyDescent="0.2">
      <c r="A339" s="3"/>
      <c r="B339" s="6" t="str">
        <f t="shared" si="5"/>
        <v xml:space="preserve"> </v>
      </c>
      <c r="C339" s="20" t="s">
        <v>174</v>
      </c>
    </row>
    <row r="340" spans="1:3" ht="18" customHeight="1" x14ac:dyDescent="0.2">
      <c r="A340" s="3"/>
      <c r="B340" s="6" t="str">
        <f t="shared" si="5"/>
        <v xml:space="preserve"> </v>
      </c>
      <c r="C340" s="20" t="s">
        <v>174</v>
      </c>
    </row>
    <row r="341" spans="1:3" ht="18" customHeight="1" x14ac:dyDescent="0.2">
      <c r="A341" s="3"/>
      <c r="B341" s="6" t="str">
        <f t="shared" si="5"/>
        <v xml:space="preserve"> </v>
      </c>
      <c r="C341" s="20" t="s">
        <v>174</v>
      </c>
    </row>
    <row r="342" spans="1:3" ht="18" customHeight="1" x14ac:dyDescent="0.2">
      <c r="A342" s="3"/>
      <c r="B342" s="6" t="str">
        <f t="shared" si="5"/>
        <v xml:space="preserve"> </v>
      </c>
      <c r="C342" s="20" t="s">
        <v>174</v>
      </c>
    </row>
    <row r="343" spans="1:3" ht="18" customHeight="1" x14ac:dyDescent="0.2">
      <c r="A343" s="3"/>
      <c r="B343" s="6" t="str">
        <f t="shared" si="5"/>
        <v xml:space="preserve"> </v>
      </c>
      <c r="C343" s="20" t="s">
        <v>174</v>
      </c>
    </row>
    <row r="344" spans="1:3" ht="18" customHeight="1" x14ac:dyDescent="0.2">
      <c r="A344" s="3"/>
      <c r="B344" s="6" t="str">
        <f t="shared" si="5"/>
        <v xml:space="preserve"> </v>
      </c>
      <c r="C344" s="20" t="s">
        <v>174</v>
      </c>
    </row>
    <row r="345" spans="1:3" ht="18" customHeight="1" x14ac:dyDescent="0.2">
      <c r="A345" s="3"/>
      <c r="B345" s="6" t="str">
        <f t="shared" si="5"/>
        <v xml:space="preserve"> </v>
      </c>
      <c r="C345" s="20" t="s">
        <v>174</v>
      </c>
    </row>
    <row r="346" spans="1:3" ht="18" customHeight="1" x14ac:dyDescent="0.2">
      <c r="A346" s="3"/>
      <c r="B346" s="6" t="str">
        <f t="shared" si="5"/>
        <v xml:space="preserve"> </v>
      </c>
      <c r="C346" s="20" t="s">
        <v>174</v>
      </c>
    </row>
    <row r="347" spans="1:3" ht="18" customHeight="1" x14ac:dyDescent="0.2">
      <c r="A347" s="3"/>
      <c r="B347" s="6" t="str">
        <f t="shared" si="5"/>
        <v xml:space="preserve"> </v>
      </c>
      <c r="C347" s="20" t="s">
        <v>174</v>
      </c>
    </row>
    <row r="348" spans="1:3" ht="18" customHeight="1" x14ac:dyDescent="0.2">
      <c r="A348" s="3"/>
      <c r="B348" s="6" t="str">
        <f t="shared" si="5"/>
        <v xml:space="preserve"> </v>
      </c>
      <c r="C348" s="20" t="s">
        <v>174</v>
      </c>
    </row>
    <row r="349" spans="1:3" ht="18" customHeight="1" x14ac:dyDescent="0.2">
      <c r="A349" s="3"/>
      <c r="B349" s="6" t="str">
        <f t="shared" si="5"/>
        <v xml:space="preserve"> </v>
      </c>
      <c r="C349" s="20" t="s">
        <v>174</v>
      </c>
    </row>
    <row r="350" spans="1:3" ht="18" customHeight="1" x14ac:dyDescent="0.2">
      <c r="A350" s="3"/>
      <c r="B350" s="6" t="str">
        <f t="shared" si="5"/>
        <v xml:space="preserve"> </v>
      </c>
      <c r="C350" s="20" t="s">
        <v>174</v>
      </c>
    </row>
    <row r="351" spans="1:3" ht="18" customHeight="1" x14ac:dyDescent="0.2">
      <c r="A351" s="3"/>
      <c r="B351" s="6" t="str">
        <f t="shared" si="5"/>
        <v xml:space="preserve"> </v>
      </c>
      <c r="C351" s="20" t="s">
        <v>174</v>
      </c>
    </row>
    <row r="352" spans="1:3" ht="18" customHeight="1" x14ac:dyDescent="0.2">
      <c r="A352" s="3"/>
      <c r="B352" s="6" t="str">
        <f t="shared" si="5"/>
        <v xml:space="preserve"> </v>
      </c>
      <c r="C352" s="20" t="s">
        <v>174</v>
      </c>
    </row>
    <row r="353" spans="1:3" ht="18" customHeight="1" x14ac:dyDescent="0.2">
      <c r="A353" s="3"/>
      <c r="B353" s="6" t="str">
        <f t="shared" si="5"/>
        <v xml:space="preserve"> </v>
      </c>
      <c r="C353" s="20" t="s">
        <v>174</v>
      </c>
    </row>
    <row r="354" spans="1:3" ht="18" customHeight="1" x14ac:dyDescent="0.2">
      <c r="A354" s="3"/>
      <c r="B354" s="6" t="str">
        <f t="shared" si="5"/>
        <v xml:space="preserve"> </v>
      </c>
      <c r="C354" s="20" t="s">
        <v>174</v>
      </c>
    </row>
    <row r="355" spans="1:3" ht="18" customHeight="1" x14ac:dyDescent="0.2">
      <c r="A355" s="3"/>
      <c r="B355" s="6" t="str">
        <f t="shared" si="5"/>
        <v xml:space="preserve"> </v>
      </c>
      <c r="C355" s="20" t="s">
        <v>174</v>
      </c>
    </row>
    <row r="356" spans="1:3" ht="18" customHeight="1" x14ac:dyDescent="0.2">
      <c r="A356" s="3"/>
      <c r="B356" s="6" t="str">
        <f t="shared" si="5"/>
        <v xml:space="preserve"> </v>
      </c>
      <c r="C356" s="20" t="s">
        <v>174</v>
      </c>
    </row>
    <row r="357" spans="1:3" ht="18" customHeight="1" x14ac:dyDescent="0.2">
      <c r="A357" s="3"/>
      <c r="B357" s="6" t="str">
        <f t="shared" si="5"/>
        <v xml:space="preserve"> </v>
      </c>
      <c r="C357" s="20" t="s">
        <v>174</v>
      </c>
    </row>
    <row r="358" spans="1:3" ht="18" customHeight="1" x14ac:dyDescent="0.2">
      <c r="A358" s="3"/>
      <c r="B358" s="6" t="str">
        <f t="shared" si="5"/>
        <v xml:space="preserve"> </v>
      </c>
      <c r="C358" s="20" t="s">
        <v>174</v>
      </c>
    </row>
    <row r="359" spans="1:3" ht="18" customHeight="1" x14ac:dyDescent="0.2">
      <c r="A359" s="3"/>
      <c r="B359" s="6" t="str">
        <f t="shared" si="5"/>
        <v xml:space="preserve"> </v>
      </c>
      <c r="C359" s="20" t="s">
        <v>174</v>
      </c>
    </row>
    <row r="360" spans="1:3" ht="18" customHeight="1" x14ac:dyDescent="0.2">
      <c r="A360" s="3"/>
      <c r="B360" s="6" t="str">
        <f t="shared" si="5"/>
        <v xml:space="preserve"> </v>
      </c>
      <c r="C360" s="20" t="s">
        <v>174</v>
      </c>
    </row>
    <row r="361" spans="1:3" ht="18" customHeight="1" x14ac:dyDescent="0.2">
      <c r="A361" s="3"/>
      <c r="B361" s="6" t="str">
        <f t="shared" si="5"/>
        <v xml:space="preserve"> </v>
      </c>
      <c r="C361" s="20" t="s">
        <v>174</v>
      </c>
    </row>
    <row r="362" spans="1:3" ht="18" customHeight="1" x14ac:dyDescent="0.2">
      <c r="A362" s="3"/>
      <c r="B362" s="6" t="str">
        <f t="shared" si="5"/>
        <v xml:space="preserve"> </v>
      </c>
      <c r="C362" s="20" t="s">
        <v>174</v>
      </c>
    </row>
    <row r="363" spans="1:3" ht="18" customHeight="1" x14ac:dyDescent="0.2">
      <c r="A363" s="3"/>
      <c r="B363" s="6" t="str">
        <f t="shared" si="5"/>
        <v xml:space="preserve"> </v>
      </c>
      <c r="C363" s="20" t="s">
        <v>174</v>
      </c>
    </row>
    <row r="364" spans="1:3" ht="18" customHeight="1" x14ac:dyDescent="0.2">
      <c r="A364" s="3"/>
      <c r="B364" s="6" t="str">
        <f t="shared" si="5"/>
        <v xml:space="preserve"> </v>
      </c>
      <c r="C364" s="20" t="s">
        <v>174</v>
      </c>
    </row>
    <row r="365" spans="1:3" ht="18" customHeight="1" x14ac:dyDescent="0.2">
      <c r="A365" s="3"/>
      <c r="B365" s="6" t="str">
        <f t="shared" si="5"/>
        <v xml:space="preserve"> </v>
      </c>
      <c r="C365" s="20" t="s">
        <v>174</v>
      </c>
    </row>
    <row r="366" spans="1:3" ht="18" customHeight="1" x14ac:dyDescent="0.2">
      <c r="A366" s="3"/>
      <c r="B366" s="6" t="str">
        <f t="shared" si="5"/>
        <v xml:space="preserve"> </v>
      </c>
      <c r="C366" s="20" t="s">
        <v>174</v>
      </c>
    </row>
    <row r="367" spans="1:3" ht="18" customHeight="1" x14ac:dyDescent="0.2">
      <c r="A367" s="3"/>
      <c r="B367" s="6" t="str">
        <f t="shared" si="5"/>
        <v xml:space="preserve"> </v>
      </c>
      <c r="C367" s="20" t="s">
        <v>174</v>
      </c>
    </row>
    <row r="368" spans="1:3" ht="18" customHeight="1" x14ac:dyDescent="0.2">
      <c r="A368" s="3"/>
      <c r="B368" s="6" t="str">
        <f t="shared" si="5"/>
        <v xml:space="preserve"> </v>
      </c>
      <c r="C368" s="20" t="s">
        <v>174</v>
      </c>
    </row>
    <row r="369" spans="1:3" ht="18" customHeight="1" x14ac:dyDescent="0.2">
      <c r="A369" s="3"/>
      <c r="B369" s="6" t="str">
        <f t="shared" si="5"/>
        <v xml:space="preserve"> </v>
      </c>
      <c r="C369" s="20" t="s">
        <v>174</v>
      </c>
    </row>
    <row r="370" spans="1:3" ht="18" customHeight="1" x14ac:dyDescent="0.2">
      <c r="A370" s="3"/>
      <c r="B370" s="6" t="str">
        <f t="shared" si="5"/>
        <v xml:space="preserve"> </v>
      </c>
      <c r="C370" s="20" t="s">
        <v>174</v>
      </c>
    </row>
    <row r="371" spans="1:3" ht="18" customHeight="1" x14ac:dyDescent="0.2">
      <c r="A371" s="3"/>
      <c r="B371" s="6" t="str">
        <f t="shared" si="5"/>
        <v xml:space="preserve"> </v>
      </c>
      <c r="C371" s="20" t="s">
        <v>174</v>
      </c>
    </row>
    <row r="372" spans="1:3" ht="18" customHeight="1" x14ac:dyDescent="0.2">
      <c r="A372" s="3"/>
      <c r="B372" s="6" t="str">
        <f t="shared" si="5"/>
        <v xml:space="preserve"> </v>
      </c>
      <c r="C372" s="20" t="s">
        <v>174</v>
      </c>
    </row>
    <row r="373" spans="1:3" ht="18" customHeight="1" x14ac:dyDescent="0.2">
      <c r="A373" s="3"/>
      <c r="B373" s="6" t="str">
        <f t="shared" si="5"/>
        <v xml:space="preserve"> </v>
      </c>
      <c r="C373" s="20" t="s">
        <v>174</v>
      </c>
    </row>
    <row r="374" spans="1:3" ht="18" customHeight="1" x14ac:dyDescent="0.2">
      <c r="A374" s="3"/>
      <c r="B374" s="6" t="str">
        <f t="shared" si="5"/>
        <v xml:space="preserve"> </v>
      </c>
      <c r="C374" s="20" t="s">
        <v>174</v>
      </c>
    </row>
    <row r="375" spans="1:3" ht="18" customHeight="1" x14ac:dyDescent="0.2">
      <c r="A375" s="3"/>
      <c r="B375" s="6" t="str">
        <f t="shared" si="5"/>
        <v xml:space="preserve"> </v>
      </c>
      <c r="C375" s="20" t="s">
        <v>174</v>
      </c>
    </row>
    <row r="376" spans="1:3" ht="18" customHeight="1" x14ac:dyDescent="0.2">
      <c r="A376" s="3"/>
      <c r="B376" s="6" t="str">
        <f t="shared" si="5"/>
        <v xml:space="preserve"> </v>
      </c>
      <c r="C376" s="20" t="s">
        <v>174</v>
      </c>
    </row>
    <row r="377" spans="1:3" ht="18" customHeight="1" x14ac:dyDescent="0.2">
      <c r="A377" s="3"/>
      <c r="B377" s="6" t="str">
        <f t="shared" si="5"/>
        <v xml:space="preserve"> </v>
      </c>
      <c r="C377" s="20" t="s">
        <v>174</v>
      </c>
    </row>
    <row r="378" spans="1:3" ht="18" customHeight="1" x14ac:dyDescent="0.2">
      <c r="A378" s="3"/>
      <c r="B378" s="6" t="str">
        <f t="shared" si="5"/>
        <v xml:space="preserve"> </v>
      </c>
      <c r="C378" s="20" t="s">
        <v>174</v>
      </c>
    </row>
    <row r="379" spans="1:3" ht="18" customHeight="1" x14ac:dyDescent="0.2">
      <c r="A379" s="3"/>
      <c r="B379" s="6" t="str">
        <f t="shared" si="5"/>
        <v xml:space="preserve"> </v>
      </c>
      <c r="C379" s="20" t="s">
        <v>174</v>
      </c>
    </row>
    <row r="380" spans="1:3" ht="18" customHeight="1" x14ac:dyDescent="0.2">
      <c r="A380" s="3"/>
      <c r="B380" s="6" t="str">
        <f t="shared" si="5"/>
        <v xml:space="preserve"> </v>
      </c>
      <c r="C380" s="20" t="s">
        <v>174</v>
      </c>
    </row>
    <row r="381" spans="1:3" ht="18" customHeight="1" x14ac:dyDescent="0.2">
      <c r="A381" s="3"/>
      <c r="B381" s="6" t="str">
        <f t="shared" si="5"/>
        <v xml:space="preserve"> </v>
      </c>
      <c r="C381" s="20" t="s">
        <v>174</v>
      </c>
    </row>
    <row r="382" spans="1:3" ht="18" customHeight="1" x14ac:dyDescent="0.2">
      <c r="A382" s="3"/>
      <c r="B382" s="6" t="str">
        <f t="shared" si="5"/>
        <v xml:space="preserve"> </v>
      </c>
      <c r="C382" s="20" t="s">
        <v>174</v>
      </c>
    </row>
    <row r="383" spans="1:3" ht="18" customHeight="1" x14ac:dyDescent="0.2">
      <c r="A383" s="3"/>
      <c r="B383" s="6" t="str">
        <f t="shared" si="5"/>
        <v xml:space="preserve"> </v>
      </c>
      <c r="C383" s="20" t="s">
        <v>174</v>
      </c>
    </row>
    <row r="384" spans="1:3" ht="18" customHeight="1" x14ac:dyDescent="0.2">
      <c r="A384" s="3"/>
      <c r="B384" s="6" t="str">
        <f t="shared" si="5"/>
        <v xml:space="preserve"> </v>
      </c>
      <c r="C384" s="20" t="s">
        <v>174</v>
      </c>
    </row>
    <row r="385" spans="1:3" ht="18" customHeight="1" x14ac:dyDescent="0.2">
      <c r="A385" s="3"/>
      <c r="B385" s="6" t="str">
        <f t="shared" si="5"/>
        <v xml:space="preserve"> </v>
      </c>
      <c r="C385" s="20" t="s">
        <v>174</v>
      </c>
    </row>
    <row r="386" spans="1:3" ht="18" customHeight="1" x14ac:dyDescent="0.2">
      <c r="A386" s="3"/>
      <c r="B386" s="6" t="str">
        <f t="shared" si="5"/>
        <v xml:space="preserve"> </v>
      </c>
      <c r="C386" s="20" t="s">
        <v>174</v>
      </c>
    </row>
    <row r="387" spans="1:3" ht="18" customHeight="1" x14ac:dyDescent="0.2">
      <c r="A387" s="3"/>
      <c r="B387" s="6" t="str">
        <f t="shared" ref="B387:B450" si="6">IF(ISBLANK(A387)=TRUE,B386,B386&amp;","&amp;A387)</f>
        <v xml:space="preserve"> </v>
      </c>
      <c r="C387" s="20" t="s">
        <v>174</v>
      </c>
    </row>
    <row r="388" spans="1:3" ht="18" customHeight="1" x14ac:dyDescent="0.2">
      <c r="A388" s="3"/>
      <c r="B388" s="6" t="str">
        <f t="shared" si="6"/>
        <v xml:space="preserve"> </v>
      </c>
      <c r="C388" s="20" t="s">
        <v>174</v>
      </c>
    </row>
    <row r="389" spans="1:3" ht="18" customHeight="1" x14ac:dyDescent="0.2">
      <c r="A389" s="3"/>
      <c r="B389" s="6" t="str">
        <f t="shared" si="6"/>
        <v xml:space="preserve"> </v>
      </c>
      <c r="C389" s="20" t="s">
        <v>174</v>
      </c>
    </row>
    <row r="390" spans="1:3" ht="18" customHeight="1" x14ac:dyDescent="0.2">
      <c r="A390" s="3"/>
      <c r="B390" s="6" t="str">
        <f t="shared" si="6"/>
        <v xml:space="preserve"> </v>
      </c>
      <c r="C390" s="20" t="s">
        <v>174</v>
      </c>
    </row>
    <row r="391" spans="1:3" ht="18" customHeight="1" x14ac:dyDescent="0.2">
      <c r="A391" s="3"/>
      <c r="B391" s="6" t="str">
        <f t="shared" si="6"/>
        <v xml:space="preserve"> </v>
      </c>
      <c r="C391" s="20" t="s">
        <v>174</v>
      </c>
    </row>
    <row r="392" spans="1:3" ht="18" customHeight="1" x14ac:dyDescent="0.2">
      <c r="A392" s="3"/>
      <c r="B392" s="6" t="str">
        <f t="shared" si="6"/>
        <v xml:space="preserve"> </v>
      </c>
      <c r="C392" s="20" t="s">
        <v>174</v>
      </c>
    </row>
    <row r="393" spans="1:3" ht="18" customHeight="1" x14ac:dyDescent="0.2">
      <c r="A393" s="3"/>
      <c r="B393" s="6" t="str">
        <f t="shared" si="6"/>
        <v xml:space="preserve"> </v>
      </c>
      <c r="C393" s="20" t="s">
        <v>174</v>
      </c>
    </row>
    <row r="394" spans="1:3" ht="18" customHeight="1" x14ac:dyDescent="0.2">
      <c r="A394" s="3"/>
      <c r="B394" s="6" t="str">
        <f t="shared" si="6"/>
        <v xml:space="preserve"> </v>
      </c>
      <c r="C394" s="20" t="s">
        <v>174</v>
      </c>
    </row>
    <row r="395" spans="1:3" ht="18" customHeight="1" x14ac:dyDescent="0.2">
      <c r="A395" s="3"/>
      <c r="B395" s="6" t="str">
        <f t="shared" si="6"/>
        <v xml:space="preserve"> </v>
      </c>
      <c r="C395" s="20" t="s">
        <v>174</v>
      </c>
    </row>
    <row r="396" spans="1:3" ht="18" customHeight="1" x14ac:dyDescent="0.2">
      <c r="A396" s="3"/>
      <c r="B396" s="6" t="str">
        <f t="shared" si="6"/>
        <v xml:space="preserve"> </v>
      </c>
      <c r="C396" s="20" t="s">
        <v>174</v>
      </c>
    </row>
    <row r="397" spans="1:3" ht="18" customHeight="1" x14ac:dyDescent="0.2">
      <c r="A397" s="3"/>
      <c r="B397" s="6" t="str">
        <f t="shared" si="6"/>
        <v xml:space="preserve"> </v>
      </c>
      <c r="C397" s="20" t="s">
        <v>174</v>
      </c>
    </row>
    <row r="398" spans="1:3" ht="18" customHeight="1" x14ac:dyDescent="0.2">
      <c r="A398" s="3"/>
      <c r="B398" s="6" t="str">
        <f t="shared" si="6"/>
        <v xml:space="preserve"> </v>
      </c>
      <c r="C398" s="20" t="s">
        <v>174</v>
      </c>
    </row>
    <row r="399" spans="1:3" ht="18" customHeight="1" x14ac:dyDescent="0.2">
      <c r="A399" s="3"/>
      <c r="B399" s="6" t="str">
        <f t="shared" si="6"/>
        <v xml:space="preserve"> </v>
      </c>
      <c r="C399" s="20" t="s">
        <v>174</v>
      </c>
    </row>
    <row r="400" spans="1:3" ht="18" customHeight="1" x14ac:dyDescent="0.2">
      <c r="A400" s="3"/>
      <c r="B400" s="6" t="str">
        <f t="shared" si="6"/>
        <v xml:space="preserve"> </v>
      </c>
      <c r="C400" s="20" t="s">
        <v>174</v>
      </c>
    </row>
    <row r="401" spans="1:3" ht="18" customHeight="1" x14ac:dyDescent="0.2">
      <c r="A401" s="3"/>
      <c r="B401" s="6" t="str">
        <f t="shared" si="6"/>
        <v xml:space="preserve"> </v>
      </c>
      <c r="C401" s="20" t="s">
        <v>174</v>
      </c>
    </row>
    <row r="402" spans="1:3" ht="18" customHeight="1" x14ac:dyDescent="0.2">
      <c r="A402" s="3"/>
      <c r="B402" s="6" t="str">
        <f t="shared" si="6"/>
        <v xml:space="preserve"> </v>
      </c>
      <c r="C402" s="20" t="s">
        <v>174</v>
      </c>
    </row>
    <row r="403" spans="1:3" ht="18" customHeight="1" x14ac:dyDescent="0.2">
      <c r="A403" s="3"/>
      <c r="B403" s="6" t="str">
        <f t="shared" si="6"/>
        <v xml:space="preserve"> </v>
      </c>
      <c r="C403" s="20" t="s">
        <v>174</v>
      </c>
    </row>
    <row r="404" spans="1:3" ht="18" customHeight="1" x14ac:dyDescent="0.2">
      <c r="A404" s="3"/>
      <c r="B404" s="6" t="str">
        <f t="shared" si="6"/>
        <v xml:space="preserve"> </v>
      </c>
      <c r="C404" s="20" t="s">
        <v>174</v>
      </c>
    </row>
    <row r="405" spans="1:3" ht="18" customHeight="1" x14ac:dyDescent="0.2">
      <c r="A405" s="3"/>
      <c r="B405" s="6" t="str">
        <f t="shared" si="6"/>
        <v xml:space="preserve"> </v>
      </c>
      <c r="C405" s="20" t="s">
        <v>174</v>
      </c>
    </row>
    <row r="406" spans="1:3" ht="18" customHeight="1" x14ac:dyDescent="0.2">
      <c r="A406" s="3"/>
      <c r="B406" s="6" t="str">
        <f t="shared" si="6"/>
        <v xml:space="preserve"> </v>
      </c>
      <c r="C406" s="20" t="s">
        <v>174</v>
      </c>
    </row>
    <row r="407" spans="1:3" ht="18" customHeight="1" x14ac:dyDescent="0.2">
      <c r="A407" s="3"/>
      <c r="B407" s="6" t="str">
        <f t="shared" si="6"/>
        <v xml:space="preserve"> </v>
      </c>
      <c r="C407" s="20" t="s">
        <v>174</v>
      </c>
    </row>
    <row r="408" spans="1:3" ht="18" customHeight="1" x14ac:dyDescent="0.2">
      <c r="A408" s="3"/>
      <c r="B408" s="6" t="str">
        <f t="shared" si="6"/>
        <v xml:space="preserve"> </v>
      </c>
      <c r="C408" s="20" t="s">
        <v>174</v>
      </c>
    </row>
    <row r="409" spans="1:3" ht="18" customHeight="1" x14ac:dyDescent="0.2">
      <c r="A409" s="3"/>
      <c r="B409" s="6" t="str">
        <f t="shared" si="6"/>
        <v xml:space="preserve"> </v>
      </c>
      <c r="C409" s="20" t="s">
        <v>174</v>
      </c>
    </row>
    <row r="410" spans="1:3" ht="18" customHeight="1" x14ac:dyDescent="0.2">
      <c r="A410" s="3"/>
      <c r="B410" s="6" t="str">
        <f t="shared" si="6"/>
        <v xml:space="preserve"> </v>
      </c>
      <c r="C410" s="20" t="s">
        <v>174</v>
      </c>
    </row>
    <row r="411" spans="1:3" ht="18" customHeight="1" x14ac:dyDescent="0.2">
      <c r="A411" s="3"/>
      <c r="B411" s="6" t="str">
        <f t="shared" si="6"/>
        <v xml:space="preserve"> </v>
      </c>
      <c r="C411" s="20" t="s">
        <v>174</v>
      </c>
    </row>
    <row r="412" spans="1:3" ht="18" customHeight="1" x14ac:dyDescent="0.2">
      <c r="A412" s="3"/>
      <c r="B412" s="6" t="str">
        <f t="shared" si="6"/>
        <v xml:space="preserve"> </v>
      </c>
      <c r="C412" s="20" t="s">
        <v>174</v>
      </c>
    </row>
    <row r="413" spans="1:3" ht="18" customHeight="1" x14ac:dyDescent="0.2">
      <c r="A413" s="3"/>
      <c r="B413" s="6" t="str">
        <f t="shared" si="6"/>
        <v xml:space="preserve"> </v>
      </c>
      <c r="C413" s="20" t="s">
        <v>174</v>
      </c>
    </row>
    <row r="414" spans="1:3" ht="18" customHeight="1" x14ac:dyDescent="0.2">
      <c r="A414" s="3"/>
      <c r="B414" s="6" t="str">
        <f t="shared" si="6"/>
        <v xml:space="preserve"> </v>
      </c>
      <c r="C414" s="20" t="s">
        <v>174</v>
      </c>
    </row>
    <row r="415" spans="1:3" ht="18" customHeight="1" x14ac:dyDescent="0.2">
      <c r="A415" s="3"/>
      <c r="B415" s="6" t="str">
        <f t="shared" si="6"/>
        <v xml:space="preserve"> </v>
      </c>
      <c r="C415" s="20" t="s">
        <v>174</v>
      </c>
    </row>
    <row r="416" spans="1:3" ht="18" customHeight="1" x14ac:dyDescent="0.2">
      <c r="A416" s="3"/>
      <c r="B416" s="6" t="str">
        <f t="shared" si="6"/>
        <v xml:space="preserve"> </v>
      </c>
      <c r="C416" s="20" t="s">
        <v>174</v>
      </c>
    </row>
    <row r="417" spans="1:3" ht="18" customHeight="1" x14ac:dyDescent="0.2">
      <c r="A417" s="3"/>
      <c r="B417" s="6" t="str">
        <f t="shared" si="6"/>
        <v xml:space="preserve"> </v>
      </c>
      <c r="C417" s="20" t="s">
        <v>174</v>
      </c>
    </row>
    <row r="418" spans="1:3" ht="18" customHeight="1" x14ac:dyDescent="0.2">
      <c r="A418" s="3"/>
      <c r="B418" s="6" t="str">
        <f t="shared" si="6"/>
        <v xml:space="preserve"> </v>
      </c>
      <c r="C418" s="20" t="s">
        <v>174</v>
      </c>
    </row>
    <row r="419" spans="1:3" ht="18" customHeight="1" x14ac:dyDescent="0.2">
      <c r="A419" s="3"/>
      <c r="B419" s="6" t="str">
        <f t="shared" si="6"/>
        <v xml:space="preserve"> </v>
      </c>
      <c r="C419" s="20" t="s">
        <v>174</v>
      </c>
    </row>
    <row r="420" spans="1:3" ht="18" customHeight="1" x14ac:dyDescent="0.2">
      <c r="A420" s="3"/>
      <c r="B420" s="6" t="str">
        <f t="shared" si="6"/>
        <v xml:space="preserve"> </v>
      </c>
      <c r="C420" s="20" t="s">
        <v>174</v>
      </c>
    </row>
    <row r="421" spans="1:3" ht="18" customHeight="1" x14ac:dyDescent="0.2">
      <c r="A421" s="3"/>
      <c r="B421" s="6" t="str">
        <f t="shared" si="6"/>
        <v xml:space="preserve"> </v>
      </c>
      <c r="C421" s="20" t="s">
        <v>174</v>
      </c>
    </row>
    <row r="422" spans="1:3" ht="18" customHeight="1" x14ac:dyDescent="0.2">
      <c r="A422" s="3"/>
      <c r="B422" s="6" t="str">
        <f t="shared" si="6"/>
        <v xml:space="preserve"> </v>
      </c>
      <c r="C422" s="20" t="s">
        <v>174</v>
      </c>
    </row>
    <row r="423" spans="1:3" ht="18" customHeight="1" x14ac:dyDescent="0.2">
      <c r="A423" s="3"/>
      <c r="B423" s="6" t="str">
        <f t="shared" si="6"/>
        <v xml:space="preserve"> </v>
      </c>
      <c r="C423" s="20" t="s">
        <v>174</v>
      </c>
    </row>
    <row r="424" spans="1:3" ht="18" customHeight="1" x14ac:dyDescent="0.2">
      <c r="A424" s="3"/>
      <c r="B424" s="6" t="str">
        <f t="shared" si="6"/>
        <v xml:space="preserve"> </v>
      </c>
      <c r="C424" s="20" t="s">
        <v>174</v>
      </c>
    </row>
    <row r="425" spans="1:3" ht="18" customHeight="1" x14ac:dyDescent="0.2">
      <c r="A425" s="3"/>
      <c r="B425" s="6" t="str">
        <f t="shared" si="6"/>
        <v xml:space="preserve"> </v>
      </c>
      <c r="C425" s="20" t="s">
        <v>174</v>
      </c>
    </row>
    <row r="426" spans="1:3" ht="18" customHeight="1" x14ac:dyDescent="0.2">
      <c r="A426" s="3"/>
      <c r="B426" s="6" t="str">
        <f t="shared" si="6"/>
        <v xml:space="preserve"> </v>
      </c>
      <c r="C426" s="20" t="s">
        <v>174</v>
      </c>
    </row>
    <row r="427" spans="1:3" ht="18" customHeight="1" x14ac:dyDescent="0.2">
      <c r="A427" s="3"/>
      <c r="B427" s="6" t="str">
        <f t="shared" si="6"/>
        <v xml:space="preserve"> </v>
      </c>
      <c r="C427" s="20" t="s">
        <v>174</v>
      </c>
    </row>
    <row r="428" spans="1:3" ht="18" customHeight="1" x14ac:dyDescent="0.2">
      <c r="A428" s="3"/>
      <c r="B428" s="6" t="str">
        <f t="shared" si="6"/>
        <v xml:space="preserve"> </v>
      </c>
      <c r="C428" s="20" t="s">
        <v>174</v>
      </c>
    </row>
    <row r="429" spans="1:3" ht="18" customHeight="1" x14ac:dyDescent="0.2">
      <c r="A429" s="3"/>
      <c r="B429" s="6" t="str">
        <f t="shared" si="6"/>
        <v xml:space="preserve"> </v>
      </c>
      <c r="C429" s="20" t="s">
        <v>174</v>
      </c>
    </row>
    <row r="430" spans="1:3" ht="18" customHeight="1" x14ac:dyDescent="0.2">
      <c r="A430" s="3"/>
      <c r="B430" s="6" t="str">
        <f t="shared" si="6"/>
        <v xml:space="preserve"> </v>
      </c>
      <c r="C430" s="20" t="s">
        <v>174</v>
      </c>
    </row>
    <row r="431" spans="1:3" ht="18" customHeight="1" x14ac:dyDescent="0.2">
      <c r="A431" s="3"/>
      <c r="B431" s="6" t="str">
        <f t="shared" si="6"/>
        <v xml:space="preserve"> </v>
      </c>
      <c r="C431" s="20" t="s">
        <v>174</v>
      </c>
    </row>
    <row r="432" spans="1:3" ht="18" customHeight="1" x14ac:dyDescent="0.2">
      <c r="A432" s="3"/>
      <c r="B432" s="6" t="str">
        <f t="shared" si="6"/>
        <v xml:space="preserve"> </v>
      </c>
      <c r="C432" s="20" t="s">
        <v>174</v>
      </c>
    </row>
    <row r="433" spans="1:3" ht="18" customHeight="1" x14ac:dyDescent="0.2">
      <c r="A433" s="3"/>
      <c r="B433" s="6" t="str">
        <f t="shared" si="6"/>
        <v xml:space="preserve"> </v>
      </c>
      <c r="C433" s="20" t="s">
        <v>174</v>
      </c>
    </row>
    <row r="434" spans="1:3" ht="18" customHeight="1" x14ac:dyDescent="0.2">
      <c r="A434" s="3"/>
      <c r="B434" s="6" t="str">
        <f t="shared" si="6"/>
        <v xml:space="preserve"> </v>
      </c>
      <c r="C434" s="20" t="s">
        <v>174</v>
      </c>
    </row>
    <row r="435" spans="1:3" ht="18" customHeight="1" x14ac:dyDescent="0.2">
      <c r="A435" s="3"/>
      <c r="B435" s="6" t="str">
        <f t="shared" si="6"/>
        <v xml:space="preserve"> </v>
      </c>
      <c r="C435" s="20" t="s">
        <v>174</v>
      </c>
    </row>
    <row r="436" spans="1:3" ht="18" customHeight="1" x14ac:dyDescent="0.2">
      <c r="A436" s="3"/>
      <c r="B436" s="6" t="str">
        <f t="shared" si="6"/>
        <v xml:space="preserve"> </v>
      </c>
      <c r="C436" s="20" t="s">
        <v>174</v>
      </c>
    </row>
    <row r="437" spans="1:3" ht="18" customHeight="1" x14ac:dyDescent="0.2">
      <c r="A437" s="3"/>
      <c r="B437" s="6" t="str">
        <f t="shared" si="6"/>
        <v xml:space="preserve"> </v>
      </c>
      <c r="C437" s="20" t="s">
        <v>174</v>
      </c>
    </row>
    <row r="438" spans="1:3" ht="18" customHeight="1" x14ac:dyDescent="0.2">
      <c r="A438" s="3"/>
      <c r="B438" s="6" t="str">
        <f t="shared" si="6"/>
        <v xml:space="preserve"> </v>
      </c>
      <c r="C438" s="20" t="s">
        <v>174</v>
      </c>
    </row>
    <row r="439" spans="1:3" ht="18" customHeight="1" x14ac:dyDescent="0.2">
      <c r="A439" s="3"/>
      <c r="B439" s="6" t="str">
        <f t="shared" si="6"/>
        <v xml:space="preserve"> </v>
      </c>
      <c r="C439" s="20" t="s">
        <v>174</v>
      </c>
    </row>
    <row r="440" spans="1:3" ht="18" customHeight="1" x14ac:dyDescent="0.2">
      <c r="A440" s="3"/>
      <c r="B440" s="6" t="str">
        <f t="shared" si="6"/>
        <v xml:space="preserve"> </v>
      </c>
      <c r="C440" s="20" t="s">
        <v>174</v>
      </c>
    </row>
    <row r="441" spans="1:3" ht="18" customHeight="1" x14ac:dyDescent="0.2">
      <c r="A441" s="3"/>
      <c r="B441" s="6" t="str">
        <f t="shared" si="6"/>
        <v xml:space="preserve"> </v>
      </c>
      <c r="C441" s="20" t="s">
        <v>174</v>
      </c>
    </row>
    <row r="442" spans="1:3" ht="18" customHeight="1" x14ac:dyDescent="0.2">
      <c r="A442" s="3"/>
      <c r="B442" s="6" t="str">
        <f t="shared" si="6"/>
        <v xml:space="preserve"> </v>
      </c>
      <c r="C442" s="20" t="s">
        <v>174</v>
      </c>
    </row>
    <row r="443" spans="1:3" ht="18" customHeight="1" x14ac:dyDescent="0.2">
      <c r="A443" s="3"/>
      <c r="B443" s="6" t="str">
        <f t="shared" si="6"/>
        <v xml:space="preserve"> </v>
      </c>
      <c r="C443" s="20" t="s">
        <v>174</v>
      </c>
    </row>
    <row r="444" spans="1:3" ht="18" customHeight="1" x14ac:dyDescent="0.2">
      <c r="A444" s="3"/>
      <c r="B444" s="6" t="str">
        <f t="shared" si="6"/>
        <v xml:space="preserve"> </v>
      </c>
      <c r="C444" s="20" t="s">
        <v>174</v>
      </c>
    </row>
    <row r="445" spans="1:3" ht="18" customHeight="1" x14ac:dyDescent="0.2">
      <c r="A445" s="3"/>
      <c r="B445" s="6" t="str">
        <f t="shared" si="6"/>
        <v xml:space="preserve"> </v>
      </c>
      <c r="C445" s="20" t="s">
        <v>174</v>
      </c>
    </row>
    <row r="446" spans="1:3" ht="18" customHeight="1" x14ac:dyDescent="0.2">
      <c r="A446" s="3"/>
      <c r="B446" s="6" t="str">
        <f t="shared" si="6"/>
        <v xml:space="preserve"> </v>
      </c>
      <c r="C446" s="20" t="s">
        <v>174</v>
      </c>
    </row>
    <row r="447" spans="1:3" ht="18" customHeight="1" x14ac:dyDescent="0.2">
      <c r="A447" s="3"/>
      <c r="B447" s="6" t="str">
        <f t="shared" si="6"/>
        <v xml:space="preserve"> </v>
      </c>
      <c r="C447" s="20" t="s">
        <v>174</v>
      </c>
    </row>
    <row r="448" spans="1:3" ht="18" customHeight="1" x14ac:dyDescent="0.2">
      <c r="A448" s="3"/>
      <c r="B448" s="6" t="str">
        <f t="shared" si="6"/>
        <v xml:space="preserve"> </v>
      </c>
      <c r="C448" s="20" t="s">
        <v>174</v>
      </c>
    </row>
    <row r="449" spans="1:3" ht="18" customHeight="1" x14ac:dyDescent="0.2">
      <c r="A449" s="3"/>
      <c r="B449" s="6" t="str">
        <f t="shared" si="6"/>
        <v xml:space="preserve"> </v>
      </c>
      <c r="C449" s="20" t="s">
        <v>174</v>
      </c>
    </row>
    <row r="450" spans="1:3" ht="18" customHeight="1" x14ac:dyDescent="0.2">
      <c r="A450" s="3"/>
      <c r="B450" s="6" t="str">
        <f t="shared" si="6"/>
        <v xml:space="preserve"> </v>
      </c>
      <c r="C450" s="20" t="s">
        <v>174</v>
      </c>
    </row>
    <row r="451" spans="1:3" ht="18" customHeight="1" x14ac:dyDescent="0.2">
      <c r="A451" s="3"/>
      <c r="B451" s="6" t="str">
        <f t="shared" ref="B451:B514" si="7">IF(ISBLANK(A451)=TRUE,B450,B450&amp;","&amp;A451)</f>
        <v xml:space="preserve"> </v>
      </c>
      <c r="C451" s="20" t="s">
        <v>174</v>
      </c>
    </row>
    <row r="452" spans="1:3" ht="18" customHeight="1" x14ac:dyDescent="0.2">
      <c r="A452" s="3"/>
      <c r="B452" s="6" t="str">
        <f t="shared" si="7"/>
        <v xml:space="preserve"> </v>
      </c>
      <c r="C452" s="20" t="s">
        <v>174</v>
      </c>
    </row>
    <row r="453" spans="1:3" ht="18" customHeight="1" x14ac:dyDescent="0.2">
      <c r="A453" s="3"/>
      <c r="B453" s="6" t="str">
        <f t="shared" si="7"/>
        <v xml:space="preserve"> </v>
      </c>
      <c r="C453" s="20" t="s">
        <v>174</v>
      </c>
    </row>
    <row r="454" spans="1:3" ht="18" customHeight="1" x14ac:dyDescent="0.2">
      <c r="A454" s="3"/>
      <c r="B454" s="6" t="str">
        <f t="shared" si="7"/>
        <v xml:space="preserve"> </v>
      </c>
      <c r="C454" s="20" t="s">
        <v>174</v>
      </c>
    </row>
    <row r="455" spans="1:3" ht="18" customHeight="1" x14ac:dyDescent="0.2">
      <c r="A455" s="3"/>
      <c r="B455" s="6" t="str">
        <f t="shared" si="7"/>
        <v xml:space="preserve"> </v>
      </c>
      <c r="C455" s="20" t="s">
        <v>174</v>
      </c>
    </row>
    <row r="456" spans="1:3" ht="18" customHeight="1" x14ac:dyDescent="0.2">
      <c r="A456" s="3"/>
      <c r="B456" s="6" t="str">
        <f t="shared" si="7"/>
        <v xml:space="preserve"> </v>
      </c>
      <c r="C456" s="20" t="s">
        <v>174</v>
      </c>
    </row>
    <row r="457" spans="1:3" ht="18" customHeight="1" x14ac:dyDescent="0.2">
      <c r="A457" s="3"/>
      <c r="B457" s="6" t="str">
        <f t="shared" si="7"/>
        <v xml:space="preserve"> </v>
      </c>
      <c r="C457" s="20" t="s">
        <v>174</v>
      </c>
    </row>
    <row r="458" spans="1:3" ht="18" customHeight="1" x14ac:dyDescent="0.2">
      <c r="A458" s="3"/>
      <c r="B458" s="6" t="str">
        <f t="shared" si="7"/>
        <v xml:space="preserve"> </v>
      </c>
      <c r="C458" s="20" t="s">
        <v>174</v>
      </c>
    </row>
    <row r="459" spans="1:3" ht="18" customHeight="1" x14ac:dyDescent="0.2">
      <c r="A459" s="3"/>
      <c r="B459" s="6" t="str">
        <f t="shared" si="7"/>
        <v xml:space="preserve"> </v>
      </c>
      <c r="C459" s="20" t="s">
        <v>174</v>
      </c>
    </row>
    <row r="460" spans="1:3" ht="18" customHeight="1" x14ac:dyDescent="0.2">
      <c r="A460" s="3"/>
      <c r="B460" s="6" t="str">
        <f t="shared" si="7"/>
        <v xml:space="preserve"> </v>
      </c>
      <c r="C460" s="20" t="s">
        <v>174</v>
      </c>
    </row>
    <row r="461" spans="1:3" ht="18" customHeight="1" x14ac:dyDescent="0.2">
      <c r="A461" s="3"/>
      <c r="B461" s="6" t="str">
        <f t="shared" si="7"/>
        <v xml:space="preserve"> </v>
      </c>
      <c r="C461" s="20" t="s">
        <v>174</v>
      </c>
    </row>
    <row r="462" spans="1:3" ht="18" customHeight="1" x14ac:dyDescent="0.2">
      <c r="A462" s="3"/>
      <c r="B462" s="6" t="str">
        <f t="shared" si="7"/>
        <v xml:space="preserve"> </v>
      </c>
      <c r="C462" s="20" t="s">
        <v>174</v>
      </c>
    </row>
    <row r="463" spans="1:3" ht="18" customHeight="1" x14ac:dyDescent="0.2">
      <c r="A463" s="3"/>
      <c r="B463" s="6" t="str">
        <f t="shared" si="7"/>
        <v xml:space="preserve"> </v>
      </c>
      <c r="C463" s="20" t="s">
        <v>174</v>
      </c>
    </row>
    <row r="464" spans="1:3" ht="18" customHeight="1" x14ac:dyDescent="0.2">
      <c r="A464" s="3"/>
      <c r="B464" s="6" t="str">
        <f t="shared" si="7"/>
        <v xml:space="preserve"> </v>
      </c>
      <c r="C464" s="20" t="s">
        <v>174</v>
      </c>
    </row>
    <row r="465" spans="1:3" ht="18" customHeight="1" x14ac:dyDescent="0.2">
      <c r="A465" s="3"/>
      <c r="B465" s="6" t="str">
        <f t="shared" si="7"/>
        <v xml:space="preserve"> </v>
      </c>
      <c r="C465" s="20" t="s">
        <v>174</v>
      </c>
    </row>
    <row r="466" spans="1:3" ht="18" customHeight="1" x14ac:dyDescent="0.2">
      <c r="A466" s="3"/>
      <c r="B466" s="6" t="str">
        <f t="shared" si="7"/>
        <v xml:space="preserve"> </v>
      </c>
      <c r="C466" s="20" t="s">
        <v>174</v>
      </c>
    </row>
    <row r="467" spans="1:3" ht="18" customHeight="1" x14ac:dyDescent="0.2">
      <c r="A467" s="3"/>
      <c r="B467" s="6" t="str">
        <f t="shared" si="7"/>
        <v xml:space="preserve"> </v>
      </c>
      <c r="C467" s="20" t="s">
        <v>174</v>
      </c>
    </row>
    <row r="468" spans="1:3" ht="18" customHeight="1" x14ac:dyDescent="0.2">
      <c r="A468" s="3"/>
      <c r="B468" s="6" t="str">
        <f t="shared" si="7"/>
        <v xml:space="preserve"> </v>
      </c>
      <c r="C468" s="20" t="s">
        <v>174</v>
      </c>
    </row>
    <row r="469" spans="1:3" ht="18" customHeight="1" x14ac:dyDescent="0.2">
      <c r="A469" s="3"/>
      <c r="B469" s="6" t="str">
        <f t="shared" si="7"/>
        <v xml:space="preserve"> </v>
      </c>
      <c r="C469" s="20" t="s">
        <v>174</v>
      </c>
    </row>
    <row r="470" spans="1:3" ht="18" customHeight="1" x14ac:dyDescent="0.2">
      <c r="A470" s="3"/>
      <c r="B470" s="6" t="str">
        <f t="shared" si="7"/>
        <v xml:space="preserve"> </v>
      </c>
      <c r="C470" s="20" t="s">
        <v>174</v>
      </c>
    </row>
    <row r="471" spans="1:3" ht="18" customHeight="1" x14ac:dyDescent="0.2">
      <c r="A471" s="3"/>
      <c r="B471" s="6" t="str">
        <f t="shared" si="7"/>
        <v xml:space="preserve"> </v>
      </c>
      <c r="C471" s="20" t="s">
        <v>174</v>
      </c>
    </row>
    <row r="472" spans="1:3" ht="18" customHeight="1" x14ac:dyDescent="0.2">
      <c r="A472" s="3"/>
      <c r="B472" s="6" t="str">
        <f t="shared" si="7"/>
        <v xml:space="preserve"> </v>
      </c>
      <c r="C472" s="20" t="s">
        <v>174</v>
      </c>
    </row>
    <row r="473" spans="1:3" ht="18" customHeight="1" x14ac:dyDescent="0.2">
      <c r="A473" s="3"/>
      <c r="B473" s="6" t="str">
        <f t="shared" si="7"/>
        <v xml:space="preserve"> </v>
      </c>
      <c r="C473" s="20" t="s">
        <v>174</v>
      </c>
    </row>
    <row r="474" spans="1:3" ht="18" customHeight="1" x14ac:dyDescent="0.2">
      <c r="A474" s="3"/>
      <c r="B474" s="6" t="str">
        <f t="shared" si="7"/>
        <v xml:space="preserve"> </v>
      </c>
      <c r="C474" s="20" t="s">
        <v>174</v>
      </c>
    </row>
    <row r="475" spans="1:3" ht="18" customHeight="1" x14ac:dyDescent="0.2">
      <c r="A475" s="3"/>
      <c r="B475" s="6" t="str">
        <f t="shared" si="7"/>
        <v xml:space="preserve"> </v>
      </c>
      <c r="C475" s="20" t="s">
        <v>174</v>
      </c>
    </row>
    <row r="476" spans="1:3" ht="18" customHeight="1" x14ac:dyDescent="0.2">
      <c r="A476" s="3"/>
      <c r="B476" s="6" t="str">
        <f t="shared" si="7"/>
        <v xml:space="preserve"> </v>
      </c>
      <c r="C476" s="20" t="s">
        <v>174</v>
      </c>
    </row>
    <row r="477" spans="1:3" ht="18" customHeight="1" x14ac:dyDescent="0.2">
      <c r="A477" s="3"/>
      <c r="B477" s="6" t="str">
        <f t="shared" si="7"/>
        <v xml:space="preserve"> </v>
      </c>
      <c r="C477" s="20" t="s">
        <v>174</v>
      </c>
    </row>
    <row r="478" spans="1:3" ht="18" customHeight="1" x14ac:dyDescent="0.2">
      <c r="A478" s="3"/>
      <c r="B478" s="6" t="str">
        <f t="shared" si="7"/>
        <v xml:space="preserve"> </v>
      </c>
      <c r="C478" s="20" t="s">
        <v>174</v>
      </c>
    </row>
    <row r="479" spans="1:3" ht="18" customHeight="1" x14ac:dyDescent="0.2">
      <c r="A479" s="3"/>
      <c r="B479" s="6" t="str">
        <f t="shared" si="7"/>
        <v xml:space="preserve"> </v>
      </c>
      <c r="C479" s="20" t="s">
        <v>174</v>
      </c>
    </row>
    <row r="480" spans="1:3" ht="18" customHeight="1" x14ac:dyDescent="0.2">
      <c r="A480" s="3"/>
      <c r="B480" s="6" t="str">
        <f t="shared" si="7"/>
        <v xml:space="preserve"> </v>
      </c>
      <c r="C480" s="20" t="s">
        <v>174</v>
      </c>
    </row>
    <row r="481" spans="1:3" ht="18" customHeight="1" x14ac:dyDescent="0.2">
      <c r="A481" s="3"/>
      <c r="B481" s="6" t="str">
        <f t="shared" si="7"/>
        <v xml:space="preserve"> </v>
      </c>
      <c r="C481" s="20" t="s">
        <v>174</v>
      </c>
    </row>
    <row r="482" spans="1:3" ht="18" customHeight="1" x14ac:dyDescent="0.2">
      <c r="A482" s="3"/>
      <c r="B482" s="6" t="str">
        <f t="shared" si="7"/>
        <v xml:space="preserve"> </v>
      </c>
      <c r="C482" s="20" t="s">
        <v>174</v>
      </c>
    </row>
    <row r="483" spans="1:3" ht="18" customHeight="1" x14ac:dyDescent="0.2">
      <c r="A483" s="3"/>
      <c r="B483" s="6" t="str">
        <f t="shared" si="7"/>
        <v xml:space="preserve"> </v>
      </c>
      <c r="C483" s="20" t="s">
        <v>174</v>
      </c>
    </row>
    <row r="484" spans="1:3" ht="18" customHeight="1" x14ac:dyDescent="0.2">
      <c r="A484" s="3"/>
      <c r="B484" s="6" t="str">
        <f t="shared" si="7"/>
        <v xml:space="preserve"> </v>
      </c>
      <c r="C484" s="20" t="s">
        <v>174</v>
      </c>
    </row>
    <row r="485" spans="1:3" ht="18" customHeight="1" x14ac:dyDescent="0.2">
      <c r="A485" s="3"/>
      <c r="B485" s="6" t="str">
        <f t="shared" si="7"/>
        <v xml:space="preserve"> </v>
      </c>
      <c r="C485" s="20" t="s">
        <v>174</v>
      </c>
    </row>
    <row r="486" spans="1:3" ht="18" customHeight="1" x14ac:dyDescent="0.2">
      <c r="A486" s="3"/>
      <c r="B486" s="6" t="str">
        <f t="shared" si="7"/>
        <v xml:space="preserve"> </v>
      </c>
      <c r="C486" s="20" t="s">
        <v>174</v>
      </c>
    </row>
    <row r="487" spans="1:3" ht="18" customHeight="1" x14ac:dyDescent="0.2">
      <c r="A487" s="3"/>
      <c r="B487" s="6" t="str">
        <f t="shared" si="7"/>
        <v xml:space="preserve"> </v>
      </c>
      <c r="C487" s="20" t="s">
        <v>174</v>
      </c>
    </row>
    <row r="488" spans="1:3" ht="18" customHeight="1" x14ac:dyDescent="0.2">
      <c r="A488" s="3"/>
      <c r="B488" s="6" t="str">
        <f t="shared" si="7"/>
        <v xml:space="preserve"> </v>
      </c>
      <c r="C488" s="20" t="s">
        <v>174</v>
      </c>
    </row>
    <row r="489" spans="1:3" ht="18" customHeight="1" x14ac:dyDescent="0.2">
      <c r="A489" s="3"/>
      <c r="B489" s="6" t="str">
        <f t="shared" si="7"/>
        <v xml:space="preserve"> </v>
      </c>
      <c r="C489" s="20" t="s">
        <v>174</v>
      </c>
    </row>
    <row r="490" spans="1:3" ht="18" customHeight="1" x14ac:dyDescent="0.2">
      <c r="A490" s="3"/>
      <c r="B490" s="6" t="str">
        <f t="shared" si="7"/>
        <v xml:space="preserve"> </v>
      </c>
      <c r="C490" s="20" t="s">
        <v>174</v>
      </c>
    </row>
    <row r="491" spans="1:3" ht="18" customHeight="1" x14ac:dyDescent="0.2">
      <c r="A491" s="3"/>
      <c r="B491" s="6" t="str">
        <f t="shared" si="7"/>
        <v xml:space="preserve"> </v>
      </c>
      <c r="C491" s="20" t="s">
        <v>174</v>
      </c>
    </row>
    <row r="492" spans="1:3" ht="18" customHeight="1" x14ac:dyDescent="0.2">
      <c r="A492" s="3"/>
      <c r="B492" s="6" t="str">
        <f t="shared" si="7"/>
        <v xml:space="preserve"> </v>
      </c>
      <c r="C492" s="20" t="s">
        <v>174</v>
      </c>
    </row>
    <row r="493" spans="1:3" ht="18" customHeight="1" x14ac:dyDescent="0.2">
      <c r="A493" s="3"/>
      <c r="B493" s="6" t="str">
        <f t="shared" si="7"/>
        <v xml:space="preserve"> </v>
      </c>
      <c r="C493" s="20" t="s">
        <v>174</v>
      </c>
    </row>
    <row r="494" spans="1:3" ht="18" customHeight="1" x14ac:dyDescent="0.2">
      <c r="A494" s="3"/>
      <c r="B494" s="6" t="str">
        <f t="shared" si="7"/>
        <v xml:space="preserve"> </v>
      </c>
      <c r="C494" s="20" t="s">
        <v>174</v>
      </c>
    </row>
    <row r="495" spans="1:3" ht="18" customHeight="1" x14ac:dyDescent="0.2">
      <c r="A495" s="3"/>
      <c r="B495" s="6" t="str">
        <f t="shared" si="7"/>
        <v xml:space="preserve"> </v>
      </c>
      <c r="C495" s="20" t="s">
        <v>174</v>
      </c>
    </row>
    <row r="496" spans="1:3" ht="18" customHeight="1" x14ac:dyDescent="0.2">
      <c r="A496" s="3"/>
      <c r="B496" s="6" t="str">
        <f t="shared" si="7"/>
        <v xml:space="preserve"> </v>
      </c>
      <c r="C496" s="20" t="s">
        <v>174</v>
      </c>
    </row>
    <row r="497" spans="1:3" ht="18" customHeight="1" x14ac:dyDescent="0.2">
      <c r="A497" s="3"/>
      <c r="B497" s="6" t="str">
        <f t="shared" si="7"/>
        <v xml:space="preserve"> </v>
      </c>
      <c r="C497" s="20" t="s">
        <v>174</v>
      </c>
    </row>
    <row r="498" spans="1:3" ht="18" customHeight="1" x14ac:dyDescent="0.2">
      <c r="A498" s="3"/>
      <c r="B498" s="6" t="str">
        <f t="shared" si="7"/>
        <v xml:space="preserve"> </v>
      </c>
      <c r="C498" s="20" t="s">
        <v>174</v>
      </c>
    </row>
    <row r="499" spans="1:3" ht="18" customHeight="1" x14ac:dyDescent="0.2">
      <c r="A499" s="3"/>
      <c r="B499" s="6" t="str">
        <f t="shared" si="7"/>
        <v xml:space="preserve"> </v>
      </c>
      <c r="C499" s="20" t="s">
        <v>174</v>
      </c>
    </row>
    <row r="500" spans="1:3" ht="18" customHeight="1" x14ac:dyDescent="0.2">
      <c r="A500" s="3"/>
      <c r="B500" s="6" t="str">
        <f t="shared" si="7"/>
        <v xml:space="preserve"> </v>
      </c>
      <c r="C500" s="20" t="s">
        <v>174</v>
      </c>
    </row>
    <row r="501" spans="1:3" ht="18" customHeight="1" x14ac:dyDescent="0.2">
      <c r="A501" s="3"/>
      <c r="B501" s="6" t="str">
        <f t="shared" si="7"/>
        <v xml:space="preserve"> </v>
      </c>
      <c r="C501" s="20" t="s">
        <v>174</v>
      </c>
    </row>
    <row r="502" spans="1:3" ht="18" customHeight="1" x14ac:dyDescent="0.2">
      <c r="A502" s="3"/>
      <c r="B502" s="6" t="str">
        <f t="shared" si="7"/>
        <v xml:space="preserve"> </v>
      </c>
      <c r="C502" s="20" t="s">
        <v>174</v>
      </c>
    </row>
    <row r="503" spans="1:3" ht="18" customHeight="1" x14ac:dyDescent="0.2">
      <c r="A503" s="3"/>
      <c r="B503" s="6" t="str">
        <f t="shared" si="7"/>
        <v xml:space="preserve"> </v>
      </c>
      <c r="C503" s="20" t="s">
        <v>174</v>
      </c>
    </row>
    <row r="504" spans="1:3" ht="18" customHeight="1" x14ac:dyDescent="0.2">
      <c r="A504" s="3"/>
      <c r="B504" s="6" t="str">
        <f t="shared" si="7"/>
        <v xml:space="preserve"> </v>
      </c>
      <c r="C504" s="20" t="s">
        <v>174</v>
      </c>
    </row>
    <row r="505" spans="1:3" ht="18" customHeight="1" x14ac:dyDescent="0.2">
      <c r="A505" s="3"/>
      <c r="B505" s="6" t="str">
        <f t="shared" si="7"/>
        <v xml:space="preserve"> </v>
      </c>
      <c r="C505" s="20" t="s">
        <v>174</v>
      </c>
    </row>
    <row r="506" spans="1:3" ht="18" customHeight="1" x14ac:dyDescent="0.2">
      <c r="A506" s="3"/>
      <c r="B506" s="6" t="str">
        <f t="shared" si="7"/>
        <v xml:space="preserve"> </v>
      </c>
      <c r="C506" s="20" t="s">
        <v>174</v>
      </c>
    </row>
    <row r="507" spans="1:3" ht="18" customHeight="1" x14ac:dyDescent="0.2">
      <c r="A507" s="3"/>
      <c r="B507" s="6" t="str">
        <f t="shared" si="7"/>
        <v xml:space="preserve"> </v>
      </c>
      <c r="C507" s="20" t="s">
        <v>174</v>
      </c>
    </row>
    <row r="508" spans="1:3" ht="18" customHeight="1" x14ac:dyDescent="0.2">
      <c r="A508" s="3"/>
      <c r="B508" s="6" t="str">
        <f t="shared" si="7"/>
        <v xml:space="preserve"> </v>
      </c>
      <c r="C508" s="20" t="s">
        <v>174</v>
      </c>
    </row>
    <row r="509" spans="1:3" ht="18" customHeight="1" x14ac:dyDescent="0.2">
      <c r="A509" s="3"/>
      <c r="B509" s="6" t="str">
        <f t="shared" si="7"/>
        <v xml:space="preserve"> </v>
      </c>
      <c r="C509" s="20" t="s">
        <v>174</v>
      </c>
    </row>
    <row r="510" spans="1:3" ht="18" customHeight="1" x14ac:dyDescent="0.2">
      <c r="A510" s="3"/>
      <c r="B510" s="6" t="str">
        <f t="shared" si="7"/>
        <v xml:space="preserve"> </v>
      </c>
      <c r="C510" s="20" t="s">
        <v>174</v>
      </c>
    </row>
    <row r="511" spans="1:3" ht="18" customHeight="1" x14ac:dyDescent="0.2">
      <c r="A511" s="3"/>
      <c r="B511" s="6" t="str">
        <f t="shared" si="7"/>
        <v xml:space="preserve"> </v>
      </c>
      <c r="C511" s="20" t="s">
        <v>174</v>
      </c>
    </row>
    <row r="512" spans="1:3" ht="18" customHeight="1" x14ac:dyDescent="0.2">
      <c r="A512" s="3"/>
      <c r="B512" s="6" t="str">
        <f t="shared" si="7"/>
        <v xml:space="preserve"> </v>
      </c>
      <c r="C512" s="20" t="s">
        <v>174</v>
      </c>
    </row>
    <row r="513" spans="1:3" ht="18" customHeight="1" x14ac:dyDescent="0.2">
      <c r="A513" s="3"/>
      <c r="B513" s="6" t="str">
        <f t="shared" si="7"/>
        <v xml:space="preserve"> </v>
      </c>
      <c r="C513" s="20" t="s">
        <v>174</v>
      </c>
    </row>
    <row r="514" spans="1:3" ht="18" customHeight="1" x14ac:dyDescent="0.2">
      <c r="A514" s="3"/>
      <c r="B514" s="6" t="str">
        <f t="shared" si="7"/>
        <v xml:space="preserve"> </v>
      </c>
      <c r="C514" s="20" t="s">
        <v>174</v>
      </c>
    </row>
    <row r="515" spans="1:3" ht="18" customHeight="1" x14ac:dyDescent="0.2">
      <c r="A515" s="3"/>
      <c r="B515" s="6" t="str">
        <f t="shared" ref="B515:B578" si="8">IF(ISBLANK(A515)=TRUE,B514,B514&amp;","&amp;A515)</f>
        <v xml:space="preserve"> </v>
      </c>
      <c r="C515" s="20" t="s">
        <v>174</v>
      </c>
    </row>
    <row r="516" spans="1:3" ht="18" customHeight="1" x14ac:dyDescent="0.2">
      <c r="A516" s="3"/>
      <c r="B516" s="6" t="str">
        <f t="shared" si="8"/>
        <v xml:space="preserve"> </v>
      </c>
      <c r="C516" s="20" t="s">
        <v>174</v>
      </c>
    </row>
    <row r="517" spans="1:3" ht="18" customHeight="1" x14ac:dyDescent="0.2">
      <c r="A517" s="3"/>
      <c r="B517" s="6" t="str">
        <f t="shared" si="8"/>
        <v xml:space="preserve"> </v>
      </c>
      <c r="C517" s="20" t="s">
        <v>174</v>
      </c>
    </row>
    <row r="518" spans="1:3" ht="18" customHeight="1" x14ac:dyDescent="0.2">
      <c r="A518" s="3"/>
      <c r="B518" s="6" t="str">
        <f t="shared" si="8"/>
        <v xml:space="preserve"> </v>
      </c>
      <c r="C518" s="20" t="s">
        <v>174</v>
      </c>
    </row>
    <row r="519" spans="1:3" ht="18" customHeight="1" x14ac:dyDescent="0.2">
      <c r="A519" s="3"/>
      <c r="B519" s="6" t="str">
        <f t="shared" si="8"/>
        <v xml:space="preserve"> </v>
      </c>
      <c r="C519" s="20" t="s">
        <v>174</v>
      </c>
    </row>
    <row r="520" spans="1:3" ht="18" customHeight="1" x14ac:dyDescent="0.2">
      <c r="A520" s="3"/>
      <c r="B520" s="6" t="str">
        <f t="shared" si="8"/>
        <v xml:space="preserve"> </v>
      </c>
      <c r="C520" s="20" t="s">
        <v>174</v>
      </c>
    </row>
    <row r="521" spans="1:3" ht="18" customHeight="1" x14ac:dyDescent="0.2">
      <c r="A521" s="3"/>
      <c r="B521" s="6" t="str">
        <f t="shared" si="8"/>
        <v xml:space="preserve"> </v>
      </c>
      <c r="C521" s="20" t="s">
        <v>174</v>
      </c>
    </row>
    <row r="522" spans="1:3" ht="18" customHeight="1" x14ac:dyDescent="0.2">
      <c r="A522" s="3"/>
      <c r="B522" s="6" t="str">
        <f t="shared" si="8"/>
        <v xml:space="preserve"> </v>
      </c>
      <c r="C522" s="20" t="s">
        <v>174</v>
      </c>
    </row>
    <row r="523" spans="1:3" ht="18" customHeight="1" x14ac:dyDescent="0.2">
      <c r="A523" s="3"/>
      <c r="B523" s="6" t="str">
        <f t="shared" si="8"/>
        <v xml:space="preserve"> </v>
      </c>
      <c r="C523" s="20" t="s">
        <v>174</v>
      </c>
    </row>
    <row r="524" spans="1:3" ht="18" customHeight="1" x14ac:dyDescent="0.2">
      <c r="A524" s="3"/>
      <c r="B524" s="6" t="str">
        <f t="shared" si="8"/>
        <v xml:space="preserve"> </v>
      </c>
      <c r="C524" s="20" t="s">
        <v>174</v>
      </c>
    </row>
    <row r="525" spans="1:3" ht="18" customHeight="1" x14ac:dyDescent="0.2">
      <c r="A525" s="3"/>
      <c r="B525" s="6" t="str">
        <f t="shared" si="8"/>
        <v xml:space="preserve"> </v>
      </c>
      <c r="C525" s="20" t="s">
        <v>174</v>
      </c>
    </row>
    <row r="526" spans="1:3" ht="18" customHeight="1" x14ac:dyDescent="0.2">
      <c r="A526" s="3"/>
      <c r="B526" s="6" t="str">
        <f t="shared" si="8"/>
        <v xml:space="preserve"> </v>
      </c>
      <c r="C526" s="20" t="s">
        <v>174</v>
      </c>
    </row>
    <row r="527" spans="1:3" ht="18" customHeight="1" x14ac:dyDescent="0.2">
      <c r="A527" s="3"/>
      <c r="B527" s="6" t="str">
        <f t="shared" si="8"/>
        <v xml:space="preserve"> </v>
      </c>
      <c r="C527" s="20" t="s">
        <v>174</v>
      </c>
    </row>
    <row r="528" spans="1:3" ht="18" customHeight="1" x14ac:dyDescent="0.2">
      <c r="A528" s="3"/>
      <c r="B528" s="6" t="str">
        <f t="shared" si="8"/>
        <v xml:space="preserve"> </v>
      </c>
      <c r="C528" s="20" t="s">
        <v>174</v>
      </c>
    </row>
    <row r="529" spans="1:3" ht="18" customHeight="1" x14ac:dyDescent="0.2">
      <c r="A529" s="3"/>
      <c r="B529" s="6" t="str">
        <f t="shared" si="8"/>
        <v xml:space="preserve"> </v>
      </c>
      <c r="C529" s="20" t="s">
        <v>174</v>
      </c>
    </row>
    <row r="530" spans="1:3" ht="18" customHeight="1" x14ac:dyDescent="0.2">
      <c r="A530" s="3"/>
      <c r="B530" s="6" t="str">
        <f t="shared" si="8"/>
        <v xml:space="preserve"> </v>
      </c>
      <c r="C530" s="20" t="s">
        <v>174</v>
      </c>
    </row>
    <row r="531" spans="1:3" ht="18" customHeight="1" x14ac:dyDescent="0.2">
      <c r="A531" s="3"/>
      <c r="B531" s="6" t="str">
        <f t="shared" si="8"/>
        <v xml:space="preserve"> </v>
      </c>
      <c r="C531" s="20" t="s">
        <v>174</v>
      </c>
    </row>
    <row r="532" spans="1:3" ht="18" customHeight="1" x14ac:dyDescent="0.2">
      <c r="A532" s="3"/>
      <c r="B532" s="6" t="str">
        <f t="shared" si="8"/>
        <v xml:space="preserve"> </v>
      </c>
      <c r="C532" s="20" t="s">
        <v>174</v>
      </c>
    </row>
    <row r="533" spans="1:3" ht="18" customHeight="1" x14ac:dyDescent="0.2">
      <c r="A533" s="3"/>
      <c r="B533" s="6" t="str">
        <f t="shared" si="8"/>
        <v xml:space="preserve"> </v>
      </c>
      <c r="C533" s="20" t="s">
        <v>174</v>
      </c>
    </row>
    <row r="534" spans="1:3" ht="18" customHeight="1" x14ac:dyDescent="0.2">
      <c r="A534" s="3"/>
      <c r="B534" s="6" t="str">
        <f t="shared" si="8"/>
        <v xml:space="preserve"> </v>
      </c>
      <c r="C534" s="20" t="s">
        <v>174</v>
      </c>
    </row>
    <row r="535" spans="1:3" ht="18" customHeight="1" x14ac:dyDescent="0.2">
      <c r="A535" s="3"/>
      <c r="B535" s="6" t="str">
        <f t="shared" si="8"/>
        <v xml:space="preserve"> </v>
      </c>
      <c r="C535" s="20" t="s">
        <v>174</v>
      </c>
    </row>
    <row r="536" spans="1:3" ht="18" customHeight="1" x14ac:dyDescent="0.2">
      <c r="A536" s="3"/>
      <c r="B536" s="6" t="str">
        <f t="shared" si="8"/>
        <v xml:space="preserve"> </v>
      </c>
      <c r="C536" s="20" t="s">
        <v>174</v>
      </c>
    </row>
    <row r="537" spans="1:3" ht="18" customHeight="1" x14ac:dyDescent="0.2">
      <c r="A537" s="3"/>
      <c r="B537" s="6" t="str">
        <f t="shared" si="8"/>
        <v xml:space="preserve"> </v>
      </c>
      <c r="C537" s="20" t="s">
        <v>174</v>
      </c>
    </row>
    <row r="538" spans="1:3" ht="18" customHeight="1" x14ac:dyDescent="0.2">
      <c r="A538" s="3"/>
      <c r="B538" s="6" t="str">
        <f t="shared" si="8"/>
        <v xml:space="preserve"> </v>
      </c>
      <c r="C538" s="20" t="s">
        <v>174</v>
      </c>
    </row>
    <row r="539" spans="1:3" ht="18" customHeight="1" x14ac:dyDescent="0.2">
      <c r="A539" s="3"/>
      <c r="B539" s="6" t="str">
        <f t="shared" si="8"/>
        <v xml:space="preserve"> </v>
      </c>
      <c r="C539" s="20" t="s">
        <v>174</v>
      </c>
    </row>
    <row r="540" spans="1:3" ht="18" customHeight="1" x14ac:dyDescent="0.2">
      <c r="A540" s="3"/>
      <c r="B540" s="6" t="str">
        <f t="shared" si="8"/>
        <v xml:space="preserve"> </v>
      </c>
      <c r="C540" s="20" t="s">
        <v>174</v>
      </c>
    </row>
    <row r="541" spans="1:3" ht="18" customHeight="1" x14ac:dyDescent="0.2">
      <c r="A541" s="3"/>
      <c r="B541" s="6" t="str">
        <f t="shared" si="8"/>
        <v xml:space="preserve"> </v>
      </c>
      <c r="C541" s="20" t="s">
        <v>174</v>
      </c>
    </row>
    <row r="542" spans="1:3" ht="18" customHeight="1" x14ac:dyDescent="0.2">
      <c r="A542" s="3"/>
      <c r="B542" s="6" t="str">
        <f t="shared" si="8"/>
        <v xml:space="preserve"> </v>
      </c>
      <c r="C542" s="20" t="s">
        <v>174</v>
      </c>
    </row>
    <row r="543" spans="1:3" ht="18" customHeight="1" x14ac:dyDescent="0.2">
      <c r="A543" s="3"/>
      <c r="B543" s="6" t="str">
        <f t="shared" si="8"/>
        <v xml:space="preserve"> </v>
      </c>
      <c r="C543" s="20" t="s">
        <v>174</v>
      </c>
    </row>
    <row r="544" spans="1:3" ht="18" customHeight="1" x14ac:dyDescent="0.2">
      <c r="A544" s="3"/>
      <c r="B544" s="6" t="str">
        <f t="shared" si="8"/>
        <v xml:space="preserve"> </v>
      </c>
      <c r="C544" s="20" t="s">
        <v>174</v>
      </c>
    </row>
    <row r="545" spans="1:3" ht="18" customHeight="1" x14ac:dyDescent="0.2">
      <c r="A545" s="3"/>
      <c r="B545" s="6" t="str">
        <f t="shared" si="8"/>
        <v xml:space="preserve"> </v>
      </c>
      <c r="C545" s="20" t="s">
        <v>174</v>
      </c>
    </row>
    <row r="546" spans="1:3" ht="18" customHeight="1" x14ac:dyDescent="0.2">
      <c r="A546" s="3"/>
      <c r="B546" s="6" t="str">
        <f t="shared" si="8"/>
        <v xml:space="preserve"> </v>
      </c>
      <c r="C546" s="20" t="s">
        <v>174</v>
      </c>
    </row>
    <row r="547" spans="1:3" ht="18" customHeight="1" x14ac:dyDescent="0.2">
      <c r="A547" s="3"/>
      <c r="B547" s="6" t="str">
        <f t="shared" si="8"/>
        <v xml:space="preserve"> </v>
      </c>
      <c r="C547" s="20" t="s">
        <v>174</v>
      </c>
    </row>
    <row r="548" spans="1:3" ht="18" customHeight="1" x14ac:dyDescent="0.2">
      <c r="A548" s="3"/>
      <c r="B548" s="6" t="str">
        <f t="shared" si="8"/>
        <v xml:space="preserve"> </v>
      </c>
      <c r="C548" s="20" t="s">
        <v>174</v>
      </c>
    </row>
    <row r="549" spans="1:3" ht="18" customHeight="1" x14ac:dyDescent="0.2">
      <c r="A549" s="3"/>
      <c r="B549" s="6" t="str">
        <f t="shared" si="8"/>
        <v xml:space="preserve"> </v>
      </c>
      <c r="C549" s="20" t="s">
        <v>174</v>
      </c>
    </row>
    <row r="550" spans="1:3" ht="18" customHeight="1" x14ac:dyDescent="0.2">
      <c r="A550" s="3"/>
      <c r="B550" s="6" t="str">
        <f t="shared" si="8"/>
        <v xml:space="preserve"> </v>
      </c>
      <c r="C550" s="20" t="s">
        <v>174</v>
      </c>
    </row>
    <row r="551" spans="1:3" ht="18" customHeight="1" x14ac:dyDescent="0.2">
      <c r="A551" s="3"/>
      <c r="B551" s="6" t="str">
        <f t="shared" si="8"/>
        <v xml:space="preserve"> </v>
      </c>
      <c r="C551" s="20" t="s">
        <v>174</v>
      </c>
    </row>
    <row r="552" spans="1:3" ht="18" customHeight="1" x14ac:dyDescent="0.2">
      <c r="A552" s="3"/>
      <c r="B552" s="6" t="str">
        <f t="shared" si="8"/>
        <v xml:space="preserve"> </v>
      </c>
      <c r="C552" s="20" t="s">
        <v>174</v>
      </c>
    </row>
    <row r="553" spans="1:3" ht="18" customHeight="1" x14ac:dyDescent="0.2">
      <c r="A553" s="3"/>
      <c r="B553" s="6" t="str">
        <f t="shared" si="8"/>
        <v xml:space="preserve"> </v>
      </c>
      <c r="C553" s="20" t="s">
        <v>174</v>
      </c>
    </row>
    <row r="554" spans="1:3" ht="18" customHeight="1" x14ac:dyDescent="0.2">
      <c r="A554" s="3"/>
      <c r="B554" s="6" t="str">
        <f t="shared" si="8"/>
        <v xml:space="preserve"> </v>
      </c>
      <c r="C554" s="20" t="s">
        <v>174</v>
      </c>
    </row>
    <row r="555" spans="1:3" ht="18" customHeight="1" x14ac:dyDescent="0.2">
      <c r="A555" s="3"/>
      <c r="B555" s="6" t="str">
        <f t="shared" si="8"/>
        <v xml:space="preserve"> </v>
      </c>
      <c r="C555" s="20" t="s">
        <v>174</v>
      </c>
    </row>
    <row r="556" spans="1:3" ht="18" customHeight="1" x14ac:dyDescent="0.2">
      <c r="A556" s="3"/>
      <c r="B556" s="6" t="str">
        <f t="shared" si="8"/>
        <v xml:space="preserve"> </v>
      </c>
      <c r="C556" s="20" t="s">
        <v>174</v>
      </c>
    </row>
    <row r="557" spans="1:3" ht="18" customHeight="1" x14ac:dyDescent="0.2">
      <c r="A557" s="3"/>
      <c r="B557" s="6" t="str">
        <f t="shared" si="8"/>
        <v xml:space="preserve"> </v>
      </c>
      <c r="C557" s="20" t="s">
        <v>174</v>
      </c>
    </row>
    <row r="558" spans="1:3" ht="18" customHeight="1" x14ac:dyDescent="0.2">
      <c r="A558" s="3"/>
      <c r="B558" s="6" t="str">
        <f t="shared" si="8"/>
        <v xml:space="preserve"> </v>
      </c>
      <c r="C558" s="20" t="s">
        <v>174</v>
      </c>
    </row>
    <row r="559" spans="1:3" ht="18" customHeight="1" x14ac:dyDescent="0.2">
      <c r="A559" s="3"/>
      <c r="B559" s="6" t="str">
        <f t="shared" si="8"/>
        <v xml:space="preserve"> </v>
      </c>
      <c r="C559" s="20" t="s">
        <v>174</v>
      </c>
    </row>
    <row r="560" spans="1:3" ht="18" customHeight="1" x14ac:dyDescent="0.2">
      <c r="A560" s="3"/>
      <c r="B560" s="6" t="str">
        <f t="shared" si="8"/>
        <v xml:space="preserve"> </v>
      </c>
      <c r="C560" s="20" t="s">
        <v>174</v>
      </c>
    </row>
    <row r="561" spans="1:3" ht="18" customHeight="1" x14ac:dyDescent="0.2">
      <c r="A561" s="3"/>
      <c r="B561" s="6" t="str">
        <f t="shared" si="8"/>
        <v xml:space="preserve"> </v>
      </c>
      <c r="C561" s="20" t="s">
        <v>174</v>
      </c>
    </row>
    <row r="562" spans="1:3" ht="18" customHeight="1" x14ac:dyDescent="0.2">
      <c r="A562" s="3"/>
      <c r="B562" s="6" t="str">
        <f t="shared" si="8"/>
        <v xml:space="preserve"> </v>
      </c>
      <c r="C562" s="20" t="s">
        <v>174</v>
      </c>
    </row>
    <row r="563" spans="1:3" ht="18" customHeight="1" x14ac:dyDescent="0.2">
      <c r="A563" s="3"/>
      <c r="B563" s="6" t="str">
        <f t="shared" si="8"/>
        <v xml:space="preserve"> </v>
      </c>
      <c r="C563" s="20" t="s">
        <v>174</v>
      </c>
    </row>
    <row r="564" spans="1:3" ht="18" customHeight="1" x14ac:dyDescent="0.2">
      <c r="A564" s="3"/>
      <c r="B564" s="6" t="str">
        <f t="shared" si="8"/>
        <v xml:space="preserve"> </v>
      </c>
      <c r="C564" s="20" t="s">
        <v>174</v>
      </c>
    </row>
    <row r="565" spans="1:3" ht="18" customHeight="1" x14ac:dyDescent="0.2">
      <c r="A565" s="3"/>
      <c r="B565" s="6" t="str">
        <f t="shared" si="8"/>
        <v xml:space="preserve"> </v>
      </c>
      <c r="C565" s="20" t="s">
        <v>174</v>
      </c>
    </row>
    <row r="566" spans="1:3" ht="18" customHeight="1" x14ac:dyDescent="0.2">
      <c r="A566" s="3"/>
      <c r="B566" s="6" t="str">
        <f t="shared" si="8"/>
        <v xml:space="preserve"> </v>
      </c>
      <c r="C566" s="20" t="s">
        <v>174</v>
      </c>
    </row>
    <row r="567" spans="1:3" ht="18" customHeight="1" x14ac:dyDescent="0.2">
      <c r="A567" s="3"/>
      <c r="B567" s="6" t="str">
        <f t="shared" si="8"/>
        <v xml:space="preserve"> </v>
      </c>
      <c r="C567" s="20" t="s">
        <v>174</v>
      </c>
    </row>
    <row r="568" spans="1:3" ht="18" customHeight="1" x14ac:dyDescent="0.2">
      <c r="A568" s="3"/>
      <c r="B568" s="6" t="str">
        <f t="shared" si="8"/>
        <v xml:space="preserve"> </v>
      </c>
      <c r="C568" s="20" t="s">
        <v>174</v>
      </c>
    </row>
    <row r="569" spans="1:3" ht="18" customHeight="1" x14ac:dyDescent="0.2">
      <c r="A569" s="3"/>
      <c r="B569" s="6" t="str">
        <f t="shared" si="8"/>
        <v xml:space="preserve"> </v>
      </c>
      <c r="C569" s="20" t="s">
        <v>174</v>
      </c>
    </row>
    <row r="570" spans="1:3" ht="18" customHeight="1" x14ac:dyDescent="0.2">
      <c r="A570" s="3"/>
      <c r="B570" s="6" t="str">
        <f t="shared" si="8"/>
        <v xml:space="preserve"> </v>
      </c>
      <c r="C570" s="20" t="s">
        <v>174</v>
      </c>
    </row>
    <row r="571" spans="1:3" ht="18" customHeight="1" x14ac:dyDescent="0.2">
      <c r="A571" s="3"/>
      <c r="B571" s="6" t="str">
        <f t="shared" si="8"/>
        <v xml:space="preserve"> </v>
      </c>
      <c r="C571" s="20" t="s">
        <v>174</v>
      </c>
    </row>
    <row r="572" spans="1:3" ht="18" customHeight="1" x14ac:dyDescent="0.2">
      <c r="A572" s="3"/>
      <c r="B572" s="6" t="str">
        <f t="shared" si="8"/>
        <v xml:space="preserve"> </v>
      </c>
      <c r="C572" s="20" t="s">
        <v>174</v>
      </c>
    </row>
    <row r="573" spans="1:3" ht="18" customHeight="1" x14ac:dyDescent="0.2">
      <c r="A573" s="3"/>
      <c r="B573" s="6" t="str">
        <f t="shared" si="8"/>
        <v xml:space="preserve"> </v>
      </c>
      <c r="C573" s="20" t="s">
        <v>174</v>
      </c>
    </row>
    <row r="574" spans="1:3" ht="18" customHeight="1" x14ac:dyDescent="0.2">
      <c r="A574" s="3"/>
      <c r="B574" s="6" t="str">
        <f t="shared" si="8"/>
        <v xml:space="preserve"> </v>
      </c>
      <c r="C574" s="20" t="s">
        <v>174</v>
      </c>
    </row>
    <row r="575" spans="1:3" ht="18" customHeight="1" x14ac:dyDescent="0.2">
      <c r="A575" s="3"/>
      <c r="B575" s="6" t="str">
        <f t="shared" si="8"/>
        <v xml:space="preserve"> </v>
      </c>
      <c r="C575" s="20" t="s">
        <v>174</v>
      </c>
    </row>
    <row r="576" spans="1:3" ht="18" customHeight="1" x14ac:dyDescent="0.2">
      <c r="A576" s="3"/>
      <c r="B576" s="6" t="str">
        <f t="shared" si="8"/>
        <v xml:space="preserve"> </v>
      </c>
      <c r="C576" s="20" t="s">
        <v>174</v>
      </c>
    </row>
    <row r="577" spans="1:3" ht="18" customHeight="1" x14ac:dyDescent="0.2">
      <c r="A577" s="3"/>
      <c r="B577" s="6" t="str">
        <f t="shared" si="8"/>
        <v xml:space="preserve"> </v>
      </c>
      <c r="C577" s="20" t="s">
        <v>174</v>
      </c>
    </row>
    <row r="578" spans="1:3" ht="18" customHeight="1" x14ac:dyDescent="0.2">
      <c r="A578" s="3"/>
      <c r="B578" s="6" t="str">
        <f t="shared" si="8"/>
        <v xml:space="preserve"> </v>
      </c>
      <c r="C578" s="20" t="s">
        <v>174</v>
      </c>
    </row>
    <row r="579" spans="1:3" ht="18" customHeight="1" x14ac:dyDescent="0.2">
      <c r="A579" s="3"/>
      <c r="B579" s="6" t="str">
        <f t="shared" ref="B579:B642" si="9">IF(ISBLANK(A579)=TRUE,B578,B578&amp;","&amp;A579)</f>
        <v xml:space="preserve"> </v>
      </c>
      <c r="C579" s="20" t="s">
        <v>174</v>
      </c>
    </row>
    <row r="580" spans="1:3" ht="18" customHeight="1" x14ac:dyDescent="0.2">
      <c r="A580" s="3"/>
      <c r="B580" s="6" t="str">
        <f t="shared" si="9"/>
        <v xml:space="preserve"> </v>
      </c>
      <c r="C580" s="20" t="s">
        <v>174</v>
      </c>
    </row>
    <row r="581" spans="1:3" ht="18" customHeight="1" x14ac:dyDescent="0.2">
      <c r="A581" s="3"/>
      <c r="B581" s="6" t="str">
        <f t="shared" si="9"/>
        <v xml:space="preserve"> </v>
      </c>
      <c r="C581" s="20" t="s">
        <v>174</v>
      </c>
    </row>
    <row r="582" spans="1:3" ht="18" customHeight="1" x14ac:dyDescent="0.2">
      <c r="A582" s="3"/>
      <c r="B582" s="6" t="str">
        <f t="shared" si="9"/>
        <v xml:space="preserve"> </v>
      </c>
      <c r="C582" s="20" t="s">
        <v>174</v>
      </c>
    </row>
    <row r="583" spans="1:3" ht="18" customHeight="1" x14ac:dyDescent="0.2">
      <c r="A583" s="3"/>
      <c r="B583" s="6" t="str">
        <f t="shared" si="9"/>
        <v xml:space="preserve"> </v>
      </c>
      <c r="C583" s="20" t="s">
        <v>174</v>
      </c>
    </row>
    <row r="584" spans="1:3" ht="18" customHeight="1" x14ac:dyDescent="0.2">
      <c r="A584" s="3"/>
      <c r="B584" s="6" t="str">
        <f t="shared" si="9"/>
        <v xml:space="preserve"> </v>
      </c>
      <c r="C584" s="20" t="s">
        <v>174</v>
      </c>
    </row>
    <row r="585" spans="1:3" ht="18" customHeight="1" x14ac:dyDescent="0.2">
      <c r="A585" s="3"/>
      <c r="B585" s="6" t="str">
        <f t="shared" si="9"/>
        <v xml:space="preserve"> </v>
      </c>
      <c r="C585" s="20" t="s">
        <v>174</v>
      </c>
    </row>
    <row r="586" spans="1:3" ht="18" customHeight="1" x14ac:dyDescent="0.2">
      <c r="A586" s="3"/>
      <c r="B586" s="6" t="str">
        <f t="shared" si="9"/>
        <v xml:space="preserve"> </v>
      </c>
      <c r="C586" s="20" t="s">
        <v>174</v>
      </c>
    </row>
    <row r="587" spans="1:3" ht="18" customHeight="1" x14ac:dyDescent="0.2">
      <c r="A587" s="3"/>
      <c r="B587" s="6" t="str">
        <f t="shared" si="9"/>
        <v xml:space="preserve"> </v>
      </c>
      <c r="C587" s="20" t="s">
        <v>174</v>
      </c>
    </row>
    <row r="588" spans="1:3" ht="18" customHeight="1" x14ac:dyDescent="0.2">
      <c r="A588" s="3"/>
      <c r="B588" s="6" t="str">
        <f t="shared" si="9"/>
        <v xml:space="preserve"> </v>
      </c>
      <c r="C588" s="20" t="s">
        <v>174</v>
      </c>
    </row>
    <row r="589" spans="1:3" ht="18" customHeight="1" x14ac:dyDescent="0.2">
      <c r="A589" s="3"/>
      <c r="B589" s="6" t="str">
        <f t="shared" si="9"/>
        <v xml:space="preserve"> </v>
      </c>
      <c r="C589" s="20" t="s">
        <v>174</v>
      </c>
    </row>
    <row r="590" spans="1:3" ht="18" customHeight="1" x14ac:dyDescent="0.2">
      <c r="A590" s="3"/>
      <c r="B590" s="6" t="str">
        <f t="shared" si="9"/>
        <v xml:space="preserve"> </v>
      </c>
      <c r="C590" s="20" t="s">
        <v>174</v>
      </c>
    </row>
    <row r="591" spans="1:3" ht="18" customHeight="1" x14ac:dyDescent="0.2">
      <c r="A591" s="3"/>
      <c r="B591" s="6" t="str">
        <f t="shared" si="9"/>
        <v xml:space="preserve"> </v>
      </c>
      <c r="C591" s="20" t="s">
        <v>174</v>
      </c>
    </row>
    <row r="592" spans="1:3" ht="18" customHeight="1" x14ac:dyDescent="0.2">
      <c r="A592" s="3"/>
      <c r="B592" s="6" t="str">
        <f t="shared" si="9"/>
        <v xml:space="preserve"> </v>
      </c>
      <c r="C592" s="20" t="s">
        <v>174</v>
      </c>
    </row>
    <row r="593" spans="1:3" ht="18" customHeight="1" x14ac:dyDescent="0.2">
      <c r="A593" s="3"/>
      <c r="B593" s="6" t="str">
        <f t="shared" si="9"/>
        <v xml:space="preserve"> </v>
      </c>
      <c r="C593" s="20" t="s">
        <v>174</v>
      </c>
    </row>
    <row r="594" spans="1:3" ht="18" customHeight="1" x14ac:dyDescent="0.2">
      <c r="A594" s="3"/>
      <c r="B594" s="6" t="str">
        <f t="shared" si="9"/>
        <v xml:space="preserve"> </v>
      </c>
      <c r="C594" s="20" t="s">
        <v>174</v>
      </c>
    </row>
    <row r="595" spans="1:3" ht="18" customHeight="1" x14ac:dyDescent="0.2">
      <c r="A595" s="3"/>
      <c r="B595" s="6" t="str">
        <f t="shared" si="9"/>
        <v xml:space="preserve"> </v>
      </c>
      <c r="C595" s="20" t="s">
        <v>174</v>
      </c>
    </row>
    <row r="596" spans="1:3" ht="18" customHeight="1" x14ac:dyDescent="0.2">
      <c r="A596" s="3"/>
      <c r="B596" s="6" t="str">
        <f t="shared" si="9"/>
        <v xml:space="preserve"> </v>
      </c>
      <c r="C596" s="20" t="s">
        <v>174</v>
      </c>
    </row>
    <row r="597" spans="1:3" ht="18" customHeight="1" x14ac:dyDescent="0.2">
      <c r="A597" s="3"/>
      <c r="B597" s="6" t="str">
        <f t="shared" si="9"/>
        <v xml:space="preserve"> </v>
      </c>
      <c r="C597" s="20" t="s">
        <v>174</v>
      </c>
    </row>
    <row r="598" spans="1:3" ht="18" customHeight="1" x14ac:dyDescent="0.2">
      <c r="A598" s="3"/>
      <c r="B598" s="6" t="str">
        <f t="shared" si="9"/>
        <v xml:space="preserve"> </v>
      </c>
      <c r="C598" s="20" t="s">
        <v>174</v>
      </c>
    </row>
    <row r="599" spans="1:3" ht="18" customHeight="1" x14ac:dyDescent="0.2">
      <c r="A599" s="3"/>
      <c r="B599" s="6" t="str">
        <f t="shared" si="9"/>
        <v xml:space="preserve"> </v>
      </c>
      <c r="C599" s="20" t="s">
        <v>174</v>
      </c>
    </row>
    <row r="600" spans="1:3" ht="18" customHeight="1" x14ac:dyDescent="0.2">
      <c r="A600" s="3"/>
      <c r="B600" s="6" t="str">
        <f t="shared" si="9"/>
        <v xml:space="preserve"> </v>
      </c>
      <c r="C600" s="20" t="s">
        <v>174</v>
      </c>
    </row>
    <row r="601" spans="1:3" ht="18" customHeight="1" x14ac:dyDescent="0.2">
      <c r="A601" s="3"/>
      <c r="B601" s="6" t="str">
        <f t="shared" si="9"/>
        <v xml:space="preserve"> </v>
      </c>
      <c r="C601" s="20" t="s">
        <v>174</v>
      </c>
    </row>
    <row r="602" spans="1:3" ht="18" customHeight="1" x14ac:dyDescent="0.2">
      <c r="A602" s="3"/>
      <c r="B602" s="6" t="str">
        <f t="shared" si="9"/>
        <v xml:space="preserve"> </v>
      </c>
      <c r="C602" s="20" t="s">
        <v>174</v>
      </c>
    </row>
    <row r="603" spans="1:3" ht="18" customHeight="1" x14ac:dyDescent="0.2">
      <c r="A603" s="3"/>
      <c r="B603" s="6" t="str">
        <f t="shared" si="9"/>
        <v xml:space="preserve"> </v>
      </c>
      <c r="C603" s="20" t="s">
        <v>174</v>
      </c>
    </row>
    <row r="604" spans="1:3" ht="18" customHeight="1" x14ac:dyDescent="0.2">
      <c r="A604" s="3"/>
      <c r="B604" s="6" t="str">
        <f t="shared" si="9"/>
        <v xml:space="preserve"> </v>
      </c>
      <c r="C604" s="20" t="s">
        <v>174</v>
      </c>
    </row>
    <row r="605" spans="1:3" ht="18" customHeight="1" x14ac:dyDescent="0.2">
      <c r="A605" s="3"/>
      <c r="B605" s="6" t="str">
        <f t="shared" si="9"/>
        <v xml:space="preserve"> </v>
      </c>
      <c r="C605" s="20" t="s">
        <v>174</v>
      </c>
    </row>
    <row r="606" spans="1:3" ht="18" customHeight="1" x14ac:dyDescent="0.2">
      <c r="A606" s="3"/>
      <c r="B606" s="6" t="str">
        <f t="shared" si="9"/>
        <v xml:space="preserve"> </v>
      </c>
      <c r="C606" s="20" t="s">
        <v>174</v>
      </c>
    </row>
    <row r="607" spans="1:3" ht="18" customHeight="1" x14ac:dyDescent="0.2">
      <c r="A607" s="3"/>
      <c r="B607" s="6" t="str">
        <f t="shared" si="9"/>
        <v xml:space="preserve"> </v>
      </c>
      <c r="C607" s="20" t="s">
        <v>174</v>
      </c>
    </row>
    <row r="608" spans="1:3" ht="18" customHeight="1" x14ac:dyDescent="0.2">
      <c r="A608" s="3"/>
      <c r="B608" s="6" t="str">
        <f t="shared" si="9"/>
        <v xml:space="preserve"> </v>
      </c>
      <c r="C608" s="20" t="s">
        <v>174</v>
      </c>
    </row>
    <row r="609" spans="1:3" ht="18" customHeight="1" x14ac:dyDescent="0.2">
      <c r="A609" s="3"/>
      <c r="B609" s="6" t="str">
        <f t="shared" si="9"/>
        <v xml:space="preserve"> </v>
      </c>
      <c r="C609" s="20" t="s">
        <v>174</v>
      </c>
    </row>
    <row r="610" spans="1:3" ht="18" customHeight="1" x14ac:dyDescent="0.2">
      <c r="A610" s="3"/>
      <c r="B610" s="6" t="str">
        <f t="shared" si="9"/>
        <v xml:space="preserve"> </v>
      </c>
      <c r="C610" s="20" t="s">
        <v>174</v>
      </c>
    </row>
    <row r="611" spans="1:3" ht="18" customHeight="1" x14ac:dyDescent="0.2">
      <c r="A611" s="3"/>
      <c r="B611" s="6" t="str">
        <f t="shared" si="9"/>
        <v xml:space="preserve"> </v>
      </c>
      <c r="C611" s="20" t="s">
        <v>174</v>
      </c>
    </row>
    <row r="612" spans="1:3" ht="18" customHeight="1" x14ac:dyDescent="0.2">
      <c r="A612" s="3"/>
      <c r="B612" s="6" t="str">
        <f t="shared" si="9"/>
        <v xml:space="preserve"> </v>
      </c>
      <c r="C612" s="20" t="s">
        <v>174</v>
      </c>
    </row>
    <row r="613" spans="1:3" ht="18" customHeight="1" x14ac:dyDescent="0.2">
      <c r="A613" s="3"/>
      <c r="B613" s="6" t="str">
        <f t="shared" si="9"/>
        <v xml:space="preserve"> </v>
      </c>
      <c r="C613" s="20" t="s">
        <v>174</v>
      </c>
    </row>
    <row r="614" spans="1:3" ht="18" customHeight="1" x14ac:dyDescent="0.2">
      <c r="A614" s="3"/>
      <c r="B614" s="6" t="str">
        <f t="shared" si="9"/>
        <v xml:space="preserve"> </v>
      </c>
      <c r="C614" s="20" t="s">
        <v>174</v>
      </c>
    </row>
    <row r="615" spans="1:3" ht="18" customHeight="1" x14ac:dyDescent="0.2">
      <c r="A615" s="3"/>
      <c r="B615" s="6" t="str">
        <f t="shared" si="9"/>
        <v xml:space="preserve"> </v>
      </c>
      <c r="C615" s="20" t="s">
        <v>174</v>
      </c>
    </row>
    <row r="616" spans="1:3" ht="18" customHeight="1" x14ac:dyDescent="0.2">
      <c r="A616" s="3"/>
      <c r="B616" s="6" t="str">
        <f t="shared" si="9"/>
        <v xml:space="preserve"> </v>
      </c>
      <c r="C616" s="20" t="s">
        <v>174</v>
      </c>
    </row>
    <row r="617" spans="1:3" ht="18" customHeight="1" x14ac:dyDescent="0.2">
      <c r="A617" s="3"/>
      <c r="B617" s="6" t="str">
        <f t="shared" si="9"/>
        <v xml:space="preserve"> </v>
      </c>
      <c r="C617" s="20" t="s">
        <v>174</v>
      </c>
    </row>
    <row r="618" spans="1:3" ht="18" customHeight="1" x14ac:dyDescent="0.2">
      <c r="A618" s="3"/>
      <c r="B618" s="6" t="str">
        <f t="shared" si="9"/>
        <v xml:space="preserve"> </v>
      </c>
      <c r="C618" s="20" t="s">
        <v>174</v>
      </c>
    </row>
    <row r="619" spans="1:3" ht="18" customHeight="1" x14ac:dyDescent="0.2">
      <c r="A619" s="3"/>
      <c r="B619" s="6" t="str">
        <f t="shared" si="9"/>
        <v xml:space="preserve"> </v>
      </c>
      <c r="C619" s="20" t="s">
        <v>174</v>
      </c>
    </row>
    <row r="620" spans="1:3" ht="18" customHeight="1" x14ac:dyDescent="0.2">
      <c r="A620" s="3"/>
      <c r="B620" s="6" t="str">
        <f t="shared" si="9"/>
        <v xml:space="preserve"> </v>
      </c>
      <c r="C620" s="20" t="s">
        <v>174</v>
      </c>
    </row>
    <row r="621" spans="1:3" ht="18" customHeight="1" x14ac:dyDescent="0.2">
      <c r="A621" s="3"/>
      <c r="B621" s="6" t="str">
        <f t="shared" si="9"/>
        <v xml:space="preserve"> </v>
      </c>
      <c r="C621" s="20" t="s">
        <v>174</v>
      </c>
    </row>
    <row r="622" spans="1:3" ht="18" customHeight="1" x14ac:dyDescent="0.2">
      <c r="A622" s="3"/>
      <c r="B622" s="6" t="str">
        <f t="shared" si="9"/>
        <v xml:space="preserve"> </v>
      </c>
      <c r="C622" s="20" t="s">
        <v>174</v>
      </c>
    </row>
    <row r="623" spans="1:3" ht="18" customHeight="1" x14ac:dyDescent="0.2">
      <c r="A623" s="3"/>
      <c r="B623" s="6" t="str">
        <f t="shared" si="9"/>
        <v xml:space="preserve"> </v>
      </c>
      <c r="C623" s="20" t="s">
        <v>174</v>
      </c>
    </row>
    <row r="624" spans="1:3" ht="18" customHeight="1" x14ac:dyDescent="0.2">
      <c r="A624" s="3"/>
      <c r="B624" s="6" t="str">
        <f t="shared" si="9"/>
        <v xml:space="preserve"> </v>
      </c>
      <c r="C624" s="20" t="s">
        <v>174</v>
      </c>
    </row>
    <row r="625" spans="1:3" ht="18" customHeight="1" x14ac:dyDescent="0.2">
      <c r="A625" s="3"/>
      <c r="B625" s="6" t="str">
        <f t="shared" si="9"/>
        <v xml:space="preserve"> </v>
      </c>
      <c r="C625" s="20" t="s">
        <v>174</v>
      </c>
    </row>
    <row r="626" spans="1:3" ht="18" customHeight="1" x14ac:dyDescent="0.2">
      <c r="A626" s="3"/>
      <c r="B626" s="6" t="str">
        <f t="shared" si="9"/>
        <v xml:space="preserve"> </v>
      </c>
      <c r="C626" s="20" t="s">
        <v>174</v>
      </c>
    </row>
    <row r="627" spans="1:3" ht="18" customHeight="1" x14ac:dyDescent="0.2">
      <c r="A627" s="3"/>
      <c r="B627" s="6" t="str">
        <f t="shared" si="9"/>
        <v xml:space="preserve"> </v>
      </c>
      <c r="C627" s="20" t="s">
        <v>174</v>
      </c>
    </row>
    <row r="628" spans="1:3" ht="18" customHeight="1" x14ac:dyDescent="0.2">
      <c r="A628" s="3"/>
      <c r="B628" s="6" t="str">
        <f t="shared" si="9"/>
        <v xml:space="preserve"> </v>
      </c>
      <c r="C628" s="20" t="s">
        <v>174</v>
      </c>
    </row>
    <row r="629" spans="1:3" ht="18" customHeight="1" x14ac:dyDescent="0.2">
      <c r="A629" s="3"/>
      <c r="B629" s="6" t="str">
        <f t="shared" si="9"/>
        <v xml:space="preserve"> </v>
      </c>
      <c r="C629" s="20" t="s">
        <v>174</v>
      </c>
    </row>
    <row r="630" spans="1:3" ht="18" customHeight="1" x14ac:dyDescent="0.2">
      <c r="A630" s="3"/>
      <c r="B630" s="6" t="str">
        <f t="shared" si="9"/>
        <v xml:space="preserve"> </v>
      </c>
      <c r="C630" s="20" t="s">
        <v>174</v>
      </c>
    </row>
    <row r="631" spans="1:3" ht="18" customHeight="1" x14ac:dyDescent="0.2">
      <c r="A631" s="3"/>
      <c r="B631" s="6" t="str">
        <f t="shared" si="9"/>
        <v xml:space="preserve"> </v>
      </c>
      <c r="C631" s="20" t="s">
        <v>174</v>
      </c>
    </row>
    <row r="632" spans="1:3" ht="18" customHeight="1" x14ac:dyDescent="0.2">
      <c r="A632" s="3"/>
      <c r="B632" s="6" t="str">
        <f t="shared" si="9"/>
        <v xml:space="preserve"> </v>
      </c>
      <c r="C632" s="20" t="s">
        <v>174</v>
      </c>
    </row>
    <row r="633" spans="1:3" ht="18" customHeight="1" x14ac:dyDescent="0.2">
      <c r="A633" s="3"/>
      <c r="B633" s="6" t="str">
        <f t="shared" si="9"/>
        <v xml:space="preserve"> </v>
      </c>
      <c r="C633" s="20" t="s">
        <v>174</v>
      </c>
    </row>
    <row r="634" spans="1:3" ht="18" customHeight="1" x14ac:dyDescent="0.2">
      <c r="A634" s="3"/>
      <c r="B634" s="6" t="str">
        <f t="shared" si="9"/>
        <v xml:space="preserve"> </v>
      </c>
      <c r="C634" s="20" t="s">
        <v>174</v>
      </c>
    </row>
    <row r="635" spans="1:3" ht="18" customHeight="1" x14ac:dyDescent="0.2">
      <c r="A635" s="3"/>
      <c r="B635" s="6" t="str">
        <f t="shared" si="9"/>
        <v xml:space="preserve"> </v>
      </c>
      <c r="C635" s="20" t="s">
        <v>174</v>
      </c>
    </row>
    <row r="636" spans="1:3" ht="18" customHeight="1" x14ac:dyDescent="0.2">
      <c r="A636" s="3"/>
      <c r="B636" s="6" t="str">
        <f t="shared" si="9"/>
        <v xml:space="preserve"> </v>
      </c>
      <c r="C636" s="20" t="s">
        <v>174</v>
      </c>
    </row>
    <row r="637" spans="1:3" ht="18" customHeight="1" x14ac:dyDescent="0.2">
      <c r="A637" s="3"/>
      <c r="B637" s="6" t="str">
        <f t="shared" si="9"/>
        <v xml:space="preserve"> </v>
      </c>
      <c r="C637" s="20" t="s">
        <v>174</v>
      </c>
    </row>
    <row r="638" spans="1:3" ht="18" customHeight="1" x14ac:dyDescent="0.2">
      <c r="A638" s="3"/>
      <c r="B638" s="6" t="str">
        <f t="shared" si="9"/>
        <v xml:space="preserve"> </v>
      </c>
      <c r="C638" s="20" t="s">
        <v>174</v>
      </c>
    </row>
    <row r="639" spans="1:3" ht="18" customHeight="1" x14ac:dyDescent="0.2">
      <c r="A639" s="3"/>
      <c r="B639" s="6" t="str">
        <f t="shared" si="9"/>
        <v xml:space="preserve"> </v>
      </c>
      <c r="C639" s="20" t="s">
        <v>174</v>
      </c>
    </row>
    <row r="640" spans="1:3" ht="18" customHeight="1" x14ac:dyDescent="0.2">
      <c r="A640" s="3"/>
      <c r="B640" s="6" t="str">
        <f t="shared" si="9"/>
        <v xml:space="preserve"> </v>
      </c>
      <c r="C640" s="20" t="s">
        <v>174</v>
      </c>
    </row>
    <row r="641" spans="1:3" ht="18" customHeight="1" x14ac:dyDescent="0.2">
      <c r="A641" s="3"/>
      <c r="B641" s="6" t="str">
        <f t="shared" si="9"/>
        <v xml:space="preserve"> </v>
      </c>
      <c r="C641" s="20" t="s">
        <v>174</v>
      </c>
    </row>
    <row r="642" spans="1:3" ht="18" customHeight="1" x14ac:dyDescent="0.2">
      <c r="A642" s="3"/>
      <c r="B642" s="6" t="str">
        <f t="shared" si="9"/>
        <v xml:space="preserve"> </v>
      </c>
      <c r="C642" s="20" t="s">
        <v>174</v>
      </c>
    </row>
    <row r="643" spans="1:3" ht="18" customHeight="1" x14ac:dyDescent="0.2">
      <c r="A643" s="3"/>
      <c r="B643" s="6" t="str">
        <f t="shared" ref="B643:B706" si="10">IF(ISBLANK(A643)=TRUE,B642,B642&amp;","&amp;A643)</f>
        <v xml:space="preserve"> </v>
      </c>
      <c r="C643" s="20" t="s">
        <v>174</v>
      </c>
    </row>
    <row r="644" spans="1:3" ht="18" customHeight="1" x14ac:dyDescent="0.2">
      <c r="A644" s="3"/>
      <c r="B644" s="6" t="str">
        <f t="shared" si="10"/>
        <v xml:space="preserve"> </v>
      </c>
      <c r="C644" s="20" t="s">
        <v>174</v>
      </c>
    </row>
    <row r="645" spans="1:3" ht="18" customHeight="1" x14ac:dyDescent="0.2">
      <c r="A645" s="3"/>
      <c r="B645" s="6" t="str">
        <f t="shared" si="10"/>
        <v xml:space="preserve"> </v>
      </c>
      <c r="C645" s="20" t="s">
        <v>174</v>
      </c>
    </row>
    <row r="646" spans="1:3" ht="18" customHeight="1" x14ac:dyDescent="0.2">
      <c r="A646" s="3"/>
      <c r="B646" s="6" t="str">
        <f t="shared" si="10"/>
        <v xml:space="preserve"> </v>
      </c>
      <c r="C646" s="20" t="s">
        <v>174</v>
      </c>
    </row>
    <row r="647" spans="1:3" ht="18" customHeight="1" x14ac:dyDescent="0.2">
      <c r="A647" s="3"/>
      <c r="B647" s="6" t="str">
        <f t="shared" si="10"/>
        <v xml:space="preserve"> </v>
      </c>
      <c r="C647" s="20" t="s">
        <v>174</v>
      </c>
    </row>
    <row r="648" spans="1:3" ht="18" customHeight="1" x14ac:dyDescent="0.2">
      <c r="A648" s="3"/>
      <c r="B648" s="6" t="str">
        <f t="shared" si="10"/>
        <v xml:space="preserve"> </v>
      </c>
      <c r="C648" s="20" t="s">
        <v>174</v>
      </c>
    </row>
    <row r="649" spans="1:3" ht="18" customHeight="1" x14ac:dyDescent="0.2">
      <c r="A649" s="3"/>
      <c r="B649" s="6" t="str">
        <f t="shared" si="10"/>
        <v xml:space="preserve"> </v>
      </c>
      <c r="C649" s="20" t="s">
        <v>174</v>
      </c>
    </row>
    <row r="650" spans="1:3" ht="18" customHeight="1" x14ac:dyDescent="0.2">
      <c r="A650" s="3"/>
      <c r="B650" s="6" t="str">
        <f t="shared" si="10"/>
        <v xml:space="preserve"> </v>
      </c>
      <c r="C650" s="20" t="s">
        <v>174</v>
      </c>
    </row>
    <row r="651" spans="1:3" ht="18" customHeight="1" x14ac:dyDescent="0.2">
      <c r="A651" s="3"/>
      <c r="B651" s="6" t="str">
        <f t="shared" si="10"/>
        <v xml:space="preserve"> </v>
      </c>
      <c r="C651" s="20" t="s">
        <v>174</v>
      </c>
    </row>
    <row r="652" spans="1:3" ht="18" customHeight="1" x14ac:dyDescent="0.2">
      <c r="A652" s="3"/>
      <c r="B652" s="6" t="str">
        <f t="shared" si="10"/>
        <v xml:space="preserve"> </v>
      </c>
      <c r="C652" s="20" t="s">
        <v>174</v>
      </c>
    </row>
    <row r="653" spans="1:3" ht="18" customHeight="1" x14ac:dyDescent="0.2">
      <c r="A653" s="3"/>
      <c r="B653" s="6" t="str">
        <f t="shared" si="10"/>
        <v xml:space="preserve"> </v>
      </c>
      <c r="C653" s="20" t="s">
        <v>174</v>
      </c>
    </row>
    <row r="654" spans="1:3" ht="18" customHeight="1" x14ac:dyDescent="0.2">
      <c r="A654" s="3"/>
      <c r="B654" s="6" t="str">
        <f t="shared" si="10"/>
        <v xml:space="preserve"> </v>
      </c>
      <c r="C654" s="20" t="s">
        <v>174</v>
      </c>
    </row>
    <row r="655" spans="1:3" ht="18" customHeight="1" x14ac:dyDescent="0.2">
      <c r="A655" s="3"/>
      <c r="B655" s="6" t="str">
        <f t="shared" si="10"/>
        <v xml:space="preserve"> </v>
      </c>
      <c r="C655" s="20" t="s">
        <v>174</v>
      </c>
    </row>
    <row r="656" spans="1:3" ht="18" customHeight="1" x14ac:dyDescent="0.2">
      <c r="A656" s="3"/>
      <c r="B656" s="6" t="str">
        <f t="shared" si="10"/>
        <v xml:space="preserve"> </v>
      </c>
      <c r="C656" s="20" t="s">
        <v>174</v>
      </c>
    </row>
    <row r="657" spans="1:3" ht="18" customHeight="1" x14ac:dyDescent="0.2">
      <c r="A657" s="3"/>
      <c r="B657" s="6" t="str">
        <f t="shared" si="10"/>
        <v xml:space="preserve"> </v>
      </c>
      <c r="C657" s="20" t="s">
        <v>174</v>
      </c>
    </row>
    <row r="658" spans="1:3" ht="18" customHeight="1" x14ac:dyDescent="0.2">
      <c r="A658" s="3"/>
      <c r="B658" s="6" t="str">
        <f t="shared" si="10"/>
        <v xml:space="preserve"> </v>
      </c>
      <c r="C658" s="20" t="s">
        <v>174</v>
      </c>
    </row>
    <row r="659" spans="1:3" ht="18" customHeight="1" x14ac:dyDescent="0.2">
      <c r="A659" s="3"/>
      <c r="B659" s="6" t="str">
        <f t="shared" si="10"/>
        <v xml:space="preserve"> </v>
      </c>
      <c r="C659" s="20" t="s">
        <v>174</v>
      </c>
    </row>
    <row r="660" spans="1:3" ht="18" customHeight="1" x14ac:dyDescent="0.2">
      <c r="A660" s="3"/>
      <c r="B660" s="6" t="str">
        <f t="shared" si="10"/>
        <v xml:space="preserve"> </v>
      </c>
      <c r="C660" s="20" t="s">
        <v>174</v>
      </c>
    </row>
    <row r="661" spans="1:3" ht="18" customHeight="1" x14ac:dyDescent="0.2">
      <c r="A661" s="3"/>
      <c r="B661" s="6" t="str">
        <f t="shared" si="10"/>
        <v xml:space="preserve"> </v>
      </c>
      <c r="C661" s="20" t="s">
        <v>174</v>
      </c>
    </row>
    <row r="662" spans="1:3" ht="18" customHeight="1" x14ac:dyDescent="0.2">
      <c r="A662" s="3"/>
      <c r="B662" s="6" t="str">
        <f t="shared" si="10"/>
        <v xml:space="preserve"> </v>
      </c>
      <c r="C662" s="20" t="s">
        <v>174</v>
      </c>
    </row>
    <row r="663" spans="1:3" ht="18" customHeight="1" x14ac:dyDescent="0.2">
      <c r="A663" s="3"/>
      <c r="B663" s="6" t="str">
        <f t="shared" si="10"/>
        <v xml:space="preserve"> </v>
      </c>
      <c r="C663" s="20" t="s">
        <v>174</v>
      </c>
    </row>
    <row r="664" spans="1:3" ht="18" customHeight="1" x14ac:dyDescent="0.2">
      <c r="A664" s="3"/>
      <c r="B664" s="6" t="str">
        <f t="shared" si="10"/>
        <v xml:space="preserve"> </v>
      </c>
      <c r="C664" s="20" t="s">
        <v>174</v>
      </c>
    </row>
    <row r="665" spans="1:3" ht="18" customHeight="1" x14ac:dyDescent="0.2">
      <c r="A665" s="3"/>
      <c r="B665" s="6" t="str">
        <f t="shared" si="10"/>
        <v xml:space="preserve"> </v>
      </c>
      <c r="C665" s="20" t="s">
        <v>174</v>
      </c>
    </row>
    <row r="666" spans="1:3" ht="18" customHeight="1" x14ac:dyDescent="0.2">
      <c r="A666" s="3"/>
      <c r="B666" s="6" t="str">
        <f t="shared" si="10"/>
        <v xml:space="preserve"> </v>
      </c>
      <c r="C666" s="20" t="s">
        <v>174</v>
      </c>
    </row>
    <row r="667" spans="1:3" ht="18" customHeight="1" x14ac:dyDescent="0.2">
      <c r="A667" s="3"/>
      <c r="B667" s="6" t="str">
        <f t="shared" si="10"/>
        <v xml:space="preserve"> </v>
      </c>
      <c r="C667" s="20" t="s">
        <v>174</v>
      </c>
    </row>
    <row r="668" spans="1:3" ht="18" customHeight="1" x14ac:dyDescent="0.2">
      <c r="A668" s="3"/>
      <c r="B668" s="6" t="str">
        <f t="shared" si="10"/>
        <v xml:space="preserve"> </v>
      </c>
      <c r="C668" s="20" t="s">
        <v>174</v>
      </c>
    </row>
    <row r="669" spans="1:3" ht="18" customHeight="1" x14ac:dyDescent="0.2">
      <c r="A669" s="3"/>
      <c r="B669" s="6" t="str">
        <f t="shared" si="10"/>
        <v xml:space="preserve"> </v>
      </c>
      <c r="C669" s="20" t="s">
        <v>174</v>
      </c>
    </row>
    <row r="670" spans="1:3" ht="18" customHeight="1" x14ac:dyDescent="0.2">
      <c r="A670" s="3"/>
      <c r="B670" s="6" t="str">
        <f t="shared" si="10"/>
        <v xml:space="preserve"> </v>
      </c>
      <c r="C670" s="20" t="s">
        <v>174</v>
      </c>
    </row>
    <row r="671" spans="1:3" ht="18" customHeight="1" x14ac:dyDescent="0.2">
      <c r="A671" s="3"/>
      <c r="B671" s="6" t="str">
        <f t="shared" si="10"/>
        <v xml:space="preserve"> </v>
      </c>
      <c r="C671" s="20" t="s">
        <v>174</v>
      </c>
    </row>
    <row r="672" spans="1:3" ht="18" customHeight="1" x14ac:dyDescent="0.2">
      <c r="A672" s="3"/>
      <c r="B672" s="6" t="str">
        <f t="shared" si="10"/>
        <v xml:space="preserve"> </v>
      </c>
      <c r="C672" s="20" t="s">
        <v>174</v>
      </c>
    </row>
    <row r="673" spans="1:3" ht="18" customHeight="1" x14ac:dyDescent="0.2">
      <c r="A673" s="3"/>
      <c r="B673" s="6" t="str">
        <f t="shared" si="10"/>
        <v xml:space="preserve"> </v>
      </c>
      <c r="C673" s="20" t="s">
        <v>174</v>
      </c>
    </row>
    <row r="674" spans="1:3" ht="18" customHeight="1" x14ac:dyDescent="0.2">
      <c r="A674" s="3"/>
      <c r="B674" s="6" t="str">
        <f t="shared" si="10"/>
        <v xml:space="preserve"> </v>
      </c>
      <c r="C674" s="20" t="s">
        <v>174</v>
      </c>
    </row>
    <row r="675" spans="1:3" ht="18" customHeight="1" x14ac:dyDescent="0.2">
      <c r="A675" s="3"/>
      <c r="B675" s="6" t="str">
        <f t="shared" si="10"/>
        <v xml:space="preserve"> </v>
      </c>
      <c r="C675" s="20" t="s">
        <v>174</v>
      </c>
    </row>
    <row r="676" spans="1:3" ht="18" customHeight="1" x14ac:dyDescent="0.2">
      <c r="A676" s="3"/>
      <c r="B676" s="6" t="str">
        <f t="shared" si="10"/>
        <v xml:space="preserve"> </v>
      </c>
      <c r="C676" s="20" t="s">
        <v>174</v>
      </c>
    </row>
    <row r="677" spans="1:3" ht="18" customHeight="1" x14ac:dyDescent="0.2">
      <c r="A677" s="3"/>
      <c r="B677" s="6" t="str">
        <f t="shared" si="10"/>
        <v xml:space="preserve"> </v>
      </c>
      <c r="C677" s="20" t="s">
        <v>174</v>
      </c>
    </row>
    <row r="678" spans="1:3" ht="18" customHeight="1" x14ac:dyDescent="0.2">
      <c r="A678" s="3"/>
      <c r="B678" s="6" t="str">
        <f t="shared" si="10"/>
        <v xml:space="preserve"> </v>
      </c>
      <c r="C678" s="20" t="s">
        <v>174</v>
      </c>
    </row>
    <row r="679" spans="1:3" ht="18" customHeight="1" x14ac:dyDescent="0.2">
      <c r="A679" s="3"/>
      <c r="B679" s="6" t="str">
        <f t="shared" si="10"/>
        <v xml:space="preserve"> </v>
      </c>
      <c r="C679" s="20" t="s">
        <v>174</v>
      </c>
    </row>
    <row r="680" spans="1:3" ht="18" customHeight="1" x14ac:dyDescent="0.2">
      <c r="A680" s="3"/>
      <c r="B680" s="6" t="str">
        <f t="shared" si="10"/>
        <v xml:space="preserve"> </v>
      </c>
      <c r="C680" s="20" t="s">
        <v>174</v>
      </c>
    </row>
    <row r="681" spans="1:3" ht="18" customHeight="1" x14ac:dyDescent="0.2">
      <c r="A681" s="3"/>
      <c r="B681" s="6" t="str">
        <f t="shared" si="10"/>
        <v xml:space="preserve"> </v>
      </c>
      <c r="C681" s="20" t="s">
        <v>174</v>
      </c>
    </row>
    <row r="682" spans="1:3" ht="18" customHeight="1" x14ac:dyDescent="0.2">
      <c r="A682" s="3"/>
      <c r="B682" s="6" t="str">
        <f t="shared" si="10"/>
        <v xml:space="preserve"> </v>
      </c>
      <c r="C682" s="20" t="s">
        <v>174</v>
      </c>
    </row>
    <row r="683" spans="1:3" ht="18" customHeight="1" x14ac:dyDescent="0.2">
      <c r="A683" s="3"/>
      <c r="B683" s="6" t="str">
        <f t="shared" si="10"/>
        <v xml:space="preserve"> </v>
      </c>
      <c r="C683" s="20" t="s">
        <v>174</v>
      </c>
    </row>
    <row r="684" spans="1:3" ht="18" customHeight="1" x14ac:dyDescent="0.2">
      <c r="A684" s="3"/>
      <c r="B684" s="6" t="str">
        <f t="shared" si="10"/>
        <v xml:space="preserve"> </v>
      </c>
      <c r="C684" s="20" t="s">
        <v>174</v>
      </c>
    </row>
    <row r="685" spans="1:3" ht="18" customHeight="1" x14ac:dyDescent="0.2">
      <c r="A685" s="3"/>
      <c r="B685" s="6" t="str">
        <f t="shared" si="10"/>
        <v xml:space="preserve"> </v>
      </c>
      <c r="C685" s="20" t="s">
        <v>174</v>
      </c>
    </row>
    <row r="686" spans="1:3" ht="18" customHeight="1" x14ac:dyDescent="0.2">
      <c r="A686" s="3"/>
      <c r="B686" s="6" t="str">
        <f t="shared" si="10"/>
        <v xml:space="preserve"> </v>
      </c>
      <c r="C686" s="20" t="s">
        <v>174</v>
      </c>
    </row>
    <row r="687" spans="1:3" ht="18" customHeight="1" x14ac:dyDescent="0.2">
      <c r="A687" s="3"/>
      <c r="B687" s="6" t="str">
        <f t="shared" si="10"/>
        <v xml:space="preserve"> </v>
      </c>
      <c r="C687" s="20" t="s">
        <v>174</v>
      </c>
    </row>
    <row r="688" spans="1:3" ht="18" customHeight="1" x14ac:dyDescent="0.2">
      <c r="A688" s="3"/>
      <c r="B688" s="6" t="str">
        <f t="shared" si="10"/>
        <v xml:space="preserve"> </v>
      </c>
      <c r="C688" s="20" t="s">
        <v>174</v>
      </c>
    </row>
    <row r="689" spans="1:3" ht="18" customHeight="1" x14ac:dyDescent="0.2">
      <c r="A689" s="3"/>
      <c r="B689" s="6" t="str">
        <f t="shared" si="10"/>
        <v xml:space="preserve"> </v>
      </c>
      <c r="C689" s="20" t="s">
        <v>174</v>
      </c>
    </row>
    <row r="690" spans="1:3" ht="18" customHeight="1" x14ac:dyDescent="0.2">
      <c r="A690" s="3"/>
      <c r="B690" s="6" t="str">
        <f t="shared" si="10"/>
        <v xml:space="preserve"> </v>
      </c>
      <c r="C690" s="20" t="s">
        <v>174</v>
      </c>
    </row>
    <row r="691" spans="1:3" ht="18" customHeight="1" x14ac:dyDescent="0.2">
      <c r="A691" s="3"/>
      <c r="B691" s="6" t="str">
        <f t="shared" si="10"/>
        <v xml:space="preserve"> </v>
      </c>
      <c r="C691" s="20" t="s">
        <v>174</v>
      </c>
    </row>
    <row r="692" spans="1:3" ht="18" customHeight="1" x14ac:dyDescent="0.2">
      <c r="A692" s="3"/>
      <c r="B692" s="6" t="str">
        <f t="shared" si="10"/>
        <v xml:space="preserve"> </v>
      </c>
      <c r="C692" s="20" t="s">
        <v>174</v>
      </c>
    </row>
    <row r="693" spans="1:3" ht="18" customHeight="1" x14ac:dyDescent="0.2">
      <c r="A693" s="3"/>
      <c r="B693" s="6" t="str">
        <f t="shared" si="10"/>
        <v xml:space="preserve"> </v>
      </c>
      <c r="C693" s="20" t="s">
        <v>174</v>
      </c>
    </row>
    <row r="694" spans="1:3" ht="18" customHeight="1" x14ac:dyDescent="0.2">
      <c r="A694" s="3"/>
      <c r="B694" s="6" t="str">
        <f t="shared" si="10"/>
        <v xml:space="preserve"> </v>
      </c>
      <c r="C694" s="20" t="s">
        <v>174</v>
      </c>
    </row>
    <row r="695" spans="1:3" ht="18" customHeight="1" x14ac:dyDescent="0.2">
      <c r="A695" s="3"/>
      <c r="B695" s="6" t="str">
        <f t="shared" si="10"/>
        <v xml:space="preserve"> </v>
      </c>
      <c r="C695" s="20" t="s">
        <v>174</v>
      </c>
    </row>
    <row r="696" spans="1:3" ht="18" customHeight="1" x14ac:dyDescent="0.2">
      <c r="A696" s="3"/>
      <c r="B696" s="6" t="str">
        <f t="shared" si="10"/>
        <v xml:space="preserve"> </v>
      </c>
      <c r="C696" s="20" t="s">
        <v>174</v>
      </c>
    </row>
    <row r="697" spans="1:3" ht="18" customHeight="1" x14ac:dyDescent="0.2">
      <c r="A697" s="3"/>
      <c r="B697" s="6" t="str">
        <f t="shared" si="10"/>
        <v xml:space="preserve"> </v>
      </c>
      <c r="C697" s="20" t="s">
        <v>174</v>
      </c>
    </row>
    <row r="698" spans="1:3" ht="18" customHeight="1" x14ac:dyDescent="0.2">
      <c r="A698" s="3"/>
      <c r="B698" s="6" t="str">
        <f t="shared" si="10"/>
        <v xml:space="preserve"> </v>
      </c>
      <c r="C698" s="20" t="s">
        <v>174</v>
      </c>
    </row>
    <row r="699" spans="1:3" ht="18" customHeight="1" x14ac:dyDescent="0.2">
      <c r="A699" s="3"/>
      <c r="B699" s="6" t="str">
        <f t="shared" si="10"/>
        <v xml:space="preserve"> </v>
      </c>
      <c r="C699" s="20" t="s">
        <v>174</v>
      </c>
    </row>
    <row r="700" spans="1:3" ht="18" customHeight="1" x14ac:dyDescent="0.2">
      <c r="A700" s="3"/>
      <c r="B700" s="6" t="str">
        <f t="shared" si="10"/>
        <v xml:space="preserve"> </v>
      </c>
      <c r="C700" s="20" t="s">
        <v>174</v>
      </c>
    </row>
    <row r="701" spans="1:3" ht="18" customHeight="1" x14ac:dyDescent="0.2">
      <c r="A701" s="3"/>
      <c r="B701" s="6" t="str">
        <f t="shared" si="10"/>
        <v xml:space="preserve"> </v>
      </c>
      <c r="C701" s="20" t="s">
        <v>174</v>
      </c>
    </row>
    <row r="702" spans="1:3" ht="18" customHeight="1" x14ac:dyDescent="0.2">
      <c r="A702" s="3"/>
      <c r="B702" s="6" t="str">
        <f t="shared" si="10"/>
        <v xml:space="preserve"> </v>
      </c>
      <c r="C702" s="20" t="s">
        <v>174</v>
      </c>
    </row>
    <row r="703" spans="1:3" ht="18" customHeight="1" x14ac:dyDescent="0.2">
      <c r="A703" s="3"/>
      <c r="B703" s="6" t="str">
        <f t="shared" si="10"/>
        <v xml:space="preserve"> </v>
      </c>
      <c r="C703" s="20" t="s">
        <v>174</v>
      </c>
    </row>
    <row r="704" spans="1:3" ht="18" customHeight="1" x14ac:dyDescent="0.2">
      <c r="A704" s="3"/>
      <c r="B704" s="6" t="str">
        <f t="shared" si="10"/>
        <v xml:space="preserve"> </v>
      </c>
      <c r="C704" s="20" t="s">
        <v>174</v>
      </c>
    </row>
    <row r="705" spans="1:3" ht="18" customHeight="1" x14ac:dyDescent="0.2">
      <c r="A705" s="3"/>
      <c r="B705" s="6" t="str">
        <f t="shared" si="10"/>
        <v xml:space="preserve"> </v>
      </c>
      <c r="C705" s="20" t="s">
        <v>174</v>
      </c>
    </row>
    <row r="706" spans="1:3" ht="18" customHeight="1" x14ac:dyDescent="0.2">
      <c r="A706" s="3"/>
      <c r="B706" s="6" t="str">
        <f t="shared" si="10"/>
        <v xml:space="preserve"> </v>
      </c>
      <c r="C706" s="20" t="s">
        <v>174</v>
      </c>
    </row>
    <row r="707" spans="1:3" ht="18" customHeight="1" x14ac:dyDescent="0.2">
      <c r="A707" s="3"/>
      <c r="B707" s="6" t="str">
        <f t="shared" ref="B707:B770" si="11">IF(ISBLANK(A707)=TRUE,B706,B706&amp;","&amp;A707)</f>
        <v xml:space="preserve"> </v>
      </c>
      <c r="C707" s="20" t="s">
        <v>174</v>
      </c>
    </row>
    <row r="708" spans="1:3" ht="18" customHeight="1" x14ac:dyDescent="0.2">
      <c r="A708" s="3"/>
      <c r="B708" s="6" t="str">
        <f t="shared" si="11"/>
        <v xml:space="preserve"> </v>
      </c>
      <c r="C708" s="20" t="s">
        <v>174</v>
      </c>
    </row>
    <row r="709" spans="1:3" ht="18" customHeight="1" x14ac:dyDescent="0.2">
      <c r="A709" s="3"/>
      <c r="B709" s="6" t="str">
        <f t="shared" si="11"/>
        <v xml:space="preserve"> </v>
      </c>
      <c r="C709" s="20" t="s">
        <v>174</v>
      </c>
    </row>
    <row r="710" spans="1:3" ht="18" customHeight="1" x14ac:dyDescent="0.2">
      <c r="A710" s="3"/>
      <c r="B710" s="6" t="str">
        <f t="shared" si="11"/>
        <v xml:space="preserve"> </v>
      </c>
      <c r="C710" s="20" t="s">
        <v>174</v>
      </c>
    </row>
    <row r="711" spans="1:3" ht="18" customHeight="1" x14ac:dyDescent="0.2">
      <c r="A711" s="3"/>
      <c r="B711" s="6" t="str">
        <f t="shared" si="11"/>
        <v xml:space="preserve"> </v>
      </c>
      <c r="C711" s="20" t="s">
        <v>174</v>
      </c>
    </row>
    <row r="712" spans="1:3" ht="18" customHeight="1" x14ac:dyDescent="0.2">
      <c r="A712" s="3"/>
      <c r="B712" s="6" t="str">
        <f t="shared" si="11"/>
        <v xml:space="preserve"> </v>
      </c>
      <c r="C712" s="20" t="s">
        <v>174</v>
      </c>
    </row>
    <row r="713" spans="1:3" ht="18" customHeight="1" x14ac:dyDescent="0.2">
      <c r="A713" s="3"/>
      <c r="B713" s="6" t="str">
        <f t="shared" si="11"/>
        <v xml:space="preserve"> </v>
      </c>
      <c r="C713" s="20" t="s">
        <v>174</v>
      </c>
    </row>
    <row r="714" spans="1:3" ht="18" customHeight="1" x14ac:dyDescent="0.2">
      <c r="A714" s="3"/>
      <c r="B714" s="6" t="str">
        <f t="shared" si="11"/>
        <v xml:space="preserve"> </v>
      </c>
      <c r="C714" s="20" t="s">
        <v>174</v>
      </c>
    </row>
    <row r="715" spans="1:3" ht="18" customHeight="1" x14ac:dyDescent="0.2">
      <c r="A715" s="3"/>
      <c r="B715" s="6" t="str">
        <f t="shared" si="11"/>
        <v xml:space="preserve"> </v>
      </c>
      <c r="C715" s="20" t="s">
        <v>174</v>
      </c>
    </row>
    <row r="716" spans="1:3" ht="18" customHeight="1" x14ac:dyDescent="0.2">
      <c r="A716" s="3"/>
      <c r="B716" s="6" t="str">
        <f t="shared" si="11"/>
        <v xml:space="preserve"> </v>
      </c>
      <c r="C716" s="20" t="s">
        <v>174</v>
      </c>
    </row>
    <row r="717" spans="1:3" ht="18" customHeight="1" x14ac:dyDescent="0.2">
      <c r="A717" s="3"/>
      <c r="B717" s="6" t="str">
        <f t="shared" si="11"/>
        <v xml:space="preserve"> </v>
      </c>
      <c r="C717" s="20" t="s">
        <v>174</v>
      </c>
    </row>
    <row r="718" spans="1:3" ht="18" customHeight="1" x14ac:dyDescent="0.2">
      <c r="A718" s="3"/>
      <c r="B718" s="6" t="str">
        <f t="shared" si="11"/>
        <v xml:space="preserve"> </v>
      </c>
      <c r="C718" s="20" t="s">
        <v>174</v>
      </c>
    </row>
    <row r="719" spans="1:3" ht="18" customHeight="1" x14ac:dyDescent="0.2">
      <c r="A719" s="3"/>
      <c r="B719" s="6" t="str">
        <f t="shared" si="11"/>
        <v xml:space="preserve"> </v>
      </c>
      <c r="C719" s="20" t="s">
        <v>174</v>
      </c>
    </row>
    <row r="720" spans="1:3" ht="18" customHeight="1" x14ac:dyDescent="0.2">
      <c r="A720" s="3"/>
      <c r="B720" s="6" t="str">
        <f t="shared" si="11"/>
        <v xml:space="preserve"> </v>
      </c>
      <c r="C720" s="20" t="s">
        <v>174</v>
      </c>
    </row>
    <row r="721" spans="1:3" ht="18" customHeight="1" x14ac:dyDescent="0.2">
      <c r="A721" s="3"/>
      <c r="B721" s="6" t="str">
        <f t="shared" si="11"/>
        <v xml:space="preserve"> </v>
      </c>
      <c r="C721" s="20" t="s">
        <v>174</v>
      </c>
    </row>
    <row r="722" spans="1:3" ht="18" customHeight="1" x14ac:dyDescent="0.2">
      <c r="A722" s="3"/>
      <c r="B722" s="6" t="str">
        <f t="shared" si="11"/>
        <v xml:space="preserve"> </v>
      </c>
      <c r="C722" s="20" t="s">
        <v>174</v>
      </c>
    </row>
    <row r="723" spans="1:3" ht="18" customHeight="1" x14ac:dyDescent="0.2">
      <c r="A723" s="3"/>
      <c r="B723" s="6" t="str">
        <f t="shared" si="11"/>
        <v xml:space="preserve"> </v>
      </c>
      <c r="C723" s="20" t="s">
        <v>174</v>
      </c>
    </row>
    <row r="724" spans="1:3" ht="18" customHeight="1" x14ac:dyDescent="0.2">
      <c r="A724" s="3"/>
      <c r="B724" s="6" t="str">
        <f t="shared" si="11"/>
        <v xml:space="preserve"> </v>
      </c>
      <c r="C724" s="20" t="s">
        <v>174</v>
      </c>
    </row>
    <row r="725" spans="1:3" ht="18" customHeight="1" x14ac:dyDescent="0.2">
      <c r="A725" s="3"/>
      <c r="B725" s="6" t="str">
        <f t="shared" si="11"/>
        <v xml:space="preserve"> </v>
      </c>
      <c r="C725" s="20" t="s">
        <v>174</v>
      </c>
    </row>
    <row r="726" spans="1:3" ht="18" customHeight="1" x14ac:dyDescent="0.2">
      <c r="A726" s="3"/>
      <c r="B726" s="6" t="str">
        <f t="shared" si="11"/>
        <v xml:space="preserve"> </v>
      </c>
      <c r="C726" s="20" t="s">
        <v>174</v>
      </c>
    </row>
    <row r="727" spans="1:3" ht="18" customHeight="1" x14ac:dyDescent="0.2">
      <c r="A727" s="3"/>
      <c r="B727" s="6" t="str">
        <f t="shared" si="11"/>
        <v xml:space="preserve"> </v>
      </c>
      <c r="C727" s="20" t="s">
        <v>174</v>
      </c>
    </row>
    <row r="728" spans="1:3" ht="18" customHeight="1" x14ac:dyDescent="0.2">
      <c r="A728" s="3"/>
      <c r="B728" s="6" t="str">
        <f t="shared" si="11"/>
        <v xml:space="preserve"> </v>
      </c>
      <c r="C728" s="20" t="s">
        <v>174</v>
      </c>
    </row>
    <row r="729" spans="1:3" ht="18" customHeight="1" x14ac:dyDescent="0.2">
      <c r="A729" s="3"/>
      <c r="B729" s="6" t="str">
        <f t="shared" si="11"/>
        <v xml:space="preserve"> </v>
      </c>
      <c r="C729" s="20" t="s">
        <v>174</v>
      </c>
    </row>
    <row r="730" spans="1:3" ht="18" customHeight="1" x14ac:dyDescent="0.2">
      <c r="A730" s="3"/>
      <c r="B730" s="6" t="str">
        <f t="shared" si="11"/>
        <v xml:space="preserve"> </v>
      </c>
      <c r="C730" s="20" t="s">
        <v>174</v>
      </c>
    </row>
    <row r="731" spans="1:3" ht="18" customHeight="1" x14ac:dyDescent="0.2">
      <c r="A731" s="3"/>
      <c r="B731" s="6" t="str">
        <f t="shared" si="11"/>
        <v xml:space="preserve"> </v>
      </c>
      <c r="C731" s="20" t="s">
        <v>174</v>
      </c>
    </row>
    <row r="732" spans="1:3" ht="18" customHeight="1" x14ac:dyDescent="0.2">
      <c r="A732" s="3"/>
      <c r="B732" s="6" t="str">
        <f t="shared" si="11"/>
        <v xml:space="preserve"> </v>
      </c>
      <c r="C732" s="20" t="s">
        <v>174</v>
      </c>
    </row>
    <row r="733" spans="1:3" ht="18" customHeight="1" x14ac:dyDescent="0.2">
      <c r="A733" s="3"/>
      <c r="B733" s="6" t="str">
        <f t="shared" si="11"/>
        <v xml:space="preserve"> </v>
      </c>
      <c r="C733" s="20" t="s">
        <v>174</v>
      </c>
    </row>
    <row r="734" spans="1:3" ht="18" customHeight="1" x14ac:dyDescent="0.2">
      <c r="A734" s="3"/>
      <c r="B734" s="6" t="str">
        <f t="shared" si="11"/>
        <v xml:space="preserve"> </v>
      </c>
      <c r="C734" s="20" t="s">
        <v>174</v>
      </c>
    </row>
    <row r="735" spans="1:3" ht="18" customHeight="1" x14ac:dyDescent="0.2">
      <c r="A735" s="3"/>
      <c r="B735" s="6" t="str">
        <f t="shared" si="11"/>
        <v xml:space="preserve"> </v>
      </c>
      <c r="C735" s="20" t="s">
        <v>174</v>
      </c>
    </row>
    <row r="736" spans="1:3" ht="18" customHeight="1" x14ac:dyDescent="0.2">
      <c r="A736" s="3"/>
      <c r="B736" s="6" t="str">
        <f t="shared" si="11"/>
        <v xml:space="preserve"> </v>
      </c>
      <c r="C736" s="20" t="s">
        <v>174</v>
      </c>
    </row>
    <row r="737" spans="1:3" ht="18" customHeight="1" x14ac:dyDescent="0.2">
      <c r="A737" s="3"/>
      <c r="B737" s="6" t="str">
        <f t="shared" si="11"/>
        <v xml:space="preserve"> </v>
      </c>
      <c r="C737" s="20" t="s">
        <v>174</v>
      </c>
    </row>
    <row r="738" spans="1:3" ht="18" customHeight="1" x14ac:dyDescent="0.2">
      <c r="A738" s="3"/>
      <c r="B738" s="6" t="str">
        <f t="shared" si="11"/>
        <v xml:space="preserve"> </v>
      </c>
      <c r="C738" s="20" t="s">
        <v>174</v>
      </c>
    </row>
    <row r="739" spans="1:3" ht="18" customHeight="1" x14ac:dyDescent="0.2">
      <c r="A739" s="3"/>
      <c r="B739" s="6" t="str">
        <f t="shared" si="11"/>
        <v xml:space="preserve"> </v>
      </c>
      <c r="C739" s="20" t="s">
        <v>174</v>
      </c>
    </row>
    <row r="740" spans="1:3" ht="18" customHeight="1" x14ac:dyDescent="0.2">
      <c r="A740" s="3"/>
      <c r="B740" s="6" t="str">
        <f t="shared" si="11"/>
        <v xml:space="preserve"> </v>
      </c>
      <c r="C740" s="20" t="s">
        <v>174</v>
      </c>
    </row>
    <row r="741" spans="1:3" ht="18" customHeight="1" x14ac:dyDescent="0.2">
      <c r="A741" s="3"/>
      <c r="B741" s="6" t="str">
        <f t="shared" si="11"/>
        <v xml:space="preserve"> </v>
      </c>
      <c r="C741" s="20" t="s">
        <v>174</v>
      </c>
    </row>
    <row r="742" spans="1:3" ht="18" customHeight="1" x14ac:dyDescent="0.2">
      <c r="A742" s="3"/>
      <c r="B742" s="6" t="str">
        <f t="shared" si="11"/>
        <v xml:space="preserve"> </v>
      </c>
      <c r="C742" s="20" t="s">
        <v>174</v>
      </c>
    </row>
    <row r="743" spans="1:3" ht="18" customHeight="1" x14ac:dyDescent="0.2">
      <c r="A743" s="3"/>
      <c r="B743" s="6" t="str">
        <f t="shared" si="11"/>
        <v xml:space="preserve"> </v>
      </c>
      <c r="C743" s="20" t="s">
        <v>174</v>
      </c>
    </row>
    <row r="744" spans="1:3" ht="18" customHeight="1" x14ac:dyDescent="0.2">
      <c r="A744" s="3"/>
      <c r="B744" s="6" t="str">
        <f t="shared" si="11"/>
        <v xml:space="preserve"> </v>
      </c>
      <c r="C744" s="20" t="s">
        <v>174</v>
      </c>
    </row>
    <row r="745" spans="1:3" ht="18" customHeight="1" x14ac:dyDescent="0.2">
      <c r="A745" s="3"/>
      <c r="B745" s="6" t="str">
        <f t="shared" si="11"/>
        <v xml:space="preserve"> </v>
      </c>
      <c r="C745" s="20" t="s">
        <v>174</v>
      </c>
    </row>
    <row r="746" spans="1:3" ht="18" customHeight="1" x14ac:dyDescent="0.2">
      <c r="A746" s="3"/>
      <c r="B746" s="6" t="str">
        <f t="shared" si="11"/>
        <v xml:space="preserve"> </v>
      </c>
      <c r="C746" s="20" t="s">
        <v>174</v>
      </c>
    </row>
    <row r="747" spans="1:3" ht="18" customHeight="1" x14ac:dyDescent="0.2">
      <c r="A747" s="3"/>
      <c r="B747" s="6" t="str">
        <f t="shared" si="11"/>
        <v xml:space="preserve"> </v>
      </c>
      <c r="C747" s="20" t="s">
        <v>174</v>
      </c>
    </row>
    <row r="748" spans="1:3" ht="18" customHeight="1" x14ac:dyDescent="0.2">
      <c r="A748" s="3"/>
      <c r="B748" s="6" t="str">
        <f t="shared" si="11"/>
        <v xml:space="preserve"> </v>
      </c>
      <c r="C748" s="20" t="s">
        <v>174</v>
      </c>
    </row>
    <row r="749" spans="1:3" ht="18" customHeight="1" x14ac:dyDescent="0.2">
      <c r="A749" s="3"/>
      <c r="B749" s="6" t="str">
        <f t="shared" si="11"/>
        <v xml:space="preserve"> </v>
      </c>
      <c r="C749" s="20" t="s">
        <v>174</v>
      </c>
    </row>
    <row r="750" spans="1:3" ht="18" customHeight="1" x14ac:dyDescent="0.2">
      <c r="A750" s="3"/>
      <c r="B750" s="6" t="str">
        <f t="shared" si="11"/>
        <v xml:space="preserve"> </v>
      </c>
      <c r="C750" s="20" t="s">
        <v>174</v>
      </c>
    </row>
    <row r="751" spans="1:3" ht="18" customHeight="1" x14ac:dyDescent="0.2">
      <c r="A751" s="3"/>
      <c r="B751" s="6" t="str">
        <f t="shared" si="11"/>
        <v xml:space="preserve"> </v>
      </c>
      <c r="C751" s="20" t="s">
        <v>174</v>
      </c>
    </row>
    <row r="752" spans="1:3" ht="18" customHeight="1" x14ac:dyDescent="0.2">
      <c r="A752" s="3"/>
      <c r="B752" s="6" t="str">
        <f t="shared" si="11"/>
        <v xml:space="preserve"> </v>
      </c>
      <c r="C752" s="20" t="s">
        <v>174</v>
      </c>
    </row>
    <row r="753" spans="1:3" ht="18" customHeight="1" x14ac:dyDescent="0.2">
      <c r="A753" s="3"/>
      <c r="B753" s="6" t="str">
        <f t="shared" si="11"/>
        <v xml:space="preserve"> </v>
      </c>
      <c r="C753" s="20" t="s">
        <v>174</v>
      </c>
    </row>
    <row r="754" spans="1:3" ht="18" customHeight="1" x14ac:dyDescent="0.2">
      <c r="A754" s="3"/>
      <c r="B754" s="6" t="str">
        <f t="shared" si="11"/>
        <v xml:space="preserve"> </v>
      </c>
      <c r="C754" s="20" t="s">
        <v>174</v>
      </c>
    </row>
    <row r="755" spans="1:3" ht="18" customHeight="1" x14ac:dyDescent="0.2">
      <c r="A755" s="3"/>
      <c r="B755" s="6" t="str">
        <f t="shared" si="11"/>
        <v xml:space="preserve"> </v>
      </c>
      <c r="C755" s="20" t="s">
        <v>174</v>
      </c>
    </row>
    <row r="756" spans="1:3" ht="18" customHeight="1" x14ac:dyDescent="0.2">
      <c r="A756" s="3"/>
      <c r="B756" s="6" t="str">
        <f t="shared" si="11"/>
        <v xml:space="preserve"> </v>
      </c>
      <c r="C756" s="20" t="s">
        <v>174</v>
      </c>
    </row>
    <row r="757" spans="1:3" ht="18" customHeight="1" x14ac:dyDescent="0.2">
      <c r="A757" s="3"/>
      <c r="B757" s="6" t="str">
        <f t="shared" si="11"/>
        <v xml:space="preserve"> </v>
      </c>
      <c r="C757" s="20" t="s">
        <v>174</v>
      </c>
    </row>
    <row r="758" spans="1:3" ht="18" customHeight="1" x14ac:dyDescent="0.2">
      <c r="A758" s="3"/>
      <c r="B758" s="6" t="str">
        <f t="shared" si="11"/>
        <v xml:space="preserve"> </v>
      </c>
      <c r="C758" s="20" t="s">
        <v>174</v>
      </c>
    </row>
    <row r="759" spans="1:3" ht="18" customHeight="1" x14ac:dyDescent="0.2">
      <c r="A759" s="3"/>
      <c r="B759" s="6" t="str">
        <f t="shared" si="11"/>
        <v xml:space="preserve"> </v>
      </c>
      <c r="C759" s="20" t="s">
        <v>174</v>
      </c>
    </row>
    <row r="760" spans="1:3" ht="18" customHeight="1" x14ac:dyDescent="0.2">
      <c r="A760" s="3"/>
      <c r="B760" s="6" t="str">
        <f t="shared" si="11"/>
        <v xml:space="preserve"> </v>
      </c>
      <c r="C760" s="20" t="s">
        <v>174</v>
      </c>
    </row>
    <row r="761" spans="1:3" ht="18" customHeight="1" x14ac:dyDescent="0.2">
      <c r="A761" s="3"/>
      <c r="B761" s="6" t="str">
        <f t="shared" si="11"/>
        <v xml:space="preserve"> </v>
      </c>
      <c r="C761" s="20" t="s">
        <v>174</v>
      </c>
    </row>
    <row r="762" spans="1:3" ht="18" customHeight="1" x14ac:dyDescent="0.2">
      <c r="A762" s="3"/>
      <c r="B762" s="6" t="str">
        <f t="shared" si="11"/>
        <v xml:space="preserve"> </v>
      </c>
      <c r="C762" s="20" t="s">
        <v>174</v>
      </c>
    </row>
    <row r="763" spans="1:3" ht="18" customHeight="1" x14ac:dyDescent="0.2">
      <c r="A763" s="3"/>
      <c r="B763" s="6" t="str">
        <f t="shared" si="11"/>
        <v xml:space="preserve"> </v>
      </c>
      <c r="C763" s="20" t="s">
        <v>174</v>
      </c>
    </row>
    <row r="764" spans="1:3" ht="18" customHeight="1" x14ac:dyDescent="0.2">
      <c r="A764" s="3"/>
      <c r="B764" s="6" t="str">
        <f t="shared" si="11"/>
        <v xml:space="preserve"> </v>
      </c>
      <c r="C764" s="20" t="s">
        <v>174</v>
      </c>
    </row>
    <row r="765" spans="1:3" ht="18" customHeight="1" x14ac:dyDescent="0.2">
      <c r="A765" s="3"/>
      <c r="B765" s="6" t="str">
        <f t="shared" si="11"/>
        <v xml:space="preserve"> </v>
      </c>
      <c r="C765" s="20" t="s">
        <v>174</v>
      </c>
    </row>
    <row r="766" spans="1:3" ht="18" customHeight="1" x14ac:dyDescent="0.2">
      <c r="A766" s="3"/>
      <c r="B766" s="6" t="str">
        <f t="shared" si="11"/>
        <v xml:space="preserve"> </v>
      </c>
      <c r="C766" s="20" t="s">
        <v>174</v>
      </c>
    </row>
    <row r="767" spans="1:3" ht="18" customHeight="1" x14ac:dyDescent="0.2">
      <c r="A767" s="3"/>
      <c r="B767" s="6" t="str">
        <f t="shared" si="11"/>
        <v xml:space="preserve"> </v>
      </c>
      <c r="C767" s="20" t="s">
        <v>174</v>
      </c>
    </row>
    <row r="768" spans="1:3" ht="18" customHeight="1" x14ac:dyDescent="0.2">
      <c r="A768" s="3"/>
      <c r="B768" s="6" t="str">
        <f t="shared" si="11"/>
        <v xml:space="preserve"> </v>
      </c>
      <c r="C768" s="20" t="s">
        <v>174</v>
      </c>
    </row>
    <row r="769" spans="1:3" ht="18" customHeight="1" x14ac:dyDescent="0.2">
      <c r="A769" s="3"/>
      <c r="B769" s="6" t="str">
        <f t="shared" si="11"/>
        <v xml:space="preserve"> </v>
      </c>
      <c r="C769" s="20" t="s">
        <v>174</v>
      </c>
    </row>
    <row r="770" spans="1:3" ht="18" customHeight="1" x14ac:dyDescent="0.2">
      <c r="A770" s="3"/>
      <c r="B770" s="6" t="str">
        <f t="shared" si="11"/>
        <v xml:space="preserve"> </v>
      </c>
      <c r="C770" s="20" t="s">
        <v>174</v>
      </c>
    </row>
    <row r="771" spans="1:3" ht="18" customHeight="1" x14ac:dyDescent="0.2">
      <c r="A771" s="3"/>
      <c r="B771" s="6" t="str">
        <f t="shared" ref="B771:B834" si="12">IF(ISBLANK(A771)=TRUE,B770,B770&amp;","&amp;A771)</f>
        <v xml:space="preserve"> </v>
      </c>
      <c r="C771" s="20" t="s">
        <v>174</v>
      </c>
    </row>
    <row r="772" spans="1:3" ht="18" customHeight="1" x14ac:dyDescent="0.2">
      <c r="A772" s="3"/>
      <c r="B772" s="6" t="str">
        <f t="shared" si="12"/>
        <v xml:space="preserve"> </v>
      </c>
      <c r="C772" s="20" t="s">
        <v>174</v>
      </c>
    </row>
    <row r="773" spans="1:3" ht="18" customHeight="1" x14ac:dyDescent="0.2">
      <c r="A773" s="3"/>
      <c r="B773" s="6" t="str">
        <f t="shared" si="12"/>
        <v xml:space="preserve"> </v>
      </c>
      <c r="C773" s="20" t="s">
        <v>174</v>
      </c>
    </row>
    <row r="774" spans="1:3" ht="18" customHeight="1" x14ac:dyDescent="0.2">
      <c r="A774" s="3"/>
      <c r="B774" s="6" t="str">
        <f t="shared" si="12"/>
        <v xml:space="preserve"> </v>
      </c>
      <c r="C774" s="20" t="s">
        <v>174</v>
      </c>
    </row>
    <row r="775" spans="1:3" ht="18" customHeight="1" x14ac:dyDescent="0.2">
      <c r="A775" s="3"/>
      <c r="B775" s="6" t="str">
        <f t="shared" si="12"/>
        <v xml:space="preserve"> </v>
      </c>
      <c r="C775" s="20" t="s">
        <v>174</v>
      </c>
    </row>
    <row r="776" spans="1:3" ht="18" customHeight="1" x14ac:dyDescent="0.2">
      <c r="A776" s="3"/>
      <c r="B776" s="6" t="str">
        <f t="shared" si="12"/>
        <v xml:space="preserve"> </v>
      </c>
      <c r="C776" s="20" t="s">
        <v>174</v>
      </c>
    </row>
    <row r="777" spans="1:3" ht="18" customHeight="1" x14ac:dyDescent="0.2">
      <c r="A777" s="3"/>
      <c r="B777" s="6" t="str">
        <f t="shared" si="12"/>
        <v xml:space="preserve"> </v>
      </c>
      <c r="C777" s="20" t="s">
        <v>174</v>
      </c>
    </row>
    <row r="778" spans="1:3" ht="18" customHeight="1" x14ac:dyDescent="0.2">
      <c r="A778" s="3"/>
      <c r="B778" s="6" t="str">
        <f t="shared" si="12"/>
        <v xml:space="preserve"> </v>
      </c>
      <c r="C778" s="20" t="s">
        <v>174</v>
      </c>
    </row>
    <row r="779" spans="1:3" ht="18" customHeight="1" x14ac:dyDescent="0.2">
      <c r="A779" s="3"/>
      <c r="B779" s="6" t="str">
        <f t="shared" si="12"/>
        <v xml:space="preserve"> </v>
      </c>
      <c r="C779" s="20" t="s">
        <v>174</v>
      </c>
    </row>
    <row r="780" spans="1:3" ht="18" customHeight="1" x14ac:dyDescent="0.2">
      <c r="A780" s="3"/>
      <c r="B780" s="6" t="str">
        <f t="shared" si="12"/>
        <v xml:space="preserve"> </v>
      </c>
      <c r="C780" s="20" t="s">
        <v>174</v>
      </c>
    </row>
    <row r="781" spans="1:3" ht="18" customHeight="1" x14ac:dyDescent="0.2">
      <c r="A781" s="3"/>
      <c r="B781" s="6" t="str">
        <f t="shared" si="12"/>
        <v xml:space="preserve"> </v>
      </c>
      <c r="C781" s="20" t="s">
        <v>174</v>
      </c>
    </row>
    <row r="782" spans="1:3" ht="18" customHeight="1" x14ac:dyDescent="0.2">
      <c r="A782" s="3"/>
      <c r="B782" s="6" t="str">
        <f t="shared" si="12"/>
        <v xml:space="preserve"> </v>
      </c>
      <c r="C782" s="20" t="s">
        <v>174</v>
      </c>
    </row>
    <row r="783" spans="1:3" ht="18" customHeight="1" x14ac:dyDescent="0.2">
      <c r="A783" s="3"/>
      <c r="B783" s="6" t="str">
        <f t="shared" si="12"/>
        <v xml:space="preserve"> </v>
      </c>
      <c r="C783" s="20" t="s">
        <v>174</v>
      </c>
    </row>
    <row r="784" spans="1:3" ht="18" customHeight="1" x14ac:dyDescent="0.2">
      <c r="A784" s="3"/>
      <c r="B784" s="6" t="str">
        <f t="shared" si="12"/>
        <v xml:space="preserve"> </v>
      </c>
      <c r="C784" s="20" t="s">
        <v>174</v>
      </c>
    </row>
    <row r="785" spans="1:3" ht="18" customHeight="1" x14ac:dyDescent="0.2">
      <c r="A785" s="3"/>
      <c r="B785" s="6" t="str">
        <f t="shared" si="12"/>
        <v xml:space="preserve"> </v>
      </c>
      <c r="C785" s="20" t="s">
        <v>174</v>
      </c>
    </row>
    <row r="786" spans="1:3" ht="18" customHeight="1" x14ac:dyDescent="0.2">
      <c r="A786" s="3"/>
      <c r="B786" s="6" t="str">
        <f t="shared" si="12"/>
        <v xml:space="preserve"> </v>
      </c>
      <c r="C786" s="20" t="s">
        <v>174</v>
      </c>
    </row>
    <row r="787" spans="1:3" ht="18" customHeight="1" x14ac:dyDescent="0.2">
      <c r="A787" s="3"/>
      <c r="B787" s="6" t="str">
        <f t="shared" si="12"/>
        <v xml:space="preserve"> </v>
      </c>
      <c r="C787" s="20" t="s">
        <v>174</v>
      </c>
    </row>
    <row r="788" spans="1:3" ht="18" customHeight="1" x14ac:dyDescent="0.2">
      <c r="A788" s="3"/>
      <c r="B788" s="6" t="str">
        <f t="shared" si="12"/>
        <v xml:space="preserve"> </v>
      </c>
      <c r="C788" s="20" t="s">
        <v>174</v>
      </c>
    </row>
    <row r="789" spans="1:3" ht="18" customHeight="1" x14ac:dyDescent="0.2">
      <c r="A789" s="3"/>
      <c r="B789" s="6" t="str">
        <f t="shared" si="12"/>
        <v xml:space="preserve"> </v>
      </c>
      <c r="C789" s="20" t="s">
        <v>174</v>
      </c>
    </row>
    <row r="790" spans="1:3" ht="18" customHeight="1" x14ac:dyDescent="0.2">
      <c r="A790" s="3"/>
      <c r="B790" s="6" t="str">
        <f t="shared" si="12"/>
        <v xml:space="preserve"> </v>
      </c>
      <c r="C790" s="20" t="s">
        <v>174</v>
      </c>
    </row>
    <row r="791" spans="1:3" ht="18" customHeight="1" x14ac:dyDescent="0.2">
      <c r="A791" s="3"/>
      <c r="B791" s="6" t="str">
        <f t="shared" si="12"/>
        <v xml:space="preserve"> </v>
      </c>
      <c r="C791" s="20" t="s">
        <v>174</v>
      </c>
    </row>
    <row r="792" spans="1:3" ht="18" customHeight="1" x14ac:dyDescent="0.2">
      <c r="A792" s="3"/>
      <c r="B792" s="6" t="str">
        <f t="shared" si="12"/>
        <v xml:space="preserve"> </v>
      </c>
      <c r="C792" s="20" t="s">
        <v>174</v>
      </c>
    </row>
    <row r="793" spans="1:3" ht="18" customHeight="1" x14ac:dyDescent="0.2">
      <c r="A793" s="3"/>
      <c r="B793" s="6" t="str">
        <f t="shared" si="12"/>
        <v xml:space="preserve"> </v>
      </c>
      <c r="C793" s="20" t="s">
        <v>174</v>
      </c>
    </row>
    <row r="794" spans="1:3" ht="18" customHeight="1" x14ac:dyDescent="0.2">
      <c r="A794" s="3"/>
      <c r="B794" s="6" t="str">
        <f t="shared" si="12"/>
        <v xml:space="preserve"> </v>
      </c>
      <c r="C794" s="20" t="s">
        <v>174</v>
      </c>
    </row>
    <row r="795" spans="1:3" ht="18" customHeight="1" x14ac:dyDescent="0.2">
      <c r="A795" s="3"/>
      <c r="B795" s="6" t="str">
        <f t="shared" si="12"/>
        <v xml:space="preserve"> </v>
      </c>
      <c r="C795" s="20" t="s">
        <v>174</v>
      </c>
    </row>
    <row r="796" spans="1:3" ht="18" customHeight="1" x14ac:dyDescent="0.2">
      <c r="A796" s="3"/>
      <c r="B796" s="6" t="str">
        <f t="shared" si="12"/>
        <v xml:space="preserve"> </v>
      </c>
      <c r="C796" s="20" t="s">
        <v>174</v>
      </c>
    </row>
    <row r="797" spans="1:3" ht="18" customHeight="1" x14ac:dyDescent="0.2">
      <c r="A797" s="3"/>
      <c r="B797" s="6" t="str">
        <f t="shared" si="12"/>
        <v xml:space="preserve"> </v>
      </c>
      <c r="C797" s="20" t="s">
        <v>174</v>
      </c>
    </row>
    <row r="798" spans="1:3" ht="18" customHeight="1" x14ac:dyDescent="0.2">
      <c r="A798" s="3"/>
      <c r="B798" s="6" t="str">
        <f t="shared" si="12"/>
        <v xml:space="preserve"> </v>
      </c>
      <c r="C798" s="20" t="s">
        <v>174</v>
      </c>
    </row>
    <row r="799" spans="1:3" ht="18" customHeight="1" x14ac:dyDescent="0.2">
      <c r="A799" s="3"/>
      <c r="B799" s="6" t="str">
        <f t="shared" si="12"/>
        <v xml:space="preserve"> </v>
      </c>
      <c r="C799" s="20" t="s">
        <v>174</v>
      </c>
    </row>
    <row r="800" spans="1:3" ht="18" customHeight="1" x14ac:dyDescent="0.2">
      <c r="A800" s="3"/>
      <c r="B800" s="6" t="str">
        <f t="shared" si="12"/>
        <v xml:space="preserve"> </v>
      </c>
      <c r="C800" s="20" t="s">
        <v>174</v>
      </c>
    </row>
    <row r="801" spans="1:3" ht="18" customHeight="1" x14ac:dyDescent="0.2">
      <c r="A801" s="3"/>
      <c r="B801" s="6" t="str">
        <f t="shared" si="12"/>
        <v xml:space="preserve"> </v>
      </c>
      <c r="C801" s="20" t="s">
        <v>174</v>
      </c>
    </row>
    <row r="802" spans="1:3" ht="18" customHeight="1" x14ac:dyDescent="0.2">
      <c r="A802" s="3"/>
      <c r="B802" s="6" t="str">
        <f t="shared" si="12"/>
        <v xml:space="preserve"> </v>
      </c>
      <c r="C802" s="20" t="s">
        <v>174</v>
      </c>
    </row>
    <row r="803" spans="1:3" ht="18" customHeight="1" x14ac:dyDescent="0.2">
      <c r="A803" s="3"/>
      <c r="B803" s="6" t="str">
        <f t="shared" si="12"/>
        <v xml:space="preserve"> </v>
      </c>
      <c r="C803" s="20" t="s">
        <v>174</v>
      </c>
    </row>
    <row r="804" spans="1:3" ht="18" customHeight="1" x14ac:dyDescent="0.2">
      <c r="A804" s="3"/>
      <c r="B804" s="6" t="str">
        <f t="shared" si="12"/>
        <v xml:space="preserve"> </v>
      </c>
      <c r="C804" s="20" t="s">
        <v>174</v>
      </c>
    </row>
    <row r="805" spans="1:3" ht="18" customHeight="1" x14ac:dyDescent="0.2">
      <c r="A805" s="3"/>
      <c r="B805" s="6" t="str">
        <f t="shared" si="12"/>
        <v xml:space="preserve"> </v>
      </c>
      <c r="C805" s="20" t="s">
        <v>174</v>
      </c>
    </row>
    <row r="806" spans="1:3" ht="18" customHeight="1" x14ac:dyDescent="0.2">
      <c r="A806" s="3"/>
      <c r="B806" s="6" t="str">
        <f t="shared" si="12"/>
        <v xml:space="preserve"> </v>
      </c>
      <c r="C806" s="20" t="s">
        <v>174</v>
      </c>
    </row>
    <row r="807" spans="1:3" ht="18" customHeight="1" x14ac:dyDescent="0.2">
      <c r="A807" s="3"/>
      <c r="B807" s="6" t="str">
        <f t="shared" si="12"/>
        <v xml:space="preserve"> </v>
      </c>
      <c r="C807" s="20" t="s">
        <v>174</v>
      </c>
    </row>
    <row r="808" spans="1:3" ht="18" customHeight="1" x14ac:dyDescent="0.2">
      <c r="A808" s="3"/>
      <c r="B808" s="6" t="str">
        <f t="shared" si="12"/>
        <v xml:space="preserve"> </v>
      </c>
      <c r="C808" s="20" t="s">
        <v>174</v>
      </c>
    </row>
    <row r="809" spans="1:3" ht="18" customHeight="1" x14ac:dyDescent="0.2">
      <c r="A809" s="3"/>
      <c r="B809" s="6" t="str">
        <f t="shared" si="12"/>
        <v xml:space="preserve"> </v>
      </c>
      <c r="C809" s="20" t="s">
        <v>174</v>
      </c>
    </row>
    <row r="810" spans="1:3" ht="18" customHeight="1" x14ac:dyDescent="0.2">
      <c r="A810" s="3"/>
      <c r="B810" s="6" t="str">
        <f t="shared" si="12"/>
        <v xml:space="preserve"> </v>
      </c>
      <c r="C810" s="20" t="s">
        <v>174</v>
      </c>
    </row>
    <row r="811" spans="1:3" ht="18" customHeight="1" x14ac:dyDescent="0.2">
      <c r="A811" s="3"/>
      <c r="B811" s="6" t="str">
        <f t="shared" si="12"/>
        <v xml:space="preserve"> </v>
      </c>
      <c r="C811" s="20" t="s">
        <v>174</v>
      </c>
    </row>
    <row r="812" spans="1:3" ht="18" customHeight="1" x14ac:dyDescent="0.2">
      <c r="A812" s="3"/>
      <c r="B812" s="6" t="str">
        <f t="shared" si="12"/>
        <v xml:space="preserve"> </v>
      </c>
      <c r="C812" s="20" t="s">
        <v>174</v>
      </c>
    </row>
    <row r="813" spans="1:3" ht="18" customHeight="1" x14ac:dyDescent="0.2">
      <c r="A813" s="3"/>
      <c r="B813" s="6" t="str">
        <f t="shared" si="12"/>
        <v xml:space="preserve"> </v>
      </c>
      <c r="C813" s="20" t="s">
        <v>174</v>
      </c>
    </row>
    <row r="814" spans="1:3" ht="18" customHeight="1" x14ac:dyDescent="0.2">
      <c r="A814" s="3"/>
      <c r="B814" s="6" t="str">
        <f t="shared" si="12"/>
        <v xml:space="preserve"> </v>
      </c>
      <c r="C814" s="20" t="s">
        <v>174</v>
      </c>
    </row>
    <row r="815" spans="1:3" ht="18" customHeight="1" x14ac:dyDescent="0.2">
      <c r="A815" s="3"/>
      <c r="B815" s="6" t="str">
        <f t="shared" si="12"/>
        <v xml:space="preserve"> </v>
      </c>
      <c r="C815" s="20" t="s">
        <v>174</v>
      </c>
    </row>
    <row r="816" spans="1:3" ht="18" customHeight="1" x14ac:dyDescent="0.2">
      <c r="A816" s="3"/>
      <c r="B816" s="6" t="str">
        <f t="shared" si="12"/>
        <v xml:space="preserve"> </v>
      </c>
      <c r="C816" s="20" t="s">
        <v>174</v>
      </c>
    </row>
    <row r="817" spans="1:3" ht="18" customHeight="1" x14ac:dyDescent="0.2">
      <c r="A817" s="3"/>
      <c r="B817" s="6" t="str">
        <f t="shared" si="12"/>
        <v xml:space="preserve"> </v>
      </c>
      <c r="C817" s="20" t="s">
        <v>174</v>
      </c>
    </row>
    <row r="818" spans="1:3" ht="18" customHeight="1" x14ac:dyDescent="0.2">
      <c r="A818" s="3"/>
      <c r="B818" s="6" t="str">
        <f t="shared" si="12"/>
        <v xml:space="preserve"> </v>
      </c>
      <c r="C818" s="20" t="s">
        <v>174</v>
      </c>
    </row>
    <row r="819" spans="1:3" ht="18" customHeight="1" x14ac:dyDescent="0.2">
      <c r="A819" s="3"/>
      <c r="B819" s="6" t="str">
        <f t="shared" si="12"/>
        <v xml:space="preserve"> </v>
      </c>
      <c r="C819" s="20" t="s">
        <v>174</v>
      </c>
    </row>
    <row r="820" spans="1:3" ht="18" customHeight="1" x14ac:dyDescent="0.2">
      <c r="A820" s="3"/>
      <c r="B820" s="6" t="str">
        <f t="shared" si="12"/>
        <v xml:space="preserve"> </v>
      </c>
      <c r="C820" s="20" t="s">
        <v>174</v>
      </c>
    </row>
    <row r="821" spans="1:3" ht="18" customHeight="1" x14ac:dyDescent="0.2">
      <c r="A821" s="3"/>
      <c r="B821" s="6" t="str">
        <f t="shared" si="12"/>
        <v xml:space="preserve"> </v>
      </c>
      <c r="C821" s="20" t="s">
        <v>174</v>
      </c>
    </row>
    <row r="822" spans="1:3" ht="18" customHeight="1" x14ac:dyDescent="0.2">
      <c r="A822" s="3"/>
      <c r="B822" s="6" t="str">
        <f t="shared" si="12"/>
        <v xml:space="preserve"> </v>
      </c>
      <c r="C822" s="20" t="s">
        <v>174</v>
      </c>
    </row>
    <row r="823" spans="1:3" ht="18" customHeight="1" x14ac:dyDescent="0.2">
      <c r="A823" s="3"/>
      <c r="B823" s="6" t="str">
        <f t="shared" si="12"/>
        <v xml:space="preserve"> </v>
      </c>
      <c r="C823" s="20" t="s">
        <v>174</v>
      </c>
    </row>
    <row r="824" spans="1:3" ht="18" customHeight="1" x14ac:dyDescent="0.2">
      <c r="A824" s="3"/>
      <c r="B824" s="6" t="str">
        <f t="shared" si="12"/>
        <v xml:space="preserve"> </v>
      </c>
      <c r="C824" s="20" t="s">
        <v>174</v>
      </c>
    </row>
    <row r="825" spans="1:3" ht="18" customHeight="1" x14ac:dyDescent="0.2">
      <c r="A825" s="3"/>
      <c r="B825" s="6" t="str">
        <f t="shared" si="12"/>
        <v xml:space="preserve"> </v>
      </c>
      <c r="C825" s="20" t="s">
        <v>174</v>
      </c>
    </row>
    <row r="826" spans="1:3" ht="18" customHeight="1" x14ac:dyDescent="0.2">
      <c r="A826" s="3"/>
      <c r="B826" s="6" t="str">
        <f t="shared" si="12"/>
        <v xml:space="preserve"> </v>
      </c>
      <c r="C826" s="20" t="s">
        <v>174</v>
      </c>
    </row>
    <row r="827" spans="1:3" ht="18" customHeight="1" x14ac:dyDescent="0.2">
      <c r="A827" s="3"/>
      <c r="B827" s="6" t="str">
        <f t="shared" si="12"/>
        <v xml:space="preserve"> </v>
      </c>
      <c r="C827" s="20" t="s">
        <v>174</v>
      </c>
    </row>
    <row r="828" spans="1:3" ht="18" customHeight="1" x14ac:dyDescent="0.2">
      <c r="A828" s="3"/>
      <c r="B828" s="6" t="str">
        <f t="shared" si="12"/>
        <v xml:space="preserve"> </v>
      </c>
      <c r="C828" s="20" t="s">
        <v>174</v>
      </c>
    </row>
    <row r="829" spans="1:3" ht="18" customHeight="1" x14ac:dyDescent="0.2">
      <c r="A829" s="3"/>
      <c r="B829" s="6" t="str">
        <f t="shared" si="12"/>
        <v xml:space="preserve"> </v>
      </c>
      <c r="C829" s="20" t="s">
        <v>174</v>
      </c>
    </row>
    <row r="830" spans="1:3" ht="18" customHeight="1" x14ac:dyDescent="0.2">
      <c r="A830" s="3"/>
      <c r="B830" s="6" t="str">
        <f t="shared" si="12"/>
        <v xml:space="preserve"> </v>
      </c>
      <c r="C830" s="20" t="s">
        <v>174</v>
      </c>
    </row>
    <row r="831" spans="1:3" ht="18" customHeight="1" x14ac:dyDescent="0.2">
      <c r="A831" s="3"/>
      <c r="B831" s="6" t="str">
        <f t="shared" si="12"/>
        <v xml:space="preserve"> </v>
      </c>
      <c r="C831" s="20" t="s">
        <v>174</v>
      </c>
    </row>
    <row r="832" spans="1:3" ht="18" customHeight="1" x14ac:dyDescent="0.2">
      <c r="A832" s="3"/>
      <c r="B832" s="6" t="str">
        <f t="shared" si="12"/>
        <v xml:space="preserve"> </v>
      </c>
      <c r="C832" s="20" t="s">
        <v>174</v>
      </c>
    </row>
    <row r="833" spans="1:3" ht="18" customHeight="1" x14ac:dyDescent="0.2">
      <c r="A833" s="3"/>
      <c r="B833" s="6" t="str">
        <f t="shared" si="12"/>
        <v xml:space="preserve"> </v>
      </c>
      <c r="C833" s="20" t="s">
        <v>174</v>
      </c>
    </row>
    <row r="834" spans="1:3" ht="18" customHeight="1" x14ac:dyDescent="0.2">
      <c r="A834" s="3"/>
      <c r="B834" s="6" t="str">
        <f t="shared" si="12"/>
        <v xml:space="preserve"> </v>
      </c>
      <c r="C834" s="20" t="s">
        <v>174</v>
      </c>
    </row>
    <row r="835" spans="1:3" ht="18" customHeight="1" x14ac:dyDescent="0.2">
      <c r="A835" s="3"/>
      <c r="B835" s="6" t="str">
        <f t="shared" ref="B835:B898" si="13">IF(ISBLANK(A835)=TRUE,B834,B834&amp;","&amp;A835)</f>
        <v xml:space="preserve"> </v>
      </c>
      <c r="C835" s="20" t="s">
        <v>174</v>
      </c>
    </row>
    <row r="836" spans="1:3" ht="18" customHeight="1" x14ac:dyDescent="0.2">
      <c r="A836" s="3"/>
      <c r="B836" s="6" t="str">
        <f t="shared" si="13"/>
        <v xml:space="preserve"> </v>
      </c>
      <c r="C836" s="20" t="s">
        <v>174</v>
      </c>
    </row>
    <row r="837" spans="1:3" ht="18" customHeight="1" x14ac:dyDescent="0.2">
      <c r="A837" s="3"/>
      <c r="B837" s="6" t="str">
        <f t="shared" si="13"/>
        <v xml:space="preserve"> </v>
      </c>
      <c r="C837" s="20" t="s">
        <v>174</v>
      </c>
    </row>
    <row r="838" spans="1:3" ht="18" customHeight="1" x14ac:dyDescent="0.2">
      <c r="A838" s="3"/>
      <c r="B838" s="6" t="str">
        <f t="shared" si="13"/>
        <v xml:space="preserve"> </v>
      </c>
      <c r="C838" s="20" t="s">
        <v>174</v>
      </c>
    </row>
    <row r="839" spans="1:3" ht="18" customHeight="1" x14ac:dyDescent="0.2">
      <c r="A839" s="3"/>
      <c r="B839" s="6" t="str">
        <f t="shared" si="13"/>
        <v xml:space="preserve"> </v>
      </c>
      <c r="C839" s="20" t="s">
        <v>174</v>
      </c>
    </row>
    <row r="840" spans="1:3" ht="18" customHeight="1" x14ac:dyDescent="0.2">
      <c r="A840" s="3"/>
      <c r="B840" s="6" t="str">
        <f t="shared" si="13"/>
        <v xml:space="preserve"> </v>
      </c>
      <c r="C840" s="20" t="s">
        <v>174</v>
      </c>
    </row>
    <row r="841" spans="1:3" ht="18" customHeight="1" x14ac:dyDescent="0.2">
      <c r="A841" s="3"/>
      <c r="B841" s="6" t="str">
        <f t="shared" si="13"/>
        <v xml:space="preserve"> </v>
      </c>
      <c r="C841" s="20" t="s">
        <v>174</v>
      </c>
    </row>
    <row r="842" spans="1:3" ht="18" customHeight="1" x14ac:dyDescent="0.2">
      <c r="A842" s="3"/>
      <c r="B842" s="6" t="str">
        <f t="shared" si="13"/>
        <v xml:space="preserve"> </v>
      </c>
      <c r="C842" s="20" t="s">
        <v>174</v>
      </c>
    </row>
    <row r="843" spans="1:3" ht="18" customHeight="1" x14ac:dyDescent="0.2">
      <c r="A843" s="3"/>
      <c r="B843" s="6" t="str">
        <f t="shared" si="13"/>
        <v xml:space="preserve"> </v>
      </c>
      <c r="C843" s="20" t="s">
        <v>174</v>
      </c>
    </row>
    <row r="844" spans="1:3" ht="18" customHeight="1" x14ac:dyDescent="0.2">
      <c r="A844" s="3"/>
      <c r="B844" s="6" t="str">
        <f t="shared" si="13"/>
        <v xml:space="preserve"> </v>
      </c>
      <c r="C844" s="20" t="s">
        <v>174</v>
      </c>
    </row>
    <row r="845" spans="1:3" ht="18" customHeight="1" x14ac:dyDescent="0.2">
      <c r="A845" s="3"/>
      <c r="B845" s="6" t="str">
        <f t="shared" si="13"/>
        <v xml:space="preserve"> </v>
      </c>
      <c r="C845" s="20" t="s">
        <v>174</v>
      </c>
    </row>
    <row r="846" spans="1:3" ht="18" customHeight="1" x14ac:dyDescent="0.2">
      <c r="A846" s="3"/>
      <c r="B846" s="6" t="str">
        <f t="shared" si="13"/>
        <v xml:space="preserve"> </v>
      </c>
      <c r="C846" s="20" t="s">
        <v>174</v>
      </c>
    </row>
    <row r="847" spans="1:3" ht="18" customHeight="1" x14ac:dyDescent="0.2">
      <c r="A847" s="3"/>
      <c r="B847" s="6" t="str">
        <f t="shared" si="13"/>
        <v xml:space="preserve"> </v>
      </c>
      <c r="C847" s="20" t="s">
        <v>174</v>
      </c>
    </row>
    <row r="848" spans="1:3" ht="18" customHeight="1" x14ac:dyDescent="0.2">
      <c r="A848" s="3"/>
      <c r="B848" s="6" t="str">
        <f t="shared" si="13"/>
        <v xml:space="preserve"> </v>
      </c>
      <c r="C848" s="20" t="s">
        <v>174</v>
      </c>
    </row>
    <row r="849" spans="1:3" ht="18" customHeight="1" x14ac:dyDescent="0.2">
      <c r="A849" s="3"/>
      <c r="B849" s="6" t="str">
        <f t="shared" si="13"/>
        <v xml:space="preserve"> </v>
      </c>
      <c r="C849" s="20" t="s">
        <v>174</v>
      </c>
    </row>
    <row r="850" spans="1:3" ht="18" customHeight="1" x14ac:dyDescent="0.2">
      <c r="A850" s="3"/>
      <c r="B850" s="6" t="str">
        <f t="shared" si="13"/>
        <v xml:space="preserve"> </v>
      </c>
      <c r="C850" s="20" t="s">
        <v>174</v>
      </c>
    </row>
    <row r="851" spans="1:3" ht="18" customHeight="1" x14ac:dyDescent="0.2">
      <c r="A851" s="3"/>
      <c r="B851" s="6" t="str">
        <f t="shared" si="13"/>
        <v xml:space="preserve"> </v>
      </c>
      <c r="C851" s="20" t="s">
        <v>174</v>
      </c>
    </row>
    <row r="852" spans="1:3" ht="18" customHeight="1" x14ac:dyDescent="0.2">
      <c r="A852" s="3"/>
      <c r="B852" s="6" t="str">
        <f t="shared" si="13"/>
        <v xml:space="preserve"> </v>
      </c>
      <c r="C852" s="20" t="s">
        <v>174</v>
      </c>
    </row>
    <row r="853" spans="1:3" ht="18" customHeight="1" x14ac:dyDescent="0.2">
      <c r="A853" s="3"/>
      <c r="B853" s="6" t="str">
        <f t="shared" si="13"/>
        <v xml:space="preserve"> </v>
      </c>
      <c r="C853" s="20" t="s">
        <v>174</v>
      </c>
    </row>
    <row r="854" spans="1:3" ht="18" customHeight="1" x14ac:dyDescent="0.2">
      <c r="A854" s="3"/>
      <c r="B854" s="6" t="str">
        <f t="shared" si="13"/>
        <v xml:space="preserve"> </v>
      </c>
      <c r="C854" s="20" t="s">
        <v>174</v>
      </c>
    </row>
    <row r="855" spans="1:3" ht="18" customHeight="1" x14ac:dyDescent="0.2">
      <c r="A855" s="3"/>
      <c r="B855" s="6" t="str">
        <f t="shared" si="13"/>
        <v xml:space="preserve"> </v>
      </c>
      <c r="C855" s="20" t="s">
        <v>174</v>
      </c>
    </row>
    <row r="856" spans="1:3" ht="18" customHeight="1" x14ac:dyDescent="0.2">
      <c r="A856" s="3"/>
      <c r="B856" s="6" t="str">
        <f t="shared" si="13"/>
        <v xml:space="preserve"> </v>
      </c>
      <c r="C856" s="20" t="s">
        <v>174</v>
      </c>
    </row>
    <row r="857" spans="1:3" ht="18" customHeight="1" x14ac:dyDescent="0.2">
      <c r="A857" s="3"/>
      <c r="B857" s="6" t="str">
        <f t="shared" si="13"/>
        <v xml:space="preserve"> </v>
      </c>
      <c r="C857" s="20" t="s">
        <v>174</v>
      </c>
    </row>
    <row r="858" spans="1:3" ht="18" customHeight="1" x14ac:dyDescent="0.2">
      <c r="A858" s="3"/>
      <c r="B858" s="6" t="str">
        <f t="shared" si="13"/>
        <v xml:space="preserve"> </v>
      </c>
      <c r="C858" s="20" t="s">
        <v>174</v>
      </c>
    </row>
    <row r="859" spans="1:3" ht="18" customHeight="1" x14ac:dyDescent="0.2">
      <c r="A859" s="3"/>
      <c r="B859" s="6" t="str">
        <f t="shared" si="13"/>
        <v xml:space="preserve"> </v>
      </c>
      <c r="C859" s="20" t="s">
        <v>174</v>
      </c>
    </row>
    <row r="860" spans="1:3" ht="18" customHeight="1" x14ac:dyDescent="0.2">
      <c r="A860" s="3"/>
      <c r="B860" s="6" t="str">
        <f t="shared" si="13"/>
        <v xml:space="preserve"> </v>
      </c>
      <c r="C860" s="20" t="s">
        <v>174</v>
      </c>
    </row>
    <row r="861" spans="1:3" ht="18" customHeight="1" x14ac:dyDescent="0.2">
      <c r="A861" s="3"/>
      <c r="B861" s="6" t="str">
        <f t="shared" si="13"/>
        <v xml:space="preserve"> </v>
      </c>
      <c r="C861" s="20" t="s">
        <v>174</v>
      </c>
    </row>
    <row r="862" spans="1:3" ht="18" customHeight="1" x14ac:dyDescent="0.2">
      <c r="A862" s="3"/>
      <c r="B862" s="6" t="str">
        <f t="shared" si="13"/>
        <v xml:space="preserve"> </v>
      </c>
      <c r="C862" s="20" t="s">
        <v>174</v>
      </c>
    </row>
    <row r="863" spans="1:3" ht="18" customHeight="1" x14ac:dyDescent="0.2">
      <c r="A863" s="3"/>
      <c r="B863" s="6" t="str">
        <f t="shared" si="13"/>
        <v xml:space="preserve"> </v>
      </c>
      <c r="C863" s="20" t="s">
        <v>174</v>
      </c>
    </row>
    <row r="864" spans="1:3" ht="18" customHeight="1" x14ac:dyDescent="0.2">
      <c r="A864" s="3"/>
      <c r="B864" s="6" t="str">
        <f t="shared" si="13"/>
        <v xml:space="preserve"> </v>
      </c>
      <c r="C864" s="20" t="s">
        <v>174</v>
      </c>
    </row>
    <row r="865" spans="1:3" ht="18" customHeight="1" x14ac:dyDescent="0.2">
      <c r="A865" s="3"/>
      <c r="B865" s="6" t="str">
        <f t="shared" si="13"/>
        <v xml:space="preserve"> </v>
      </c>
      <c r="C865" s="20" t="s">
        <v>174</v>
      </c>
    </row>
    <row r="866" spans="1:3" ht="18" customHeight="1" x14ac:dyDescent="0.2">
      <c r="A866" s="3"/>
      <c r="B866" s="6" t="str">
        <f t="shared" si="13"/>
        <v xml:space="preserve"> </v>
      </c>
      <c r="C866" s="20" t="s">
        <v>174</v>
      </c>
    </row>
    <row r="867" spans="1:3" ht="18" customHeight="1" x14ac:dyDescent="0.2">
      <c r="A867" s="3"/>
      <c r="B867" s="6" t="str">
        <f t="shared" si="13"/>
        <v xml:space="preserve"> </v>
      </c>
      <c r="C867" s="20" t="s">
        <v>174</v>
      </c>
    </row>
    <row r="868" spans="1:3" ht="18" customHeight="1" x14ac:dyDescent="0.2">
      <c r="A868" s="3"/>
      <c r="B868" s="6" t="str">
        <f t="shared" si="13"/>
        <v xml:space="preserve"> </v>
      </c>
      <c r="C868" s="20" t="s">
        <v>174</v>
      </c>
    </row>
    <row r="869" spans="1:3" ht="18" customHeight="1" x14ac:dyDescent="0.2">
      <c r="A869" s="3"/>
      <c r="B869" s="6" t="str">
        <f t="shared" si="13"/>
        <v xml:space="preserve"> </v>
      </c>
      <c r="C869" s="20" t="s">
        <v>174</v>
      </c>
    </row>
    <row r="870" spans="1:3" ht="18" customHeight="1" x14ac:dyDescent="0.2">
      <c r="A870" s="3"/>
      <c r="B870" s="6" t="str">
        <f t="shared" si="13"/>
        <v xml:space="preserve"> </v>
      </c>
      <c r="C870" s="20" t="s">
        <v>174</v>
      </c>
    </row>
    <row r="871" spans="1:3" ht="18" customHeight="1" x14ac:dyDescent="0.2">
      <c r="A871" s="3"/>
      <c r="B871" s="6" t="str">
        <f t="shared" si="13"/>
        <v xml:space="preserve"> </v>
      </c>
      <c r="C871" s="20" t="s">
        <v>174</v>
      </c>
    </row>
    <row r="872" spans="1:3" ht="18" customHeight="1" x14ac:dyDescent="0.2">
      <c r="A872" s="3"/>
      <c r="B872" s="6" t="str">
        <f t="shared" si="13"/>
        <v xml:space="preserve"> </v>
      </c>
      <c r="C872" s="20" t="s">
        <v>174</v>
      </c>
    </row>
    <row r="873" spans="1:3" ht="18" customHeight="1" x14ac:dyDescent="0.2">
      <c r="A873" s="3"/>
      <c r="B873" s="6" t="str">
        <f t="shared" si="13"/>
        <v xml:space="preserve"> </v>
      </c>
      <c r="C873" s="20" t="s">
        <v>174</v>
      </c>
    </row>
    <row r="874" spans="1:3" ht="18" customHeight="1" x14ac:dyDescent="0.2">
      <c r="A874" s="3"/>
      <c r="B874" s="6" t="str">
        <f t="shared" si="13"/>
        <v xml:space="preserve"> </v>
      </c>
      <c r="C874" s="20" t="s">
        <v>174</v>
      </c>
    </row>
    <row r="875" spans="1:3" ht="18" customHeight="1" x14ac:dyDescent="0.2">
      <c r="A875" s="3"/>
      <c r="B875" s="6" t="str">
        <f t="shared" si="13"/>
        <v xml:space="preserve"> </v>
      </c>
      <c r="C875" s="20" t="s">
        <v>174</v>
      </c>
    </row>
    <row r="876" spans="1:3" ht="18" customHeight="1" x14ac:dyDescent="0.2">
      <c r="A876" s="3"/>
      <c r="B876" s="6" t="str">
        <f t="shared" si="13"/>
        <v xml:space="preserve"> </v>
      </c>
      <c r="C876" s="20" t="s">
        <v>174</v>
      </c>
    </row>
    <row r="877" spans="1:3" ht="18" customHeight="1" x14ac:dyDescent="0.2">
      <c r="A877" s="3"/>
      <c r="B877" s="6" t="str">
        <f t="shared" si="13"/>
        <v xml:space="preserve"> </v>
      </c>
      <c r="C877" s="20" t="s">
        <v>174</v>
      </c>
    </row>
    <row r="878" spans="1:3" ht="18" customHeight="1" x14ac:dyDescent="0.2">
      <c r="A878" s="3"/>
      <c r="B878" s="6" t="str">
        <f t="shared" si="13"/>
        <v xml:space="preserve"> </v>
      </c>
      <c r="C878" s="20" t="s">
        <v>174</v>
      </c>
    </row>
    <row r="879" spans="1:3" ht="18" customHeight="1" x14ac:dyDescent="0.2">
      <c r="A879" s="3"/>
      <c r="B879" s="6" t="str">
        <f t="shared" si="13"/>
        <v xml:space="preserve"> </v>
      </c>
      <c r="C879" s="20" t="s">
        <v>174</v>
      </c>
    </row>
    <row r="880" spans="1:3" ht="18" customHeight="1" x14ac:dyDescent="0.2">
      <c r="A880" s="3"/>
      <c r="B880" s="6" t="str">
        <f t="shared" si="13"/>
        <v xml:space="preserve"> </v>
      </c>
      <c r="C880" s="20" t="s">
        <v>174</v>
      </c>
    </row>
    <row r="881" spans="1:3" ht="18" customHeight="1" x14ac:dyDescent="0.2">
      <c r="A881" s="3"/>
      <c r="B881" s="6" t="str">
        <f t="shared" si="13"/>
        <v xml:space="preserve"> </v>
      </c>
      <c r="C881" s="20" t="s">
        <v>174</v>
      </c>
    </row>
    <row r="882" spans="1:3" ht="18" customHeight="1" x14ac:dyDescent="0.2">
      <c r="A882" s="3"/>
      <c r="B882" s="6" t="str">
        <f t="shared" si="13"/>
        <v xml:space="preserve"> </v>
      </c>
      <c r="C882" s="20" t="s">
        <v>174</v>
      </c>
    </row>
    <row r="883" spans="1:3" ht="18" customHeight="1" x14ac:dyDescent="0.2">
      <c r="A883" s="3"/>
      <c r="B883" s="6" t="str">
        <f t="shared" si="13"/>
        <v xml:space="preserve"> </v>
      </c>
      <c r="C883" s="20" t="s">
        <v>174</v>
      </c>
    </row>
    <row r="884" spans="1:3" ht="18" customHeight="1" x14ac:dyDescent="0.2">
      <c r="A884" s="3"/>
      <c r="B884" s="6" t="str">
        <f t="shared" si="13"/>
        <v xml:space="preserve"> </v>
      </c>
      <c r="C884" s="20" t="s">
        <v>174</v>
      </c>
    </row>
    <row r="885" spans="1:3" ht="18" customHeight="1" x14ac:dyDescent="0.2">
      <c r="A885" s="3"/>
      <c r="B885" s="6" t="str">
        <f t="shared" si="13"/>
        <v xml:space="preserve"> </v>
      </c>
      <c r="C885" s="20" t="s">
        <v>174</v>
      </c>
    </row>
    <row r="886" spans="1:3" ht="18" customHeight="1" x14ac:dyDescent="0.2">
      <c r="A886" s="3"/>
      <c r="B886" s="6" t="str">
        <f t="shared" si="13"/>
        <v xml:space="preserve"> </v>
      </c>
      <c r="C886" s="20" t="s">
        <v>174</v>
      </c>
    </row>
    <row r="887" spans="1:3" ht="18" customHeight="1" x14ac:dyDescent="0.2">
      <c r="A887" s="3"/>
      <c r="B887" s="6" t="str">
        <f t="shared" si="13"/>
        <v xml:space="preserve"> </v>
      </c>
      <c r="C887" s="20" t="s">
        <v>174</v>
      </c>
    </row>
    <row r="888" spans="1:3" ht="18" customHeight="1" x14ac:dyDescent="0.2">
      <c r="A888" s="3"/>
      <c r="B888" s="6" t="str">
        <f t="shared" si="13"/>
        <v xml:space="preserve"> </v>
      </c>
      <c r="C888" s="20" t="s">
        <v>174</v>
      </c>
    </row>
    <row r="889" spans="1:3" ht="18" customHeight="1" x14ac:dyDescent="0.2">
      <c r="A889" s="3"/>
      <c r="B889" s="6" t="str">
        <f t="shared" si="13"/>
        <v xml:space="preserve"> </v>
      </c>
      <c r="C889" s="20" t="s">
        <v>174</v>
      </c>
    </row>
    <row r="890" spans="1:3" ht="18" customHeight="1" x14ac:dyDescent="0.2">
      <c r="A890" s="3"/>
      <c r="B890" s="6" t="str">
        <f t="shared" si="13"/>
        <v xml:space="preserve"> </v>
      </c>
      <c r="C890" s="20" t="s">
        <v>174</v>
      </c>
    </row>
    <row r="891" spans="1:3" ht="18" customHeight="1" x14ac:dyDescent="0.2">
      <c r="A891" s="3"/>
      <c r="B891" s="6" t="str">
        <f t="shared" si="13"/>
        <v xml:space="preserve"> </v>
      </c>
      <c r="C891" s="20" t="s">
        <v>174</v>
      </c>
    </row>
    <row r="892" spans="1:3" ht="18" customHeight="1" x14ac:dyDescent="0.2">
      <c r="A892" s="3"/>
      <c r="B892" s="6" t="str">
        <f t="shared" si="13"/>
        <v xml:space="preserve"> </v>
      </c>
      <c r="C892" s="20" t="s">
        <v>174</v>
      </c>
    </row>
    <row r="893" spans="1:3" ht="18" customHeight="1" x14ac:dyDescent="0.2">
      <c r="A893" s="3"/>
      <c r="B893" s="6" t="str">
        <f t="shared" si="13"/>
        <v xml:space="preserve"> </v>
      </c>
      <c r="C893" s="20" t="s">
        <v>174</v>
      </c>
    </row>
    <row r="894" spans="1:3" ht="18" customHeight="1" x14ac:dyDescent="0.2">
      <c r="A894" s="3"/>
      <c r="B894" s="6" t="str">
        <f t="shared" si="13"/>
        <v xml:space="preserve"> </v>
      </c>
      <c r="C894" s="20" t="s">
        <v>174</v>
      </c>
    </row>
    <row r="895" spans="1:3" ht="18" customHeight="1" x14ac:dyDescent="0.2">
      <c r="A895" s="3"/>
      <c r="B895" s="6" t="str">
        <f t="shared" si="13"/>
        <v xml:space="preserve"> </v>
      </c>
      <c r="C895" s="20" t="s">
        <v>174</v>
      </c>
    </row>
    <row r="896" spans="1:3" ht="18" customHeight="1" x14ac:dyDescent="0.2">
      <c r="A896" s="3"/>
      <c r="B896" s="6" t="str">
        <f t="shared" si="13"/>
        <v xml:space="preserve"> </v>
      </c>
      <c r="C896" s="20" t="s">
        <v>174</v>
      </c>
    </row>
    <row r="897" spans="1:3" ht="18" customHeight="1" x14ac:dyDescent="0.2">
      <c r="A897" s="3"/>
      <c r="B897" s="6" t="str">
        <f t="shared" si="13"/>
        <v xml:space="preserve"> </v>
      </c>
      <c r="C897" s="20" t="s">
        <v>174</v>
      </c>
    </row>
    <row r="898" spans="1:3" ht="18" customHeight="1" x14ac:dyDescent="0.2">
      <c r="A898" s="3"/>
      <c r="B898" s="6" t="str">
        <f t="shared" si="13"/>
        <v xml:space="preserve"> </v>
      </c>
      <c r="C898" s="20" t="s">
        <v>174</v>
      </c>
    </row>
    <row r="899" spans="1:3" ht="18" customHeight="1" x14ac:dyDescent="0.2">
      <c r="A899" s="3"/>
      <c r="B899" s="6" t="str">
        <f t="shared" ref="B899:B962" si="14">IF(ISBLANK(A899)=TRUE,B898,B898&amp;","&amp;A899)</f>
        <v xml:space="preserve"> </v>
      </c>
      <c r="C899" s="20" t="s">
        <v>174</v>
      </c>
    </row>
    <row r="900" spans="1:3" ht="18" customHeight="1" x14ac:dyDescent="0.2">
      <c r="A900" s="3"/>
      <c r="B900" s="6" t="str">
        <f t="shared" si="14"/>
        <v xml:space="preserve"> </v>
      </c>
      <c r="C900" s="20" t="s">
        <v>174</v>
      </c>
    </row>
    <row r="901" spans="1:3" ht="18" customHeight="1" x14ac:dyDescent="0.2">
      <c r="A901" s="3"/>
      <c r="B901" s="6" t="str">
        <f t="shared" si="14"/>
        <v xml:space="preserve"> </v>
      </c>
      <c r="C901" s="20" t="s">
        <v>174</v>
      </c>
    </row>
    <row r="902" spans="1:3" ht="18" customHeight="1" x14ac:dyDescent="0.2">
      <c r="A902" s="3"/>
      <c r="B902" s="6" t="str">
        <f t="shared" si="14"/>
        <v xml:space="preserve"> </v>
      </c>
      <c r="C902" s="20" t="s">
        <v>174</v>
      </c>
    </row>
    <row r="903" spans="1:3" ht="18" customHeight="1" x14ac:dyDescent="0.2">
      <c r="A903" s="3"/>
      <c r="B903" s="6" t="str">
        <f t="shared" si="14"/>
        <v xml:space="preserve"> </v>
      </c>
      <c r="C903" s="20" t="s">
        <v>174</v>
      </c>
    </row>
    <row r="904" spans="1:3" ht="18" customHeight="1" x14ac:dyDescent="0.2">
      <c r="A904" s="3"/>
      <c r="B904" s="6" t="str">
        <f t="shared" si="14"/>
        <v xml:space="preserve"> </v>
      </c>
      <c r="C904" s="20" t="s">
        <v>174</v>
      </c>
    </row>
    <row r="905" spans="1:3" ht="18" customHeight="1" x14ac:dyDescent="0.2">
      <c r="A905" s="3"/>
      <c r="B905" s="6" t="str">
        <f t="shared" si="14"/>
        <v xml:space="preserve"> </v>
      </c>
      <c r="C905" s="20" t="s">
        <v>174</v>
      </c>
    </row>
    <row r="906" spans="1:3" ht="18" customHeight="1" x14ac:dyDescent="0.2">
      <c r="A906" s="3"/>
      <c r="B906" s="6" t="str">
        <f t="shared" si="14"/>
        <v xml:space="preserve"> </v>
      </c>
      <c r="C906" s="20" t="s">
        <v>174</v>
      </c>
    </row>
    <row r="907" spans="1:3" ht="18" customHeight="1" x14ac:dyDescent="0.2">
      <c r="A907" s="3"/>
      <c r="B907" s="6" t="str">
        <f t="shared" si="14"/>
        <v xml:space="preserve"> </v>
      </c>
      <c r="C907" s="20" t="s">
        <v>174</v>
      </c>
    </row>
    <row r="908" spans="1:3" ht="18" customHeight="1" x14ac:dyDescent="0.2">
      <c r="A908" s="3"/>
      <c r="B908" s="6" t="str">
        <f t="shared" si="14"/>
        <v xml:space="preserve"> </v>
      </c>
      <c r="C908" s="20" t="s">
        <v>174</v>
      </c>
    </row>
    <row r="909" spans="1:3" ht="18" customHeight="1" x14ac:dyDescent="0.2">
      <c r="A909" s="3"/>
      <c r="B909" s="6" t="str">
        <f t="shared" si="14"/>
        <v xml:space="preserve"> </v>
      </c>
      <c r="C909" s="20" t="s">
        <v>174</v>
      </c>
    </row>
    <row r="910" spans="1:3" ht="18" customHeight="1" x14ac:dyDescent="0.2">
      <c r="A910" s="3"/>
      <c r="B910" s="6" t="str">
        <f t="shared" si="14"/>
        <v xml:space="preserve"> </v>
      </c>
      <c r="C910" s="20" t="s">
        <v>174</v>
      </c>
    </row>
    <row r="911" spans="1:3" ht="18" customHeight="1" x14ac:dyDescent="0.2">
      <c r="A911" s="3"/>
      <c r="B911" s="6" t="str">
        <f t="shared" si="14"/>
        <v xml:space="preserve"> </v>
      </c>
      <c r="C911" s="20" t="s">
        <v>174</v>
      </c>
    </row>
    <row r="912" spans="1:3" ht="18" customHeight="1" x14ac:dyDescent="0.2">
      <c r="A912" s="3"/>
      <c r="B912" s="6" t="str">
        <f t="shared" si="14"/>
        <v xml:space="preserve"> </v>
      </c>
      <c r="C912" s="20" t="s">
        <v>174</v>
      </c>
    </row>
    <row r="913" spans="1:3" ht="18" customHeight="1" x14ac:dyDescent="0.2">
      <c r="A913" s="3"/>
      <c r="B913" s="6" t="str">
        <f t="shared" si="14"/>
        <v xml:space="preserve"> </v>
      </c>
      <c r="C913" s="20" t="s">
        <v>174</v>
      </c>
    </row>
    <row r="914" spans="1:3" ht="18" customHeight="1" x14ac:dyDescent="0.2">
      <c r="A914" s="3"/>
      <c r="B914" s="6" t="str">
        <f t="shared" si="14"/>
        <v xml:space="preserve"> </v>
      </c>
      <c r="C914" s="20" t="s">
        <v>174</v>
      </c>
    </row>
    <row r="915" spans="1:3" ht="18" customHeight="1" x14ac:dyDescent="0.2">
      <c r="A915" s="3"/>
      <c r="B915" s="6" t="str">
        <f t="shared" si="14"/>
        <v xml:space="preserve"> </v>
      </c>
      <c r="C915" s="20" t="s">
        <v>174</v>
      </c>
    </row>
    <row r="916" spans="1:3" ht="18" customHeight="1" x14ac:dyDescent="0.2">
      <c r="A916" s="3"/>
      <c r="B916" s="6" t="str">
        <f t="shared" si="14"/>
        <v xml:space="preserve"> </v>
      </c>
      <c r="C916" s="20" t="s">
        <v>174</v>
      </c>
    </row>
    <row r="917" spans="1:3" ht="18" customHeight="1" x14ac:dyDescent="0.2">
      <c r="A917" s="3"/>
      <c r="B917" s="6" t="str">
        <f t="shared" si="14"/>
        <v xml:space="preserve"> </v>
      </c>
      <c r="C917" s="20" t="s">
        <v>174</v>
      </c>
    </row>
    <row r="918" spans="1:3" ht="18" customHeight="1" x14ac:dyDescent="0.2">
      <c r="A918" s="3"/>
      <c r="B918" s="6" t="str">
        <f t="shared" si="14"/>
        <v xml:space="preserve"> </v>
      </c>
      <c r="C918" s="20" t="s">
        <v>174</v>
      </c>
    </row>
    <row r="919" spans="1:3" ht="18" customHeight="1" x14ac:dyDescent="0.2">
      <c r="A919" s="3"/>
      <c r="B919" s="6" t="str">
        <f t="shared" si="14"/>
        <v xml:space="preserve"> </v>
      </c>
      <c r="C919" s="20" t="s">
        <v>174</v>
      </c>
    </row>
    <row r="920" spans="1:3" ht="18" customHeight="1" x14ac:dyDescent="0.2">
      <c r="A920" s="3"/>
      <c r="B920" s="6" t="str">
        <f t="shared" si="14"/>
        <v xml:space="preserve"> </v>
      </c>
      <c r="C920" s="20" t="s">
        <v>174</v>
      </c>
    </row>
    <row r="921" spans="1:3" ht="18" customHeight="1" x14ac:dyDescent="0.2">
      <c r="A921" s="3"/>
      <c r="B921" s="6" t="str">
        <f t="shared" si="14"/>
        <v xml:space="preserve"> </v>
      </c>
      <c r="C921" s="20" t="s">
        <v>174</v>
      </c>
    </row>
    <row r="922" spans="1:3" ht="18" customHeight="1" x14ac:dyDescent="0.2">
      <c r="A922" s="3"/>
      <c r="B922" s="6" t="str">
        <f t="shared" si="14"/>
        <v xml:space="preserve"> </v>
      </c>
      <c r="C922" s="20" t="s">
        <v>174</v>
      </c>
    </row>
    <row r="923" spans="1:3" ht="18" customHeight="1" x14ac:dyDescent="0.2">
      <c r="A923" s="3"/>
      <c r="B923" s="6" t="str">
        <f t="shared" si="14"/>
        <v xml:space="preserve"> </v>
      </c>
      <c r="C923" s="20" t="s">
        <v>174</v>
      </c>
    </row>
    <row r="924" spans="1:3" ht="18" customHeight="1" x14ac:dyDescent="0.2">
      <c r="A924" s="3"/>
      <c r="B924" s="6" t="str">
        <f t="shared" si="14"/>
        <v xml:space="preserve"> </v>
      </c>
      <c r="C924" s="20" t="s">
        <v>174</v>
      </c>
    </row>
    <row r="925" spans="1:3" ht="18" customHeight="1" x14ac:dyDescent="0.2">
      <c r="A925" s="3"/>
      <c r="B925" s="6" t="str">
        <f t="shared" si="14"/>
        <v xml:space="preserve"> </v>
      </c>
      <c r="C925" s="20" t="s">
        <v>174</v>
      </c>
    </row>
    <row r="926" spans="1:3" ht="18" customHeight="1" x14ac:dyDescent="0.2">
      <c r="A926" s="3"/>
      <c r="B926" s="6" t="str">
        <f t="shared" si="14"/>
        <v xml:space="preserve"> </v>
      </c>
      <c r="C926" s="20" t="s">
        <v>174</v>
      </c>
    </row>
    <row r="927" spans="1:3" ht="18" customHeight="1" x14ac:dyDescent="0.2">
      <c r="A927" s="3"/>
      <c r="B927" s="6" t="str">
        <f t="shared" si="14"/>
        <v xml:space="preserve"> </v>
      </c>
      <c r="C927" s="20" t="s">
        <v>174</v>
      </c>
    </row>
    <row r="928" spans="1:3" ht="18" customHeight="1" x14ac:dyDescent="0.2">
      <c r="A928" s="3"/>
      <c r="B928" s="6" t="str">
        <f t="shared" si="14"/>
        <v xml:space="preserve"> </v>
      </c>
      <c r="C928" s="20" t="s">
        <v>174</v>
      </c>
    </row>
    <row r="929" spans="1:3" ht="18" customHeight="1" x14ac:dyDescent="0.2">
      <c r="A929" s="3"/>
      <c r="B929" s="6" t="str">
        <f t="shared" si="14"/>
        <v xml:space="preserve"> </v>
      </c>
      <c r="C929" s="20" t="s">
        <v>174</v>
      </c>
    </row>
    <row r="930" spans="1:3" ht="18" customHeight="1" x14ac:dyDescent="0.2">
      <c r="A930" s="3"/>
      <c r="B930" s="6" t="str">
        <f t="shared" si="14"/>
        <v xml:space="preserve"> </v>
      </c>
      <c r="C930" s="20" t="s">
        <v>174</v>
      </c>
    </row>
    <row r="931" spans="1:3" ht="18" customHeight="1" x14ac:dyDescent="0.2">
      <c r="A931" s="3"/>
      <c r="B931" s="6" t="str">
        <f t="shared" si="14"/>
        <v xml:space="preserve"> </v>
      </c>
      <c r="C931" s="20" t="s">
        <v>174</v>
      </c>
    </row>
    <row r="932" spans="1:3" ht="18" customHeight="1" x14ac:dyDescent="0.2">
      <c r="A932" s="3"/>
      <c r="B932" s="6" t="str">
        <f t="shared" si="14"/>
        <v xml:space="preserve"> </v>
      </c>
      <c r="C932" s="20" t="s">
        <v>174</v>
      </c>
    </row>
    <row r="933" spans="1:3" ht="18" customHeight="1" x14ac:dyDescent="0.2">
      <c r="A933" s="3"/>
      <c r="B933" s="6" t="str">
        <f t="shared" si="14"/>
        <v xml:space="preserve"> </v>
      </c>
      <c r="C933" s="20" t="s">
        <v>174</v>
      </c>
    </row>
    <row r="934" spans="1:3" ht="18" customHeight="1" x14ac:dyDescent="0.2">
      <c r="A934" s="3"/>
      <c r="B934" s="6" t="str">
        <f t="shared" si="14"/>
        <v xml:space="preserve"> </v>
      </c>
      <c r="C934" s="20" t="s">
        <v>174</v>
      </c>
    </row>
    <row r="935" spans="1:3" ht="18" customHeight="1" x14ac:dyDescent="0.2">
      <c r="A935" s="3"/>
      <c r="B935" s="6" t="str">
        <f t="shared" si="14"/>
        <v xml:space="preserve"> </v>
      </c>
      <c r="C935" s="20" t="s">
        <v>174</v>
      </c>
    </row>
    <row r="936" spans="1:3" ht="18" customHeight="1" x14ac:dyDescent="0.2">
      <c r="A936" s="3"/>
      <c r="B936" s="6" t="str">
        <f t="shared" si="14"/>
        <v xml:space="preserve"> </v>
      </c>
      <c r="C936" s="20" t="s">
        <v>174</v>
      </c>
    </row>
    <row r="937" spans="1:3" ht="18" customHeight="1" x14ac:dyDescent="0.2">
      <c r="A937" s="3"/>
      <c r="B937" s="6" t="str">
        <f t="shared" si="14"/>
        <v xml:space="preserve"> </v>
      </c>
      <c r="C937" s="20" t="s">
        <v>174</v>
      </c>
    </row>
    <row r="938" spans="1:3" ht="18" customHeight="1" x14ac:dyDescent="0.2">
      <c r="A938" s="3"/>
      <c r="B938" s="6" t="str">
        <f t="shared" si="14"/>
        <v xml:space="preserve"> </v>
      </c>
      <c r="C938" s="20" t="s">
        <v>174</v>
      </c>
    </row>
    <row r="939" spans="1:3" ht="18" customHeight="1" x14ac:dyDescent="0.2">
      <c r="A939" s="3"/>
      <c r="B939" s="6" t="str">
        <f t="shared" si="14"/>
        <v xml:space="preserve"> </v>
      </c>
      <c r="C939" s="20" t="s">
        <v>174</v>
      </c>
    </row>
    <row r="940" spans="1:3" ht="18" customHeight="1" x14ac:dyDescent="0.2">
      <c r="A940" s="3"/>
      <c r="B940" s="6" t="str">
        <f t="shared" si="14"/>
        <v xml:space="preserve"> </v>
      </c>
      <c r="C940" s="20" t="s">
        <v>174</v>
      </c>
    </row>
    <row r="941" spans="1:3" ht="18" customHeight="1" x14ac:dyDescent="0.2">
      <c r="A941" s="3"/>
      <c r="B941" s="6" t="str">
        <f t="shared" si="14"/>
        <v xml:space="preserve"> </v>
      </c>
      <c r="C941" s="20" t="s">
        <v>174</v>
      </c>
    </row>
    <row r="942" spans="1:3" ht="18" customHeight="1" x14ac:dyDescent="0.2">
      <c r="A942" s="3"/>
      <c r="B942" s="6" t="str">
        <f t="shared" si="14"/>
        <v xml:space="preserve"> </v>
      </c>
      <c r="C942" s="20" t="s">
        <v>174</v>
      </c>
    </row>
    <row r="943" spans="1:3" ht="18" customHeight="1" x14ac:dyDescent="0.2">
      <c r="A943" s="3"/>
      <c r="B943" s="6" t="str">
        <f t="shared" si="14"/>
        <v xml:space="preserve"> </v>
      </c>
      <c r="C943" s="20" t="s">
        <v>174</v>
      </c>
    </row>
    <row r="944" spans="1:3" ht="18" customHeight="1" x14ac:dyDescent="0.2">
      <c r="A944" s="3"/>
      <c r="B944" s="6" t="str">
        <f t="shared" si="14"/>
        <v xml:space="preserve"> </v>
      </c>
      <c r="C944" s="20" t="s">
        <v>174</v>
      </c>
    </row>
    <row r="945" spans="1:3" ht="18" customHeight="1" x14ac:dyDescent="0.2">
      <c r="A945" s="3"/>
      <c r="B945" s="6" t="str">
        <f t="shared" si="14"/>
        <v xml:space="preserve"> </v>
      </c>
      <c r="C945" s="20" t="s">
        <v>174</v>
      </c>
    </row>
    <row r="946" spans="1:3" ht="18" customHeight="1" x14ac:dyDescent="0.2">
      <c r="A946" s="3"/>
      <c r="B946" s="6" t="str">
        <f t="shared" si="14"/>
        <v xml:space="preserve"> </v>
      </c>
      <c r="C946" s="20" t="s">
        <v>174</v>
      </c>
    </row>
    <row r="947" spans="1:3" ht="18" customHeight="1" x14ac:dyDescent="0.2">
      <c r="A947" s="3"/>
      <c r="B947" s="6" t="str">
        <f t="shared" si="14"/>
        <v xml:space="preserve"> </v>
      </c>
      <c r="C947" s="20" t="s">
        <v>174</v>
      </c>
    </row>
    <row r="948" spans="1:3" ht="18" customHeight="1" x14ac:dyDescent="0.2">
      <c r="A948" s="3"/>
      <c r="B948" s="6" t="str">
        <f t="shared" si="14"/>
        <v xml:space="preserve"> </v>
      </c>
      <c r="C948" s="20" t="s">
        <v>174</v>
      </c>
    </row>
    <row r="949" spans="1:3" ht="18" customHeight="1" x14ac:dyDescent="0.2">
      <c r="A949" s="3"/>
      <c r="B949" s="6" t="str">
        <f t="shared" si="14"/>
        <v xml:space="preserve"> </v>
      </c>
      <c r="C949" s="20" t="s">
        <v>174</v>
      </c>
    </row>
    <row r="950" spans="1:3" ht="18" customHeight="1" x14ac:dyDescent="0.2">
      <c r="A950" s="3"/>
      <c r="B950" s="6" t="str">
        <f t="shared" si="14"/>
        <v xml:space="preserve"> </v>
      </c>
      <c r="C950" s="20" t="s">
        <v>174</v>
      </c>
    </row>
    <row r="951" spans="1:3" ht="18" customHeight="1" x14ac:dyDescent="0.2">
      <c r="A951" s="3"/>
      <c r="B951" s="6" t="str">
        <f t="shared" si="14"/>
        <v xml:space="preserve"> </v>
      </c>
      <c r="C951" s="20" t="s">
        <v>174</v>
      </c>
    </row>
    <row r="952" spans="1:3" ht="18" customHeight="1" x14ac:dyDescent="0.2">
      <c r="A952" s="3"/>
      <c r="B952" s="6" t="str">
        <f t="shared" si="14"/>
        <v xml:space="preserve"> </v>
      </c>
      <c r="C952" s="20" t="s">
        <v>174</v>
      </c>
    </row>
    <row r="953" spans="1:3" ht="18" customHeight="1" x14ac:dyDescent="0.2">
      <c r="A953" s="3"/>
      <c r="B953" s="6" t="str">
        <f t="shared" si="14"/>
        <v xml:space="preserve"> </v>
      </c>
      <c r="C953" s="20" t="s">
        <v>174</v>
      </c>
    </row>
    <row r="954" spans="1:3" ht="18" customHeight="1" x14ac:dyDescent="0.2">
      <c r="A954" s="3"/>
      <c r="B954" s="6" t="str">
        <f t="shared" si="14"/>
        <v xml:space="preserve"> </v>
      </c>
      <c r="C954" s="20" t="s">
        <v>174</v>
      </c>
    </row>
    <row r="955" spans="1:3" ht="18" customHeight="1" x14ac:dyDescent="0.2">
      <c r="A955" s="3"/>
      <c r="B955" s="6" t="str">
        <f t="shared" si="14"/>
        <v xml:space="preserve"> </v>
      </c>
      <c r="C955" s="20" t="s">
        <v>174</v>
      </c>
    </row>
    <row r="956" spans="1:3" ht="18" customHeight="1" x14ac:dyDescent="0.2">
      <c r="A956" s="3"/>
      <c r="B956" s="6" t="str">
        <f t="shared" si="14"/>
        <v xml:space="preserve"> </v>
      </c>
      <c r="C956" s="20" t="s">
        <v>174</v>
      </c>
    </row>
    <row r="957" spans="1:3" ht="18" customHeight="1" x14ac:dyDescent="0.2">
      <c r="A957" s="3"/>
      <c r="B957" s="6" t="str">
        <f t="shared" si="14"/>
        <v xml:space="preserve"> </v>
      </c>
      <c r="C957" s="20" t="s">
        <v>174</v>
      </c>
    </row>
    <row r="958" spans="1:3" ht="18" customHeight="1" x14ac:dyDescent="0.2">
      <c r="A958" s="3"/>
      <c r="B958" s="6" t="str">
        <f t="shared" si="14"/>
        <v xml:space="preserve"> </v>
      </c>
      <c r="C958" s="20" t="s">
        <v>174</v>
      </c>
    </row>
    <row r="959" spans="1:3" ht="18" customHeight="1" x14ac:dyDescent="0.2">
      <c r="A959" s="3"/>
      <c r="B959" s="6" t="str">
        <f t="shared" si="14"/>
        <v xml:space="preserve"> </v>
      </c>
      <c r="C959" s="20" t="s">
        <v>174</v>
      </c>
    </row>
    <row r="960" spans="1:3" ht="18" customHeight="1" x14ac:dyDescent="0.2">
      <c r="A960" s="3"/>
      <c r="B960" s="6" t="str">
        <f t="shared" si="14"/>
        <v xml:space="preserve"> </v>
      </c>
      <c r="C960" s="20" t="s">
        <v>174</v>
      </c>
    </row>
    <row r="961" spans="1:3" ht="18" customHeight="1" x14ac:dyDescent="0.2">
      <c r="A961" s="3"/>
      <c r="B961" s="6" t="str">
        <f t="shared" si="14"/>
        <v xml:space="preserve"> </v>
      </c>
      <c r="C961" s="20" t="s">
        <v>174</v>
      </c>
    </row>
    <row r="962" spans="1:3" ht="18" customHeight="1" x14ac:dyDescent="0.2">
      <c r="A962" s="3"/>
      <c r="B962" s="6" t="str">
        <f t="shared" si="14"/>
        <v xml:space="preserve"> </v>
      </c>
      <c r="C962" s="20" t="s">
        <v>174</v>
      </c>
    </row>
    <row r="963" spans="1:3" ht="18" customHeight="1" x14ac:dyDescent="0.2">
      <c r="A963" s="3"/>
      <c r="B963" s="6" t="str">
        <f t="shared" ref="B963:B1000" si="15">IF(ISBLANK(A963)=TRUE,B962,B962&amp;","&amp;A963)</f>
        <v xml:space="preserve"> </v>
      </c>
      <c r="C963" s="20" t="s">
        <v>174</v>
      </c>
    </row>
    <row r="964" spans="1:3" ht="18" customHeight="1" x14ac:dyDescent="0.2">
      <c r="A964" s="3"/>
      <c r="B964" s="6" t="str">
        <f t="shared" si="15"/>
        <v xml:space="preserve"> </v>
      </c>
      <c r="C964" s="20" t="s">
        <v>174</v>
      </c>
    </row>
    <row r="965" spans="1:3" ht="18" customHeight="1" x14ac:dyDescent="0.2">
      <c r="A965" s="3"/>
      <c r="B965" s="6" t="str">
        <f t="shared" si="15"/>
        <v xml:space="preserve"> </v>
      </c>
      <c r="C965" s="20" t="s">
        <v>174</v>
      </c>
    </row>
    <row r="966" spans="1:3" ht="18" customHeight="1" x14ac:dyDescent="0.2">
      <c r="A966" s="3"/>
      <c r="B966" s="6" t="str">
        <f t="shared" si="15"/>
        <v xml:space="preserve"> </v>
      </c>
      <c r="C966" s="20" t="s">
        <v>174</v>
      </c>
    </row>
    <row r="967" spans="1:3" ht="18" customHeight="1" x14ac:dyDescent="0.2">
      <c r="A967" s="3"/>
      <c r="B967" s="6" t="str">
        <f t="shared" si="15"/>
        <v xml:space="preserve"> </v>
      </c>
      <c r="C967" s="20" t="s">
        <v>174</v>
      </c>
    </row>
    <row r="968" spans="1:3" ht="18" customHeight="1" x14ac:dyDescent="0.2">
      <c r="A968" s="3"/>
      <c r="B968" s="6" t="str">
        <f t="shared" si="15"/>
        <v xml:space="preserve"> </v>
      </c>
      <c r="C968" s="20" t="s">
        <v>174</v>
      </c>
    </row>
    <row r="969" spans="1:3" ht="18" customHeight="1" x14ac:dyDescent="0.2">
      <c r="A969" s="3"/>
      <c r="B969" s="6" t="str">
        <f t="shared" si="15"/>
        <v xml:space="preserve"> </v>
      </c>
      <c r="C969" s="20" t="s">
        <v>174</v>
      </c>
    </row>
    <row r="970" spans="1:3" ht="18" customHeight="1" x14ac:dyDescent="0.2">
      <c r="A970" s="3"/>
      <c r="B970" s="6" t="str">
        <f t="shared" si="15"/>
        <v xml:space="preserve"> </v>
      </c>
      <c r="C970" s="20" t="s">
        <v>174</v>
      </c>
    </row>
    <row r="971" spans="1:3" ht="18" customHeight="1" x14ac:dyDescent="0.2">
      <c r="A971" s="3"/>
      <c r="B971" s="6" t="str">
        <f t="shared" si="15"/>
        <v xml:space="preserve"> </v>
      </c>
      <c r="C971" s="20" t="s">
        <v>174</v>
      </c>
    </row>
    <row r="972" spans="1:3" ht="18" customHeight="1" x14ac:dyDescent="0.2">
      <c r="A972" s="3"/>
      <c r="B972" s="6" t="str">
        <f t="shared" si="15"/>
        <v xml:space="preserve"> </v>
      </c>
      <c r="C972" s="20" t="s">
        <v>174</v>
      </c>
    </row>
    <row r="973" spans="1:3" ht="18" customHeight="1" x14ac:dyDescent="0.2">
      <c r="A973" s="3"/>
      <c r="B973" s="6" t="str">
        <f t="shared" si="15"/>
        <v xml:space="preserve"> </v>
      </c>
      <c r="C973" s="20" t="s">
        <v>174</v>
      </c>
    </row>
    <row r="974" spans="1:3" ht="18" customHeight="1" x14ac:dyDescent="0.2">
      <c r="A974" s="3"/>
      <c r="B974" s="6" t="str">
        <f t="shared" si="15"/>
        <v xml:space="preserve"> </v>
      </c>
      <c r="C974" s="20" t="s">
        <v>174</v>
      </c>
    </row>
    <row r="975" spans="1:3" ht="18" customHeight="1" x14ac:dyDescent="0.2">
      <c r="A975" s="3"/>
      <c r="B975" s="6" t="str">
        <f t="shared" si="15"/>
        <v xml:space="preserve"> </v>
      </c>
      <c r="C975" s="20" t="s">
        <v>174</v>
      </c>
    </row>
    <row r="976" spans="1:3" ht="18" customHeight="1" x14ac:dyDescent="0.2">
      <c r="A976" s="3"/>
      <c r="B976" s="6" t="str">
        <f t="shared" si="15"/>
        <v xml:space="preserve"> </v>
      </c>
      <c r="C976" s="20" t="s">
        <v>174</v>
      </c>
    </row>
    <row r="977" spans="1:3" ht="18" customHeight="1" x14ac:dyDescent="0.2">
      <c r="A977" s="3"/>
      <c r="B977" s="6" t="str">
        <f t="shared" si="15"/>
        <v xml:space="preserve"> </v>
      </c>
      <c r="C977" s="20" t="s">
        <v>174</v>
      </c>
    </row>
    <row r="978" spans="1:3" ht="18" customHeight="1" x14ac:dyDescent="0.2">
      <c r="A978" s="3"/>
      <c r="B978" s="6" t="str">
        <f t="shared" si="15"/>
        <v xml:space="preserve"> </v>
      </c>
      <c r="C978" s="20" t="s">
        <v>174</v>
      </c>
    </row>
    <row r="979" spans="1:3" ht="18" customHeight="1" x14ac:dyDescent="0.2">
      <c r="A979" s="3"/>
      <c r="B979" s="6" t="str">
        <f t="shared" si="15"/>
        <v xml:space="preserve"> </v>
      </c>
      <c r="C979" s="20" t="s">
        <v>174</v>
      </c>
    </row>
    <row r="980" spans="1:3" ht="18" customHeight="1" x14ac:dyDescent="0.2">
      <c r="A980" s="3"/>
      <c r="B980" s="6" t="str">
        <f t="shared" si="15"/>
        <v xml:space="preserve"> </v>
      </c>
      <c r="C980" s="20" t="s">
        <v>174</v>
      </c>
    </row>
    <row r="981" spans="1:3" ht="18" customHeight="1" x14ac:dyDescent="0.2">
      <c r="A981" s="3"/>
      <c r="B981" s="6" t="str">
        <f t="shared" si="15"/>
        <v xml:space="preserve"> </v>
      </c>
      <c r="C981" s="20" t="s">
        <v>174</v>
      </c>
    </row>
    <row r="982" spans="1:3" ht="18" customHeight="1" x14ac:dyDescent="0.2">
      <c r="A982" s="3"/>
      <c r="B982" s="6" t="str">
        <f t="shared" si="15"/>
        <v xml:space="preserve"> </v>
      </c>
      <c r="C982" s="20" t="s">
        <v>174</v>
      </c>
    </row>
    <row r="983" spans="1:3" ht="18" customHeight="1" x14ac:dyDescent="0.2">
      <c r="A983" s="3"/>
      <c r="B983" s="6" t="str">
        <f t="shared" si="15"/>
        <v xml:space="preserve"> </v>
      </c>
      <c r="C983" s="20" t="s">
        <v>174</v>
      </c>
    </row>
    <row r="984" spans="1:3" ht="18" customHeight="1" x14ac:dyDescent="0.2">
      <c r="A984" s="3"/>
      <c r="B984" s="6" t="str">
        <f t="shared" si="15"/>
        <v xml:space="preserve"> </v>
      </c>
      <c r="C984" s="20" t="s">
        <v>174</v>
      </c>
    </row>
    <row r="985" spans="1:3" ht="18" customHeight="1" x14ac:dyDescent="0.2">
      <c r="A985" s="3"/>
      <c r="B985" s="6" t="str">
        <f t="shared" si="15"/>
        <v xml:space="preserve"> </v>
      </c>
      <c r="C985" s="20" t="s">
        <v>174</v>
      </c>
    </row>
    <row r="986" spans="1:3" ht="18" customHeight="1" x14ac:dyDescent="0.2">
      <c r="A986" s="3"/>
      <c r="B986" s="6" t="str">
        <f t="shared" si="15"/>
        <v xml:space="preserve"> </v>
      </c>
      <c r="C986" s="20" t="s">
        <v>174</v>
      </c>
    </row>
    <row r="987" spans="1:3" ht="18" customHeight="1" x14ac:dyDescent="0.2">
      <c r="A987" s="3"/>
      <c r="B987" s="6" t="str">
        <f t="shared" si="15"/>
        <v xml:space="preserve"> </v>
      </c>
      <c r="C987" s="20" t="s">
        <v>174</v>
      </c>
    </row>
    <row r="988" spans="1:3" ht="18" customHeight="1" x14ac:dyDescent="0.2">
      <c r="A988" s="3"/>
      <c r="B988" s="6" t="str">
        <f t="shared" si="15"/>
        <v xml:space="preserve"> </v>
      </c>
      <c r="C988" s="20" t="s">
        <v>174</v>
      </c>
    </row>
    <row r="989" spans="1:3" ht="18" customHeight="1" x14ac:dyDescent="0.2">
      <c r="A989" s="3"/>
      <c r="B989" s="6" t="str">
        <f t="shared" si="15"/>
        <v xml:space="preserve"> </v>
      </c>
      <c r="C989" s="20" t="s">
        <v>174</v>
      </c>
    </row>
    <row r="990" spans="1:3" ht="18" customHeight="1" x14ac:dyDescent="0.2">
      <c r="A990" s="3"/>
      <c r="B990" s="6" t="str">
        <f t="shared" si="15"/>
        <v xml:space="preserve"> </v>
      </c>
      <c r="C990" s="20" t="s">
        <v>174</v>
      </c>
    </row>
    <row r="991" spans="1:3" ht="18" customHeight="1" x14ac:dyDescent="0.2">
      <c r="A991" s="3"/>
      <c r="B991" s="6" t="str">
        <f t="shared" si="15"/>
        <v xml:space="preserve"> </v>
      </c>
      <c r="C991" s="20" t="s">
        <v>174</v>
      </c>
    </row>
    <row r="992" spans="1:3" ht="18" customHeight="1" x14ac:dyDescent="0.2">
      <c r="A992" s="3"/>
      <c r="B992" s="6" t="str">
        <f t="shared" si="15"/>
        <v xml:space="preserve"> </v>
      </c>
      <c r="C992" s="20" t="s">
        <v>174</v>
      </c>
    </row>
    <row r="993" spans="1:3" ht="18" customHeight="1" x14ac:dyDescent="0.2">
      <c r="A993" s="3"/>
      <c r="B993" s="6" t="str">
        <f t="shared" si="15"/>
        <v xml:space="preserve"> </v>
      </c>
      <c r="C993" s="20" t="s">
        <v>174</v>
      </c>
    </row>
    <row r="994" spans="1:3" ht="18" customHeight="1" x14ac:dyDescent="0.2">
      <c r="A994" s="3"/>
      <c r="B994" s="6" t="str">
        <f t="shared" si="15"/>
        <v xml:space="preserve"> </v>
      </c>
      <c r="C994" s="20" t="s">
        <v>174</v>
      </c>
    </row>
    <row r="995" spans="1:3" ht="18" customHeight="1" x14ac:dyDescent="0.2">
      <c r="A995" s="3"/>
      <c r="B995" s="6" t="str">
        <f t="shared" si="15"/>
        <v xml:space="preserve"> </v>
      </c>
      <c r="C995" s="20" t="s">
        <v>174</v>
      </c>
    </row>
    <row r="996" spans="1:3" ht="18" customHeight="1" x14ac:dyDescent="0.2">
      <c r="A996" s="3"/>
      <c r="B996" s="6" t="str">
        <f t="shared" si="15"/>
        <v xml:space="preserve"> </v>
      </c>
      <c r="C996" s="20" t="s">
        <v>174</v>
      </c>
    </row>
    <row r="997" spans="1:3" ht="18" customHeight="1" x14ac:dyDescent="0.2">
      <c r="A997" s="3"/>
      <c r="B997" s="6" t="str">
        <f t="shared" si="15"/>
        <v xml:space="preserve"> </v>
      </c>
      <c r="C997" s="20" t="s">
        <v>174</v>
      </c>
    </row>
    <row r="998" spans="1:3" ht="18" customHeight="1" x14ac:dyDescent="0.2">
      <c r="A998" s="3"/>
      <c r="B998" s="6" t="str">
        <f t="shared" si="15"/>
        <v xml:space="preserve"> </v>
      </c>
      <c r="C998" s="20" t="s">
        <v>174</v>
      </c>
    </row>
    <row r="999" spans="1:3" ht="18" customHeight="1" x14ac:dyDescent="0.2">
      <c r="A999" s="3"/>
      <c r="B999" s="6" t="str">
        <f t="shared" si="15"/>
        <v xml:space="preserve"> </v>
      </c>
      <c r="C999" s="20" t="s">
        <v>174</v>
      </c>
    </row>
    <row r="1000" spans="1:3" ht="18" customHeight="1" x14ac:dyDescent="0.2">
      <c r="A1000" s="3"/>
      <c r="B1000" s="6" t="str">
        <f t="shared" si="15"/>
        <v xml:space="preserve"> </v>
      </c>
      <c r="C1000" s="20" t="s">
        <v>174</v>
      </c>
    </row>
    <row r="1001" spans="1:3" ht="18" customHeight="1" x14ac:dyDescent="0.2">
      <c r="B1001" s="6"/>
      <c r="C1001" s="20" t="s">
        <v>174</v>
      </c>
    </row>
    <row r="1002" spans="1:3" ht="18" customHeight="1" x14ac:dyDescent="0.2">
      <c r="B1002" s="6"/>
      <c r="C1002" s="20" t="s">
        <v>174</v>
      </c>
    </row>
    <row r="1003" spans="1:3" ht="18" customHeight="1" x14ac:dyDescent="0.2">
      <c r="B1003" s="6"/>
      <c r="C1003" s="20" t="s">
        <v>174</v>
      </c>
    </row>
    <row r="1004" spans="1:3" ht="18" customHeight="1" x14ac:dyDescent="0.2">
      <c r="B1004" s="6"/>
      <c r="C1004" s="20" t="s">
        <v>174</v>
      </c>
    </row>
    <row r="1005" spans="1:3" ht="18" customHeight="1" x14ac:dyDescent="0.2">
      <c r="B1005" s="6"/>
    </row>
    <row r="1006" spans="1:3" ht="18" customHeight="1" x14ac:dyDescent="0.2">
      <c r="B1006" s="6"/>
    </row>
    <row r="1007" spans="1:3" ht="18" customHeight="1" x14ac:dyDescent="0.2">
      <c r="B1007" s="6"/>
    </row>
    <row r="1008" spans="1:3" ht="18" customHeight="1" x14ac:dyDescent="0.2">
      <c r="B1008" s="6"/>
    </row>
    <row r="1009" spans="2:2" ht="18" customHeight="1" x14ac:dyDescent="0.2">
      <c r="B1009" s="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dimension ref="A1:AZ1000"/>
  <sheetViews>
    <sheetView workbookViewId="0">
      <selection activeCell="C2" sqref="C2:AZ1000"/>
    </sheetView>
  </sheetViews>
  <sheetFormatPr defaultRowHeight="18" customHeight="1" x14ac:dyDescent="0.2"/>
  <cols>
    <col min="1" max="1" width="27.625" customWidth="1"/>
    <col min="2" max="2" width="9" style="2"/>
  </cols>
  <sheetData>
    <row r="1" spans="1:52" s="2" customFormat="1" ht="18" customHeight="1" x14ac:dyDescent="0.25">
      <c r="A1" s="1" t="s">
        <v>241</v>
      </c>
    </row>
    <row r="2" spans="1:52" ht="18" customHeight="1" x14ac:dyDescent="0.2">
      <c r="A2" s="3" t="str">
        <f>CONCATENATE(C2," ",D2," ",E2," ",F2," ",G2," ",H2," ",I2," ",J2," ",K2," ",L2," ",M2," ",N2," ",O2," ",P2," ",Q2," ",R2," ",S2," ",T2," ",U2," ",V2," ",W2," ",X2," ",Y2," ",Z2," ",AA2," ",AB2," ",AC2," ",AD2," ",AE2," ",AF2," ",AG2," ",AH2," ",AI2," ",AJ2," ",AK2," ",AL2," ",AM2," ",AN2," ",AO2," ",AP2," ",AQ2," ",AR2," ",AS2," ",AT2," ",AU2," ",AV2," ",AW2," ",AX2," ",AY2," ",AZ2," ",
)</f>
        <v xml:space="preserve">                                                  </v>
      </c>
      <c r="B2" s="20" t="s">
        <v>174</v>
      </c>
      <c r="C2" s="41"/>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row>
    <row r="3" spans="1:52" ht="18" customHeight="1" x14ac:dyDescent="0.2">
      <c r="A3" s="3" t="str">
        <f>CONCATENATE(C3," ",D3," ",E3," ",F3," ",G3," ",H3," ",I3," ",J3," ",K3," ",L3," ",M3," ",N3," ",O3," ",P3," ",Q3," ",R3," ",S3," ",T3," ",U3," ",V3," ",W3," ",X3," ",Y3," ",Z3," ",AA3," ",AB3," ",AC3," ",AD3," ",AE3," ",AF3," ",AG3," ",AH3," ",AI3," ",AJ3," ",AK3," ",AL3," ",AM3," ",AN3," ",AO3," ",AP3," ",AQ3," ",AR3," ",AS3," ",AT3," ",AU3," ",AV3," ",AW3," ",AX3," ",AY3," ",AZ3," ",
)</f>
        <v xml:space="preserve">                                                  </v>
      </c>
      <c r="B3" s="20" t="s">
        <v>174</v>
      </c>
      <c r="C3" s="39"/>
      <c r="D3" s="37"/>
      <c r="E3" s="37"/>
      <c r="F3" s="37"/>
      <c r="G3" s="37"/>
      <c r="H3" s="37"/>
      <c r="I3" s="37"/>
      <c r="J3" s="37"/>
      <c r="K3" s="37"/>
      <c r="L3" s="37"/>
      <c r="M3" s="37"/>
      <c r="N3" s="37"/>
      <c r="O3" s="37"/>
      <c r="P3" s="37"/>
      <c r="Q3" s="37"/>
      <c r="R3" s="37"/>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row>
    <row r="4" spans="1:52" ht="18" customHeight="1" x14ac:dyDescent="0.2">
      <c r="A4" s="3" t="str">
        <f t="shared" ref="A4:A67" si="0">CONCATENATE(C4," ",D4," ",E4," ",F4," ",G4," ",H4," ",I4," ",J4," ",K4," ",L4," ",M4," ",N4," ",O4," ",P4," ",Q4," ",R4," ",S4," ",T4," ",U4," ",V4," ",W4," ",X4," ",Y4," ",Z4," ",AA4," ",AB4," ",AC4," ",AD4," ",AE4," ",AF4," ",AG4," ",AH4," ",AI4," ",AJ4," ",AK4," ",AL4," ",AM4," ",AN4," ",AO4," ",AP4," ",AQ4," ",AR4," ",AS4," ",AT4," ",AU4," ",AV4," ",AW4," ",AX4," ",AY4," ",AZ4," ",
)</f>
        <v xml:space="preserve">                                                  </v>
      </c>
      <c r="B4" s="20" t="s">
        <v>174</v>
      </c>
      <c r="C4" s="39"/>
      <c r="D4" s="37"/>
      <c r="E4" s="37"/>
      <c r="F4" s="43"/>
      <c r="G4" s="43"/>
      <c r="H4" s="43"/>
      <c r="I4" s="43"/>
      <c r="J4" s="39"/>
      <c r="K4" s="43"/>
      <c r="L4" s="39"/>
      <c r="M4" s="39"/>
      <c r="N4" s="39"/>
      <c r="O4" s="44"/>
      <c r="P4" s="39"/>
      <c r="Q4" s="39"/>
      <c r="R4" s="39"/>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row>
    <row r="5" spans="1:52" ht="18" customHeight="1" x14ac:dyDescent="0.2">
      <c r="A5" s="3" t="str">
        <f t="shared" si="0"/>
        <v xml:space="preserve">                                                  </v>
      </c>
      <c r="B5" s="20" t="s">
        <v>174</v>
      </c>
      <c r="C5" s="39"/>
      <c r="D5" s="39"/>
      <c r="E5" s="39"/>
      <c r="F5" s="39"/>
      <c r="G5" s="39"/>
      <c r="H5" s="39"/>
      <c r="I5" s="39"/>
      <c r="J5" s="39"/>
      <c r="K5" s="39"/>
      <c r="L5" s="39"/>
      <c r="M5" s="39"/>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row>
    <row r="6" spans="1:52" ht="18" customHeight="1" x14ac:dyDescent="0.2">
      <c r="A6" s="3" t="str">
        <f t="shared" si="0"/>
        <v xml:space="preserve">                                                  </v>
      </c>
      <c r="B6" s="20" t="s">
        <v>174</v>
      </c>
      <c r="C6" s="39"/>
      <c r="D6" s="39"/>
      <c r="E6" s="39"/>
      <c r="F6" s="39"/>
      <c r="G6" s="39"/>
      <c r="H6" s="39"/>
      <c r="I6" s="39"/>
      <c r="J6" s="39"/>
      <c r="K6" s="39"/>
      <c r="L6" s="39"/>
      <c r="M6" s="39"/>
      <c r="N6" s="39"/>
      <c r="O6" s="39"/>
      <c r="P6" s="39"/>
      <c r="Q6" s="39"/>
      <c r="R6" s="39"/>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row>
    <row r="7" spans="1:52" ht="18" customHeight="1" x14ac:dyDescent="0.2">
      <c r="A7" s="3" t="str">
        <f t="shared" si="0"/>
        <v xml:space="preserve">                                                  </v>
      </c>
      <c r="B7" s="20" t="s">
        <v>174</v>
      </c>
      <c r="C7" s="39"/>
      <c r="D7" s="39"/>
      <c r="E7" s="39"/>
      <c r="F7" s="39"/>
      <c r="G7" s="39"/>
      <c r="H7" s="39"/>
      <c r="I7" s="39"/>
      <c r="J7" s="39"/>
      <c r="K7" s="39"/>
      <c r="L7" s="39"/>
      <c r="M7" s="39"/>
      <c r="N7" s="39"/>
      <c r="O7" s="39"/>
      <c r="P7" s="39"/>
      <c r="Q7" s="39"/>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row>
    <row r="8" spans="1:52" ht="18" customHeight="1" x14ac:dyDescent="0.2">
      <c r="A8" s="3" t="str">
        <f t="shared" si="0"/>
        <v xml:space="preserve">                                                  </v>
      </c>
      <c r="B8" s="20" t="s">
        <v>174</v>
      </c>
      <c r="C8" s="39"/>
      <c r="D8" s="39"/>
      <c r="E8" s="39"/>
      <c r="F8" s="39"/>
      <c r="G8" s="39"/>
      <c r="H8" s="39"/>
      <c r="I8" s="39"/>
      <c r="J8" s="39"/>
      <c r="K8" s="39"/>
      <c r="L8" s="39"/>
      <c r="M8" s="39"/>
      <c r="N8" s="39"/>
      <c r="O8" s="39"/>
      <c r="P8" s="39"/>
      <c r="Q8" s="39"/>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row>
    <row r="9" spans="1:52" ht="18" customHeight="1" x14ac:dyDescent="0.2">
      <c r="A9" s="3" t="str">
        <f t="shared" si="0"/>
        <v xml:space="preserve">                                                  </v>
      </c>
      <c r="B9" s="20" t="s">
        <v>174</v>
      </c>
      <c r="C9" s="39"/>
      <c r="D9" s="39"/>
      <c r="E9" s="39"/>
      <c r="F9" s="41"/>
      <c r="G9" s="41"/>
      <c r="H9" s="41"/>
      <c r="I9" s="41"/>
      <c r="J9" s="41"/>
      <c r="K9" s="41"/>
      <c r="L9" s="41"/>
      <c r="M9" s="41"/>
      <c r="N9" s="41"/>
      <c r="O9" s="41"/>
      <c r="P9" s="41"/>
      <c r="Q9" s="41"/>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1:52" ht="18" customHeight="1" x14ac:dyDescent="0.2">
      <c r="A10" s="3" t="str">
        <f t="shared" si="0"/>
        <v xml:space="preserve">                                                  </v>
      </c>
      <c r="B10" s="20" t="s">
        <v>174</v>
      </c>
      <c r="C10" s="39"/>
      <c r="D10" s="39"/>
      <c r="E10" s="39"/>
      <c r="F10" s="39"/>
      <c r="G10" s="39"/>
      <c r="H10" s="39"/>
      <c r="I10" s="39"/>
      <c r="J10" s="39"/>
      <c r="K10" s="39"/>
      <c r="L10" s="39"/>
      <c r="M10" s="39"/>
      <c r="N10" s="39"/>
      <c r="O10" s="39"/>
      <c r="P10" s="39"/>
      <c r="Q10" s="39"/>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1:52" ht="18" customHeight="1" x14ac:dyDescent="0.2">
      <c r="A11" s="3" t="str">
        <f t="shared" si="0"/>
        <v xml:space="preserve">                                                  </v>
      </c>
      <c r="B11" s="20" t="s">
        <v>174</v>
      </c>
      <c r="C11" s="39"/>
      <c r="D11" s="39"/>
      <c r="E11" s="39"/>
      <c r="F11" s="37"/>
      <c r="G11" s="37"/>
      <c r="H11" s="37"/>
      <c r="I11" s="37"/>
      <c r="J11" s="37"/>
      <c r="K11" s="37"/>
      <c r="L11" s="37"/>
      <c r="M11" s="37"/>
      <c r="N11" s="37"/>
      <c r="O11" s="37"/>
      <c r="P11" s="37"/>
      <c r="Q11" s="37"/>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1:52" ht="18" customHeight="1" x14ac:dyDescent="0.2">
      <c r="A12" s="3" t="str">
        <f t="shared" si="0"/>
        <v xml:space="preserve">                                                  </v>
      </c>
      <c r="B12" s="20" t="s">
        <v>174</v>
      </c>
      <c r="C12" s="39"/>
      <c r="D12" s="39"/>
      <c r="E12" s="39"/>
      <c r="F12" s="38"/>
      <c r="G12" s="39"/>
      <c r="H12" s="40"/>
      <c r="I12" s="39"/>
      <c r="J12" s="40"/>
      <c r="K12" s="40"/>
      <c r="L12" s="40"/>
      <c r="M12" s="39"/>
      <c r="N12" s="39"/>
      <c r="O12" s="39"/>
      <c r="P12" s="39"/>
      <c r="Q12" s="39"/>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1:52" ht="18" customHeight="1" x14ac:dyDescent="0.2">
      <c r="A13" s="3" t="str">
        <f t="shared" si="0"/>
        <v xml:space="preserve">                                                  </v>
      </c>
      <c r="B13" s="20" t="s">
        <v>174</v>
      </c>
      <c r="C13" s="39"/>
      <c r="D13" s="39"/>
      <c r="E13" s="39"/>
      <c r="F13" s="38"/>
      <c r="G13" s="39"/>
      <c r="H13" s="40"/>
      <c r="I13" s="39"/>
      <c r="J13" s="40"/>
      <c r="K13" s="40"/>
      <c r="L13" s="40"/>
      <c r="M13" s="39"/>
      <c r="N13" s="39"/>
      <c r="O13" s="39"/>
      <c r="P13" s="39"/>
      <c r="Q13" s="39"/>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1:52" ht="18" customHeight="1" x14ac:dyDescent="0.2">
      <c r="A14" s="3" t="str">
        <f t="shared" si="0"/>
        <v xml:space="preserve">                                                  </v>
      </c>
      <c r="B14" s="20" t="s">
        <v>174</v>
      </c>
      <c r="C14" s="39"/>
      <c r="D14" s="39"/>
      <c r="E14" s="39"/>
      <c r="F14" s="38"/>
      <c r="G14" s="39"/>
      <c r="H14" s="40"/>
      <c r="I14" s="39"/>
      <c r="J14" s="40"/>
      <c r="K14" s="40"/>
      <c r="L14" s="40"/>
      <c r="M14" s="39"/>
      <c r="N14" s="39"/>
      <c r="O14" s="39"/>
      <c r="P14" s="39"/>
      <c r="Q14" s="39"/>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1:52" ht="18" customHeight="1" x14ac:dyDescent="0.2">
      <c r="A15" s="3" t="str">
        <f t="shared" si="0"/>
        <v xml:space="preserve">                                                  </v>
      </c>
      <c r="B15" s="20" t="s">
        <v>174</v>
      </c>
      <c r="C15" s="39"/>
      <c r="D15" s="39"/>
      <c r="E15" s="39"/>
      <c r="F15" s="38"/>
      <c r="G15" s="39"/>
      <c r="H15" s="40"/>
      <c r="I15" s="39"/>
      <c r="J15" s="40"/>
      <c r="K15" s="40"/>
      <c r="L15" s="40"/>
      <c r="M15" s="39"/>
      <c r="N15" s="39"/>
      <c r="O15" s="39"/>
      <c r="P15" s="39"/>
      <c r="Q15" s="39"/>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1:52" ht="18" customHeight="1" x14ac:dyDescent="0.2">
      <c r="A16" s="3" t="str">
        <f t="shared" si="0"/>
        <v xml:space="preserve">                                                  </v>
      </c>
      <c r="B16" s="20" t="s">
        <v>174</v>
      </c>
      <c r="C16" s="39"/>
      <c r="D16" s="39"/>
      <c r="E16" s="39"/>
      <c r="F16" s="38"/>
      <c r="G16" s="39"/>
      <c r="H16" s="40"/>
      <c r="I16" s="39"/>
      <c r="J16" s="40"/>
      <c r="K16" s="40"/>
      <c r="L16" s="40"/>
      <c r="M16" s="39"/>
      <c r="N16" s="39"/>
      <c r="O16" s="39"/>
      <c r="P16" s="39"/>
      <c r="Q16" s="39"/>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1:52" ht="18" customHeight="1" x14ac:dyDescent="0.2">
      <c r="A17" s="3" t="str">
        <f t="shared" si="0"/>
        <v xml:space="preserve">                                                  </v>
      </c>
      <c r="B17" s="20" t="s">
        <v>174</v>
      </c>
      <c r="C17" s="39"/>
      <c r="D17" s="39"/>
      <c r="E17" s="39"/>
      <c r="F17" s="39"/>
      <c r="G17" s="39"/>
      <c r="H17" s="39"/>
      <c r="I17" s="39"/>
      <c r="J17" s="39"/>
      <c r="K17" s="39"/>
      <c r="L17" s="39"/>
      <c r="M17" s="39"/>
      <c r="N17" s="39"/>
      <c r="O17" s="39"/>
      <c r="P17" s="39"/>
      <c r="Q17" s="39"/>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1:52" ht="18" customHeight="1" x14ac:dyDescent="0.2">
      <c r="A18" s="3" t="str">
        <f t="shared" si="0"/>
        <v xml:space="preserve">                                                  </v>
      </c>
      <c r="B18" s="20" t="s">
        <v>174</v>
      </c>
      <c r="C18" s="39"/>
      <c r="D18" s="39"/>
      <c r="E18" s="39"/>
      <c r="F18" s="39"/>
      <c r="G18" s="39"/>
      <c r="H18" s="39"/>
      <c r="I18" s="39"/>
      <c r="J18" s="39"/>
      <c r="K18" s="39"/>
      <c r="L18" s="39"/>
      <c r="M18" s="39"/>
      <c r="N18" s="39"/>
      <c r="O18" s="39"/>
      <c r="P18" s="39"/>
      <c r="Q18" s="39"/>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1:52" ht="18" customHeight="1" x14ac:dyDescent="0.2">
      <c r="A19" s="3" t="str">
        <f t="shared" si="0"/>
        <v xml:space="preserve">                                                  </v>
      </c>
      <c r="B19" s="20" t="s">
        <v>174</v>
      </c>
      <c r="C19" s="39"/>
      <c r="D19" s="39"/>
      <c r="E19" s="39"/>
      <c r="F19" s="39"/>
      <c r="G19" s="39"/>
      <c r="H19" s="39"/>
      <c r="I19" s="39"/>
      <c r="J19" s="39"/>
      <c r="K19" s="39"/>
      <c r="L19" s="39"/>
      <c r="M19" s="39"/>
      <c r="N19" s="39"/>
      <c r="O19" s="39"/>
      <c r="P19" s="39"/>
      <c r="Q19" s="39"/>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1:52" ht="18" customHeight="1" x14ac:dyDescent="0.2">
      <c r="A20" s="3" t="str">
        <f t="shared" si="0"/>
        <v xml:space="preserve">                                                  </v>
      </c>
      <c r="B20" s="20" t="s">
        <v>174</v>
      </c>
      <c r="C20" s="39"/>
      <c r="D20" s="39"/>
      <c r="E20" s="39"/>
      <c r="F20" s="41"/>
      <c r="G20" s="41"/>
      <c r="H20" s="41"/>
      <c r="I20" s="41"/>
      <c r="J20" s="41"/>
      <c r="K20" s="41"/>
      <c r="L20" s="41"/>
      <c r="M20" s="41"/>
      <c r="N20" s="41"/>
      <c r="O20" s="41"/>
      <c r="P20" s="41"/>
      <c r="Q20" s="41"/>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1:52" ht="18" customHeight="1" x14ac:dyDescent="0.2">
      <c r="A21" s="3" t="str">
        <f t="shared" si="0"/>
        <v xml:space="preserve">                                                  </v>
      </c>
      <c r="B21" s="20" t="s">
        <v>174</v>
      </c>
      <c r="C21" s="39"/>
      <c r="D21" s="39"/>
      <c r="E21" s="39"/>
      <c r="F21" s="39"/>
      <c r="G21" s="39"/>
      <c r="H21" s="39"/>
      <c r="I21" s="39"/>
      <c r="J21" s="39"/>
      <c r="K21" s="39"/>
      <c r="L21" s="39"/>
      <c r="M21" s="39"/>
      <c r="N21" s="39"/>
      <c r="O21" s="39"/>
      <c r="P21" s="39"/>
      <c r="Q21" s="39"/>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1:52" ht="18" customHeight="1" x14ac:dyDescent="0.2">
      <c r="A22" s="3" t="str">
        <f t="shared" si="0"/>
        <v xml:space="preserve">                                                  </v>
      </c>
      <c r="B22" s="20" t="s">
        <v>174</v>
      </c>
      <c r="C22" s="39"/>
      <c r="D22" s="39"/>
      <c r="E22" s="39"/>
      <c r="F22" s="37"/>
      <c r="G22" s="37"/>
      <c r="H22" s="37"/>
      <c r="I22" s="37"/>
      <c r="J22" s="37"/>
      <c r="K22" s="37"/>
      <c r="L22" s="37"/>
      <c r="M22" s="37"/>
      <c r="N22" s="37"/>
      <c r="O22" s="37"/>
      <c r="P22" s="37"/>
      <c r="Q22" s="37"/>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1:52" ht="18" customHeight="1" x14ac:dyDescent="0.2">
      <c r="A23" s="3" t="str">
        <f t="shared" si="0"/>
        <v xml:space="preserve">                                                  </v>
      </c>
      <c r="B23" s="20" t="s">
        <v>174</v>
      </c>
      <c r="C23" s="39"/>
      <c r="D23" s="39"/>
      <c r="E23" s="39"/>
      <c r="F23" s="38"/>
      <c r="G23" s="39"/>
      <c r="H23" s="40"/>
      <c r="I23" s="39"/>
      <c r="J23" s="40"/>
      <c r="K23" s="40"/>
      <c r="L23" s="40"/>
      <c r="M23" s="39"/>
      <c r="N23" s="39"/>
      <c r="O23" s="39"/>
      <c r="P23" s="39"/>
      <c r="Q23" s="39"/>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1:52" ht="18" customHeight="1" x14ac:dyDescent="0.2">
      <c r="A24" s="3" t="str">
        <f t="shared" si="0"/>
        <v xml:space="preserve">                                                  </v>
      </c>
      <c r="B24" s="20" t="s">
        <v>174</v>
      </c>
      <c r="C24" s="39"/>
      <c r="D24" s="39"/>
      <c r="E24" s="39"/>
      <c r="F24" s="38"/>
      <c r="G24" s="39"/>
      <c r="H24" s="40"/>
      <c r="I24" s="39"/>
      <c r="J24" s="40"/>
      <c r="K24" s="40"/>
      <c r="L24" s="40"/>
      <c r="M24" s="39"/>
      <c r="N24" s="39"/>
      <c r="O24" s="39"/>
      <c r="P24" s="39"/>
      <c r="Q24" s="39"/>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1:52" ht="18" customHeight="1" x14ac:dyDescent="0.2">
      <c r="A25" s="3" t="str">
        <f t="shared" si="0"/>
        <v xml:space="preserve">                                                  </v>
      </c>
      <c r="B25" s="20" t="s">
        <v>174</v>
      </c>
      <c r="C25" s="39"/>
      <c r="D25" s="39"/>
      <c r="E25" s="39"/>
      <c r="F25" s="38"/>
      <c r="G25" s="39"/>
      <c r="H25" s="40"/>
      <c r="I25" s="39"/>
      <c r="J25" s="40"/>
      <c r="K25" s="40"/>
      <c r="L25" s="40"/>
      <c r="M25" s="39"/>
      <c r="N25" s="39"/>
      <c r="O25" s="39"/>
      <c r="P25" s="39"/>
      <c r="Q25" s="39"/>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1:52" ht="18" customHeight="1" x14ac:dyDescent="0.2">
      <c r="A26" s="3" t="str">
        <f t="shared" si="0"/>
        <v xml:space="preserve">                                                  </v>
      </c>
      <c r="B26" s="20" t="s">
        <v>174</v>
      </c>
      <c r="C26" s="39"/>
      <c r="D26" s="39"/>
      <c r="E26" s="39"/>
      <c r="F26" s="38"/>
      <c r="G26" s="39"/>
      <c r="H26" s="40"/>
      <c r="I26" s="39"/>
      <c r="J26" s="40"/>
      <c r="K26" s="40"/>
      <c r="L26" s="40"/>
      <c r="M26" s="39"/>
      <c r="N26" s="39"/>
      <c r="O26" s="39"/>
      <c r="P26" s="39"/>
      <c r="Q26" s="39"/>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1:52" ht="18" customHeight="1" x14ac:dyDescent="0.2">
      <c r="A27" s="3" t="str">
        <f t="shared" si="0"/>
        <v xml:space="preserve">                                                  </v>
      </c>
      <c r="B27" s="20" t="s">
        <v>174</v>
      </c>
      <c r="C27" s="39"/>
      <c r="D27" s="39"/>
      <c r="E27" s="39"/>
      <c r="F27" s="38"/>
      <c r="G27" s="39"/>
      <c r="H27" s="40"/>
      <c r="I27" s="39"/>
      <c r="J27" s="40"/>
      <c r="K27" s="40"/>
      <c r="L27" s="40"/>
      <c r="M27" s="39"/>
      <c r="N27" s="39"/>
      <c r="O27" s="39"/>
      <c r="P27" s="39"/>
      <c r="Q27" s="39"/>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1:52" ht="18" customHeight="1" x14ac:dyDescent="0.2">
      <c r="A28" s="3" t="str">
        <f t="shared" si="0"/>
        <v xml:space="preserve">                                                  </v>
      </c>
      <c r="B28" s="20" t="s">
        <v>174</v>
      </c>
      <c r="C28" s="39"/>
      <c r="D28" s="39"/>
      <c r="E28" s="39"/>
      <c r="F28" s="38"/>
      <c r="G28" s="39"/>
      <c r="H28" s="40"/>
      <c r="I28" s="39"/>
      <c r="J28" s="40"/>
      <c r="K28" s="40"/>
      <c r="L28" s="40"/>
      <c r="M28" s="39"/>
      <c r="N28" s="39"/>
      <c r="O28" s="39"/>
      <c r="P28" s="39"/>
      <c r="Q28" s="39"/>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1:52" ht="18" customHeight="1" x14ac:dyDescent="0.2">
      <c r="A29" s="3" t="str">
        <f t="shared" si="0"/>
        <v xml:space="preserve">                                                  </v>
      </c>
      <c r="B29" s="20" t="s">
        <v>174</v>
      </c>
      <c r="C29" s="39"/>
      <c r="D29" s="39"/>
      <c r="E29" s="39"/>
      <c r="F29" s="38"/>
      <c r="G29" s="39"/>
      <c r="H29" s="40"/>
      <c r="I29" s="39"/>
      <c r="J29" s="40"/>
      <c r="K29" s="40"/>
      <c r="L29" s="40"/>
      <c r="M29" s="39"/>
      <c r="N29" s="39"/>
      <c r="O29" s="39"/>
      <c r="P29" s="39"/>
      <c r="Q29" s="39"/>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1:52" ht="18" customHeight="1" x14ac:dyDescent="0.2">
      <c r="A30" s="3" t="str">
        <f t="shared" si="0"/>
        <v xml:space="preserve">                                                  </v>
      </c>
      <c r="B30" s="20" t="s">
        <v>174</v>
      </c>
      <c r="C30" s="39"/>
      <c r="D30" s="39"/>
      <c r="E30" s="39"/>
      <c r="F30" s="38"/>
      <c r="G30" s="39"/>
      <c r="H30" s="40"/>
      <c r="I30" s="39"/>
      <c r="J30" s="40"/>
      <c r="K30" s="40"/>
      <c r="L30" s="40"/>
      <c r="M30" s="39"/>
      <c r="N30" s="39"/>
      <c r="O30" s="39"/>
      <c r="P30" s="39"/>
      <c r="Q30" s="39"/>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1:52" ht="18" customHeight="1" x14ac:dyDescent="0.2">
      <c r="A31" s="3" t="str">
        <f t="shared" si="0"/>
        <v xml:space="preserve">                                                  </v>
      </c>
      <c r="B31" s="20" t="s">
        <v>174</v>
      </c>
      <c r="C31" s="39"/>
      <c r="D31" s="39"/>
      <c r="E31" s="39"/>
      <c r="F31" s="38"/>
      <c r="G31" s="39"/>
      <c r="H31" s="40"/>
      <c r="I31" s="39"/>
      <c r="J31" s="40"/>
      <c r="K31" s="40"/>
      <c r="L31" s="40"/>
      <c r="M31" s="39"/>
      <c r="N31" s="39"/>
      <c r="O31" s="39"/>
      <c r="P31" s="39"/>
      <c r="Q31" s="39"/>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1:52" ht="18" customHeight="1" x14ac:dyDescent="0.2">
      <c r="A32" s="3" t="str">
        <f t="shared" si="0"/>
        <v xml:space="preserve">                                                  </v>
      </c>
      <c r="B32" s="20" t="s">
        <v>174</v>
      </c>
      <c r="C32" s="39"/>
      <c r="D32" s="39"/>
      <c r="E32" s="39"/>
      <c r="F32" s="38"/>
      <c r="G32" s="39"/>
      <c r="H32" s="40"/>
      <c r="I32" s="39"/>
      <c r="J32" s="40"/>
      <c r="K32" s="40"/>
      <c r="L32" s="40"/>
      <c r="M32" s="39"/>
      <c r="N32" s="39"/>
      <c r="O32" s="39"/>
      <c r="P32" s="39"/>
      <c r="Q32" s="39"/>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1:52" ht="18" customHeight="1" x14ac:dyDescent="0.2">
      <c r="A33" s="3" t="str">
        <f t="shared" si="0"/>
        <v xml:space="preserve">                                                  </v>
      </c>
      <c r="B33" s="20" t="s">
        <v>174</v>
      </c>
      <c r="C33" s="39"/>
      <c r="D33" s="39"/>
      <c r="E33" s="39"/>
      <c r="F33" s="39"/>
      <c r="G33" s="39"/>
      <c r="H33" s="39"/>
      <c r="I33" s="39"/>
      <c r="J33" s="39"/>
      <c r="K33" s="39"/>
      <c r="L33" s="39"/>
      <c r="M33" s="39"/>
      <c r="N33" s="39"/>
      <c r="O33" s="39"/>
      <c r="P33" s="39"/>
      <c r="Q33" s="39"/>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1:52" ht="18" customHeight="1" x14ac:dyDescent="0.2">
      <c r="A34" s="3" t="str">
        <f t="shared" si="0"/>
        <v xml:space="preserve">                                                  </v>
      </c>
      <c r="B34" s="20" t="s">
        <v>174</v>
      </c>
      <c r="C34" s="39"/>
      <c r="D34" s="39"/>
      <c r="E34" s="39"/>
      <c r="F34" s="39"/>
      <c r="G34" s="39"/>
      <c r="H34" s="39"/>
      <c r="I34" s="39"/>
      <c r="J34" s="39"/>
      <c r="K34" s="39"/>
      <c r="L34" s="39"/>
      <c r="M34" s="39"/>
      <c r="N34" s="39"/>
      <c r="O34" s="39"/>
      <c r="P34" s="39"/>
      <c r="Q34" s="39"/>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1:52" ht="18" customHeight="1" x14ac:dyDescent="0.2">
      <c r="A35" s="3" t="str">
        <f t="shared" si="0"/>
        <v xml:space="preserve">                                                  </v>
      </c>
      <c r="B35" s="20" t="s">
        <v>174</v>
      </c>
      <c r="C35" s="39"/>
      <c r="D35" s="39"/>
      <c r="E35" s="39"/>
      <c r="F35" s="39"/>
      <c r="G35" s="39"/>
      <c r="H35" s="39"/>
      <c r="I35" s="39"/>
      <c r="J35" s="39"/>
      <c r="K35" s="39"/>
      <c r="L35" s="39"/>
      <c r="M35" s="39"/>
      <c r="N35" s="39"/>
      <c r="O35" s="39"/>
      <c r="P35" s="39"/>
      <c r="Q35" s="39"/>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1:52" ht="18" customHeight="1" x14ac:dyDescent="0.2">
      <c r="A36" s="3" t="str">
        <f t="shared" si="0"/>
        <v xml:space="preserve">                                                  </v>
      </c>
      <c r="B36" s="20" t="s">
        <v>174</v>
      </c>
      <c r="C36" s="39"/>
      <c r="D36" s="39"/>
      <c r="E36" s="39"/>
      <c r="F36" s="41"/>
      <c r="G36" s="41"/>
      <c r="H36" s="41"/>
      <c r="I36" s="41"/>
      <c r="J36" s="41"/>
      <c r="K36" s="41"/>
      <c r="L36" s="41"/>
      <c r="M36" s="41"/>
      <c r="N36" s="41"/>
      <c r="O36" s="41"/>
      <c r="P36" s="41"/>
      <c r="Q36" s="41"/>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1:52" ht="18" customHeight="1" x14ac:dyDescent="0.2">
      <c r="A37" s="3" t="str">
        <f t="shared" si="0"/>
        <v xml:space="preserve">                                                  </v>
      </c>
      <c r="B37" s="20" t="s">
        <v>174</v>
      </c>
      <c r="C37" s="39"/>
      <c r="D37" s="39"/>
      <c r="E37" s="39"/>
      <c r="F37" s="39"/>
      <c r="G37" s="39"/>
      <c r="H37" s="39"/>
      <c r="I37" s="39"/>
      <c r="J37" s="39"/>
      <c r="K37" s="39"/>
      <c r="L37" s="39"/>
      <c r="M37" s="39"/>
      <c r="N37" s="39"/>
      <c r="O37" s="39"/>
      <c r="P37" s="39"/>
      <c r="Q37" s="39"/>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1:52" ht="18" customHeight="1" x14ac:dyDescent="0.2">
      <c r="A38" s="3" t="str">
        <f t="shared" si="0"/>
        <v xml:space="preserve">                                                  </v>
      </c>
      <c r="B38" s="20" t="s">
        <v>174</v>
      </c>
      <c r="C38" s="39"/>
      <c r="D38" s="39"/>
      <c r="E38" s="39"/>
      <c r="F38" s="37"/>
      <c r="G38" s="37"/>
      <c r="H38" s="37"/>
      <c r="I38" s="37"/>
      <c r="J38" s="37"/>
      <c r="K38" s="37"/>
      <c r="L38" s="37"/>
      <c r="M38" s="37"/>
      <c r="N38" s="37"/>
      <c r="O38" s="37"/>
      <c r="P38" s="37"/>
      <c r="Q38" s="37"/>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1:52" ht="18" customHeight="1" x14ac:dyDescent="0.2">
      <c r="A39" s="3" t="str">
        <f t="shared" si="0"/>
        <v xml:space="preserve">                                                  </v>
      </c>
      <c r="B39" s="20" t="s">
        <v>174</v>
      </c>
      <c r="C39" s="39"/>
      <c r="D39" s="39"/>
      <c r="E39" s="39"/>
      <c r="F39" s="38"/>
      <c r="G39" s="39"/>
      <c r="H39" s="40"/>
      <c r="I39" s="39"/>
      <c r="J39" s="40"/>
      <c r="K39" s="40"/>
      <c r="L39" s="40"/>
      <c r="M39" s="39"/>
      <c r="N39" s="39"/>
      <c r="O39" s="39"/>
      <c r="P39" s="39"/>
      <c r="Q39" s="39"/>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1:52" ht="18" customHeight="1" x14ac:dyDescent="0.2">
      <c r="A40" s="3" t="str">
        <f t="shared" si="0"/>
        <v xml:space="preserve">                                                  </v>
      </c>
      <c r="B40" s="20" t="s">
        <v>174</v>
      </c>
      <c r="C40" s="39"/>
      <c r="D40" s="39"/>
      <c r="E40" s="39"/>
      <c r="F40" s="38"/>
      <c r="G40" s="39"/>
      <c r="H40" s="40"/>
      <c r="I40" s="39"/>
      <c r="J40" s="40"/>
      <c r="K40" s="40"/>
      <c r="L40" s="40"/>
      <c r="M40" s="39"/>
      <c r="N40" s="39"/>
      <c r="O40" s="39"/>
      <c r="P40" s="39"/>
      <c r="Q40" s="39"/>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1:52" ht="18" customHeight="1" x14ac:dyDescent="0.2">
      <c r="A41" s="3" t="str">
        <f t="shared" si="0"/>
        <v xml:space="preserve">                                                  </v>
      </c>
      <c r="B41" s="20" t="s">
        <v>174</v>
      </c>
      <c r="C41" s="39"/>
      <c r="D41" s="39"/>
      <c r="E41" s="39"/>
      <c r="F41" s="38"/>
      <c r="G41" s="39"/>
      <c r="H41" s="40"/>
      <c r="I41" s="39"/>
      <c r="J41" s="40"/>
      <c r="K41" s="40"/>
      <c r="L41" s="40"/>
      <c r="M41" s="39"/>
      <c r="N41" s="39"/>
      <c r="O41" s="39"/>
      <c r="P41" s="39"/>
      <c r="Q41" s="39"/>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1:52" ht="18" customHeight="1" x14ac:dyDescent="0.2">
      <c r="A42" s="3" t="str">
        <f t="shared" si="0"/>
        <v xml:space="preserve">                                                  </v>
      </c>
      <c r="B42" s="20" t="s">
        <v>174</v>
      </c>
      <c r="C42" s="39"/>
      <c r="D42" s="39"/>
      <c r="E42" s="39"/>
      <c r="F42" s="38"/>
      <c r="G42" s="39"/>
      <c r="H42" s="40"/>
      <c r="I42" s="39"/>
      <c r="J42" s="40"/>
      <c r="K42" s="40"/>
      <c r="L42" s="40"/>
      <c r="M42" s="39"/>
      <c r="N42" s="39"/>
      <c r="O42" s="39"/>
      <c r="P42" s="39"/>
      <c r="Q42" s="39"/>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1:52" ht="18" customHeight="1" x14ac:dyDescent="0.2">
      <c r="A43" s="3" t="str">
        <f t="shared" si="0"/>
        <v xml:space="preserve">                                                  </v>
      </c>
      <c r="B43" s="20" t="s">
        <v>174</v>
      </c>
      <c r="C43" s="39"/>
      <c r="D43" s="39"/>
      <c r="E43" s="39"/>
      <c r="F43" s="38"/>
      <c r="G43" s="39"/>
      <c r="H43" s="40"/>
      <c r="I43" s="39"/>
      <c r="J43" s="40"/>
      <c r="K43" s="40"/>
      <c r="L43" s="40"/>
      <c r="M43" s="39"/>
      <c r="N43" s="39"/>
      <c r="O43" s="39"/>
      <c r="P43" s="39"/>
      <c r="Q43" s="39"/>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1:52" ht="18" customHeight="1" x14ac:dyDescent="0.2">
      <c r="A44" s="3" t="str">
        <f t="shared" si="0"/>
        <v xml:space="preserve">                                                  </v>
      </c>
      <c r="B44" s="20" t="s">
        <v>174</v>
      </c>
      <c r="C44" s="39"/>
      <c r="D44" s="39"/>
      <c r="E44" s="39"/>
      <c r="F44" s="38"/>
      <c r="G44" s="39"/>
      <c r="H44" s="40"/>
      <c r="I44" s="39"/>
      <c r="J44" s="40"/>
      <c r="K44" s="40"/>
      <c r="L44" s="40"/>
      <c r="M44" s="39"/>
      <c r="N44" s="39"/>
      <c r="O44" s="39"/>
      <c r="P44" s="39"/>
      <c r="Q44" s="39"/>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1:52" ht="18" customHeight="1" x14ac:dyDescent="0.2">
      <c r="A45" s="3" t="str">
        <f t="shared" si="0"/>
        <v xml:space="preserve">                                                  </v>
      </c>
      <c r="B45" s="20" t="s">
        <v>174</v>
      </c>
      <c r="C45" s="39"/>
      <c r="D45" s="39"/>
      <c r="E45" s="39"/>
      <c r="F45" s="38"/>
      <c r="G45" s="39"/>
      <c r="H45" s="40"/>
      <c r="I45" s="39"/>
      <c r="J45" s="40"/>
      <c r="K45" s="40"/>
      <c r="L45" s="40"/>
      <c r="M45" s="39"/>
      <c r="N45" s="39"/>
      <c r="O45" s="39"/>
      <c r="P45" s="39"/>
      <c r="Q45" s="39"/>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1:52" ht="18" customHeight="1" x14ac:dyDescent="0.2">
      <c r="A46" s="3" t="str">
        <f t="shared" si="0"/>
        <v xml:space="preserve">                                                  </v>
      </c>
      <c r="B46" s="20" t="s">
        <v>174</v>
      </c>
      <c r="C46" s="39"/>
      <c r="D46" s="39"/>
      <c r="E46" s="39"/>
      <c r="F46" s="39"/>
      <c r="G46" s="39"/>
      <c r="H46" s="39"/>
      <c r="I46" s="39"/>
      <c r="J46" s="39"/>
      <c r="K46" s="39"/>
      <c r="L46" s="39"/>
      <c r="M46" s="39"/>
      <c r="N46" s="39"/>
      <c r="O46" s="39"/>
      <c r="P46" s="39"/>
      <c r="Q46" s="39"/>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1:52" ht="18" customHeight="1" x14ac:dyDescent="0.2">
      <c r="A47" s="3" t="str">
        <f t="shared" si="0"/>
        <v xml:space="preserve">                                                  </v>
      </c>
      <c r="B47" s="20" t="s">
        <v>174</v>
      </c>
      <c r="C47" s="39"/>
      <c r="D47" s="39"/>
      <c r="E47" s="39"/>
      <c r="F47" s="39"/>
      <c r="G47" s="39"/>
      <c r="H47" s="39"/>
      <c r="I47" s="39"/>
      <c r="J47" s="39"/>
      <c r="K47" s="39"/>
      <c r="L47" s="39"/>
      <c r="M47" s="39"/>
      <c r="N47" s="39"/>
      <c r="O47" s="39"/>
      <c r="P47" s="39"/>
      <c r="Q47" s="39"/>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1:52" ht="18" customHeight="1" x14ac:dyDescent="0.2">
      <c r="A48" s="3" t="str">
        <f t="shared" si="0"/>
        <v xml:space="preserve">                                                  </v>
      </c>
      <c r="B48" s="20" t="s">
        <v>174</v>
      </c>
      <c r="C48" s="39"/>
      <c r="D48" s="39"/>
      <c r="E48" s="39"/>
      <c r="F48" s="39"/>
      <c r="G48" s="39"/>
      <c r="H48" s="39"/>
      <c r="I48" s="39"/>
      <c r="J48" s="39"/>
      <c r="K48" s="39"/>
      <c r="L48" s="39"/>
      <c r="M48" s="39"/>
      <c r="N48" s="39"/>
      <c r="O48" s="39"/>
      <c r="P48" s="39"/>
      <c r="Q48" s="39"/>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1:52" ht="18" customHeight="1" x14ac:dyDescent="0.2">
      <c r="A49" s="3" t="str">
        <f t="shared" si="0"/>
        <v xml:space="preserve">                                                  </v>
      </c>
      <c r="B49" s="20" t="s">
        <v>174</v>
      </c>
      <c r="C49" s="39"/>
      <c r="D49" s="39"/>
      <c r="E49" s="39"/>
      <c r="F49" s="41"/>
      <c r="G49" s="41"/>
      <c r="H49" s="41"/>
      <c r="I49" s="41"/>
      <c r="J49" s="41"/>
      <c r="K49" s="41"/>
      <c r="L49" s="41"/>
      <c r="M49" s="41"/>
      <c r="N49" s="41"/>
      <c r="O49" s="41"/>
      <c r="P49" s="41"/>
      <c r="Q49" s="41"/>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1:52" ht="18" customHeight="1" x14ac:dyDescent="0.2">
      <c r="A50" s="3" t="str">
        <f t="shared" si="0"/>
        <v xml:space="preserve">                                                  </v>
      </c>
      <c r="B50" s="20" t="s">
        <v>174</v>
      </c>
      <c r="C50" s="39"/>
      <c r="D50" s="39"/>
      <c r="E50" s="39"/>
      <c r="F50" s="39"/>
      <c r="G50" s="39"/>
      <c r="H50" s="39"/>
      <c r="I50" s="39"/>
      <c r="J50" s="39"/>
      <c r="K50" s="39"/>
      <c r="L50" s="39"/>
      <c r="M50" s="39"/>
      <c r="N50" s="39"/>
      <c r="O50" s="39"/>
      <c r="P50" s="39"/>
      <c r="Q50" s="39"/>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1:52" ht="18" customHeight="1" x14ac:dyDescent="0.2">
      <c r="A51" s="3" t="str">
        <f t="shared" si="0"/>
        <v xml:space="preserve">                                                  </v>
      </c>
      <c r="B51" s="20" t="s">
        <v>174</v>
      </c>
      <c r="C51" s="39"/>
      <c r="D51" s="39"/>
      <c r="E51" s="39"/>
      <c r="F51" s="37"/>
      <c r="G51" s="37"/>
      <c r="H51" s="37"/>
      <c r="I51" s="37"/>
      <c r="J51" s="37"/>
      <c r="K51" s="37"/>
      <c r="L51" s="37"/>
      <c r="M51" s="37"/>
      <c r="N51" s="37"/>
      <c r="O51" s="37"/>
      <c r="P51" s="37"/>
      <c r="Q51" s="37"/>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1:52" ht="18" customHeight="1" x14ac:dyDescent="0.2">
      <c r="A52" s="3" t="str">
        <f t="shared" si="0"/>
        <v xml:space="preserve">                                                  </v>
      </c>
      <c r="B52" s="20" t="s">
        <v>174</v>
      </c>
      <c r="C52" s="39"/>
      <c r="D52" s="39"/>
      <c r="E52" s="39"/>
      <c r="F52" s="38"/>
      <c r="G52" s="39"/>
      <c r="H52" s="40"/>
      <c r="I52" s="39"/>
      <c r="J52" s="40"/>
      <c r="K52" s="40"/>
      <c r="L52" s="40"/>
      <c r="M52" s="39"/>
      <c r="N52" s="39"/>
      <c r="O52" s="39"/>
      <c r="P52" s="39"/>
      <c r="Q52" s="39"/>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1:52" ht="18" customHeight="1" x14ac:dyDescent="0.2">
      <c r="A53" s="3" t="str">
        <f t="shared" si="0"/>
        <v xml:space="preserve">                                                  </v>
      </c>
      <c r="B53" s="20" t="s">
        <v>174</v>
      </c>
      <c r="C53" s="39"/>
      <c r="D53" s="39"/>
      <c r="E53" s="39"/>
      <c r="F53" s="38"/>
      <c r="G53" s="39"/>
      <c r="H53" s="40"/>
      <c r="I53" s="39"/>
      <c r="J53" s="40"/>
      <c r="K53" s="40"/>
      <c r="L53" s="40"/>
      <c r="M53" s="39"/>
      <c r="N53" s="39"/>
      <c r="O53" s="39"/>
      <c r="P53" s="39"/>
      <c r="Q53" s="39"/>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1:52" ht="18" customHeight="1" x14ac:dyDescent="0.2">
      <c r="A54" s="3" t="str">
        <f t="shared" si="0"/>
        <v xml:space="preserve">                                                  </v>
      </c>
      <c r="B54" s="20" t="s">
        <v>174</v>
      </c>
      <c r="C54" s="39"/>
      <c r="D54" s="39"/>
      <c r="E54" s="39"/>
      <c r="F54" s="38"/>
      <c r="G54" s="39"/>
      <c r="H54" s="40"/>
      <c r="I54" s="39"/>
      <c r="J54" s="40"/>
      <c r="K54" s="40"/>
      <c r="L54" s="40"/>
      <c r="M54" s="39"/>
      <c r="N54" s="39"/>
      <c r="O54" s="39"/>
      <c r="P54" s="39"/>
      <c r="Q54" s="39"/>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1:52" ht="18" customHeight="1" x14ac:dyDescent="0.2">
      <c r="A55" s="3" t="str">
        <f t="shared" si="0"/>
        <v xml:space="preserve">                                                  </v>
      </c>
      <c r="B55" s="20" t="s">
        <v>174</v>
      </c>
      <c r="C55" s="39"/>
      <c r="D55" s="39"/>
      <c r="E55" s="39"/>
      <c r="F55" s="38"/>
      <c r="G55" s="39"/>
      <c r="H55" s="40"/>
      <c r="I55" s="39"/>
      <c r="J55" s="40"/>
      <c r="K55" s="40"/>
      <c r="L55" s="40"/>
      <c r="M55" s="39"/>
      <c r="N55" s="39"/>
      <c r="O55" s="39"/>
      <c r="P55" s="39"/>
      <c r="Q55" s="39"/>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1:52" ht="18" customHeight="1" x14ac:dyDescent="0.2">
      <c r="A56" s="3" t="str">
        <f t="shared" si="0"/>
        <v xml:space="preserve">                                                  </v>
      </c>
      <c r="B56" s="20" t="s">
        <v>174</v>
      </c>
      <c r="C56" s="39"/>
      <c r="D56" s="39"/>
      <c r="E56" s="39"/>
      <c r="F56" s="38"/>
      <c r="G56" s="39"/>
      <c r="H56" s="40"/>
      <c r="I56" s="39"/>
      <c r="J56" s="40"/>
      <c r="K56" s="40"/>
      <c r="L56" s="40"/>
      <c r="M56" s="39"/>
      <c r="N56" s="39"/>
      <c r="O56" s="39"/>
      <c r="P56" s="39"/>
      <c r="Q56" s="39"/>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1:52" ht="18" customHeight="1" x14ac:dyDescent="0.2">
      <c r="A57" s="3" t="str">
        <f t="shared" si="0"/>
        <v xml:space="preserve">                                                  </v>
      </c>
      <c r="B57" s="20" t="s">
        <v>174</v>
      </c>
      <c r="C57" s="39"/>
      <c r="D57" s="39"/>
      <c r="E57" s="39"/>
      <c r="F57" s="38"/>
      <c r="G57" s="39"/>
      <c r="H57" s="40"/>
      <c r="I57" s="39"/>
      <c r="J57" s="40"/>
      <c r="K57" s="40"/>
      <c r="L57" s="40"/>
      <c r="M57" s="39"/>
      <c r="N57" s="39"/>
      <c r="O57" s="39"/>
      <c r="P57" s="39"/>
      <c r="Q57" s="39"/>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1:52" ht="18" customHeight="1" x14ac:dyDescent="0.2">
      <c r="A58" s="3" t="str">
        <f t="shared" si="0"/>
        <v xml:space="preserve">                                                  </v>
      </c>
      <c r="B58" s="20" t="s">
        <v>174</v>
      </c>
      <c r="C58" s="39"/>
      <c r="D58" s="39"/>
      <c r="E58" s="39"/>
      <c r="F58" s="38"/>
      <c r="G58" s="39"/>
      <c r="H58" s="40"/>
      <c r="I58" s="39"/>
      <c r="J58" s="40"/>
      <c r="K58" s="40"/>
      <c r="L58" s="40"/>
      <c r="M58" s="39"/>
      <c r="N58" s="39"/>
      <c r="O58" s="39"/>
      <c r="P58" s="39"/>
      <c r="Q58" s="39"/>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1:52" ht="18" customHeight="1" x14ac:dyDescent="0.2">
      <c r="A59" s="3" t="str">
        <f t="shared" si="0"/>
        <v xml:space="preserve">                                                  </v>
      </c>
      <c r="B59" s="20" t="s">
        <v>174</v>
      </c>
      <c r="C59" s="39"/>
      <c r="D59" s="39"/>
      <c r="E59" s="39"/>
      <c r="F59" s="38"/>
      <c r="G59" s="39"/>
      <c r="H59" s="40"/>
      <c r="I59" s="39"/>
      <c r="J59" s="40"/>
      <c r="K59" s="40"/>
      <c r="L59" s="40"/>
      <c r="M59" s="39"/>
      <c r="N59" s="39"/>
      <c r="O59" s="39"/>
      <c r="P59" s="39"/>
      <c r="Q59" s="39"/>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1:52" ht="18" customHeight="1" x14ac:dyDescent="0.2">
      <c r="A60" s="3" t="str">
        <f t="shared" si="0"/>
        <v xml:space="preserve">                                                  </v>
      </c>
      <c r="B60" s="20" t="s">
        <v>174</v>
      </c>
      <c r="C60" s="39"/>
      <c r="D60" s="39"/>
      <c r="E60" s="39"/>
      <c r="F60" s="38"/>
      <c r="G60" s="39"/>
      <c r="H60" s="40"/>
      <c r="I60" s="39"/>
      <c r="J60" s="40"/>
      <c r="K60" s="40"/>
      <c r="L60" s="40"/>
      <c r="M60" s="39"/>
      <c r="N60" s="39"/>
      <c r="O60" s="39"/>
      <c r="P60" s="39"/>
      <c r="Q60" s="39"/>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1:52" ht="18" customHeight="1" x14ac:dyDescent="0.2">
      <c r="A61" s="3" t="str">
        <f t="shared" si="0"/>
        <v xml:space="preserve">                                                  </v>
      </c>
      <c r="B61" s="20" t="s">
        <v>174</v>
      </c>
      <c r="C61" s="39"/>
      <c r="D61" s="39"/>
      <c r="E61" s="39"/>
      <c r="F61" s="38"/>
      <c r="G61" s="39"/>
      <c r="H61" s="40"/>
      <c r="I61" s="39"/>
      <c r="J61" s="40"/>
      <c r="K61" s="40"/>
      <c r="L61" s="40"/>
      <c r="M61" s="39"/>
      <c r="N61" s="39"/>
      <c r="O61" s="39"/>
      <c r="P61" s="39"/>
      <c r="Q61" s="39"/>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1:52" ht="18" customHeight="1" x14ac:dyDescent="0.2">
      <c r="A62" s="3" t="str">
        <f t="shared" si="0"/>
        <v xml:space="preserve">                                                  </v>
      </c>
      <c r="B62" s="20" t="s">
        <v>174</v>
      </c>
      <c r="C62" s="39"/>
      <c r="D62" s="39"/>
      <c r="E62" s="39"/>
      <c r="F62" s="38"/>
      <c r="G62" s="39"/>
      <c r="H62" s="40"/>
      <c r="I62" s="39"/>
      <c r="J62" s="40"/>
      <c r="K62" s="40"/>
      <c r="L62" s="40"/>
      <c r="M62" s="39"/>
      <c r="N62" s="39"/>
      <c r="O62" s="39"/>
      <c r="P62" s="39"/>
      <c r="Q62" s="39"/>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1:52" ht="18" customHeight="1" x14ac:dyDescent="0.2">
      <c r="A63" s="3" t="str">
        <f t="shared" si="0"/>
        <v xml:space="preserve">                                                  </v>
      </c>
      <c r="B63" s="20" t="s">
        <v>174</v>
      </c>
      <c r="C63" s="39"/>
      <c r="D63" s="39"/>
      <c r="E63" s="39"/>
      <c r="F63" s="38"/>
      <c r="G63" s="39"/>
      <c r="H63" s="40"/>
      <c r="I63" s="39"/>
      <c r="J63" s="40"/>
      <c r="K63" s="40"/>
      <c r="L63" s="40"/>
      <c r="M63" s="39"/>
      <c r="N63" s="39"/>
      <c r="O63" s="39"/>
      <c r="P63" s="39"/>
      <c r="Q63" s="39"/>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1:52" ht="18" customHeight="1" x14ac:dyDescent="0.2">
      <c r="A64" s="3" t="str">
        <f t="shared" si="0"/>
        <v xml:space="preserve">                                                  </v>
      </c>
      <c r="B64" s="20" t="s">
        <v>174</v>
      </c>
      <c r="C64" s="39"/>
      <c r="D64" s="39"/>
      <c r="E64" s="39"/>
      <c r="F64" s="38"/>
      <c r="G64" s="39"/>
      <c r="H64" s="40"/>
      <c r="I64" s="39"/>
      <c r="J64" s="40"/>
      <c r="K64" s="40"/>
      <c r="L64" s="40"/>
      <c r="M64" s="39"/>
      <c r="N64" s="39"/>
      <c r="O64" s="39"/>
      <c r="P64" s="39"/>
      <c r="Q64" s="39"/>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1:52" ht="18" customHeight="1" x14ac:dyDescent="0.2">
      <c r="A65" s="3" t="str">
        <f t="shared" si="0"/>
        <v xml:space="preserve">                                                  </v>
      </c>
      <c r="B65" s="20" t="s">
        <v>174</v>
      </c>
      <c r="C65" s="39"/>
      <c r="D65" s="39"/>
      <c r="E65" s="39"/>
      <c r="F65" s="38"/>
      <c r="G65" s="39"/>
      <c r="H65" s="40"/>
      <c r="I65" s="39"/>
      <c r="J65" s="40"/>
      <c r="K65" s="40"/>
      <c r="L65" s="40"/>
      <c r="M65" s="39"/>
      <c r="N65" s="39"/>
      <c r="O65" s="39"/>
      <c r="P65" s="39"/>
      <c r="Q65" s="39"/>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1:52" ht="18" customHeight="1" x14ac:dyDescent="0.2">
      <c r="A66" s="3" t="str">
        <f t="shared" si="0"/>
        <v xml:space="preserve">                                                  </v>
      </c>
      <c r="B66" s="20" t="s">
        <v>174</v>
      </c>
      <c r="C66" s="39"/>
      <c r="D66" s="39"/>
      <c r="E66" s="39"/>
      <c r="F66" s="38"/>
      <c r="G66" s="39"/>
      <c r="H66" s="40"/>
      <c r="I66" s="39"/>
      <c r="J66" s="40"/>
      <c r="K66" s="40"/>
      <c r="L66" s="40"/>
      <c r="M66" s="39"/>
      <c r="N66" s="39"/>
      <c r="O66" s="39"/>
      <c r="P66" s="39"/>
      <c r="Q66" s="39"/>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1:52" ht="18" customHeight="1" x14ac:dyDescent="0.2">
      <c r="A67" s="3" t="str">
        <f t="shared" si="0"/>
        <v xml:space="preserve">                                                  </v>
      </c>
      <c r="B67" s="20" t="s">
        <v>174</v>
      </c>
      <c r="C67" s="39"/>
      <c r="D67" s="39"/>
      <c r="E67" s="39"/>
      <c r="F67" s="38"/>
      <c r="G67" s="39"/>
      <c r="H67" s="40"/>
      <c r="I67" s="39"/>
      <c r="J67" s="40"/>
      <c r="K67" s="40"/>
      <c r="L67" s="40"/>
      <c r="M67" s="39"/>
      <c r="N67" s="39"/>
      <c r="O67" s="39"/>
      <c r="P67" s="39"/>
      <c r="Q67" s="39"/>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1:52" ht="18" customHeight="1" x14ac:dyDescent="0.2">
      <c r="A68" s="3" t="str">
        <f t="shared" ref="A68:A131" si="1">CONCATENATE(C68," ",D68," ",E68," ",F68," ",G68," ",H68," ",I68," ",J68," ",K68," ",L68," ",M68," ",N68," ",O68," ",P68," ",Q68," ",R68," ",S68," ",T68," ",U68," ",V68," ",W68," ",X68," ",Y68," ",Z68," ",AA68," ",AB68," ",AC68," ",AD68," ",AE68," ",AF68," ",AG68," ",AH68," ",AI68," ",AJ68," ",AK68," ",AL68," ",AM68," ",AN68," ",AO68," ",AP68," ",AQ68," ",AR68," ",AS68," ",AT68," ",AU68," ",AV68," ",AW68," ",AX68," ",AY68," ",AZ68," ",
)</f>
        <v xml:space="preserve">                                                  </v>
      </c>
      <c r="B68" s="20" t="s">
        <v>174</v>
      </c>
      <c r="C68" s="39"/>
      <c r="D68" s="39"/>
      <c r="E68" s="39"/>
      <c r="F68" s="38"/>
      <c r="G68" s="39"/>
      <c r="H68" s="40"/>
      <c r="I68" s="39"/>
      <c r="J68" s="40"/>
      <c r="K68" s="40"/>
      <c r="L68" s="40"/>
      <c r="M68" s="39"/>
      <c r="N68" s="39"/>
      <c r="O68" s="39"/>
      <c r="P68" s="39"/>
      <c r="Q68" s="39"/>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1:52" ht="18" customHeight="1" x14ac:dyDescent="0.2">
      <c r="A69" s="3" t="str">
        <f t="shared" si="1"/>
        <v xml:space="preserve">                                                  </v>
      </c>
      <c r="B69" s="20" t="s">
        <v>174</v>
      </c>
      <c r="C69" s="39"/>
      <c r="D69" s="39"/>
      <c r="E69" s="39"/>
      <c r="F69" s="38"/>
      <c r="G69" s="39"/>
      <c r="H69" s="40"/>
      <c r="I69" s="39"/>
      <c r="J69" s="40"/>
      <c r="K69" s="40"/>
      <c r="L69" s="40"/>
      <c r="M69" s="39"/>
      <c r="N69" s="39"/>
      <c r="O69" s="39"/>
      <c r="P69" s="39"/>
      <c r="Q69" s="39"/>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1:52" ht="18" customHeight="1" x14ac:dyDescent="0.2">
      <c r="A70" s="3" t="str">
        <f t="shared" si="1"/>
        <v xml:space="preserve">                                                  </v>
      </c>
      <c r="B70" s="20" t="s">
        <v>174</v>
      </c>
      <c r="C70" s="39"/>
      <c r="D70" s="39"/>
      <c r="E70" s="39"/>
      <c r="F70" s="38"/>
      <c r="G70" s="39"/>
      <c r="H70" s="40"/>
      <c r="I70" s="39"/>
      <c r="J70" s="40"/>
      <c r="K70" s="40"/>
      <c r="L70" s="40"/>
      <c r="M70" s="39"/>
      <c r="N70" s="39"/>
      <c r="O70" s="39"/>
      <c r="P70" s="39"/>
      <c r="Q70" s="39"/>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1:52" ht="18" customHeight="1" x14ac:dyDescent="0.2">
      <c r="A71" s="3" t="str">
        <f t="shared" si="1"/>
        <v xml:space="preserve">                                                  </v>
      </c>
      <c r="B71" s="20" t="s">
        <v>174</v>
      </c>
      <c r="C71" s="39"/>
      <c r="D71" s="39"/>
      <c r="E71" s="39"/>
      <c r="F71" s="38"/>
      <c r="G71" s="39"/>
      <c r="H71" s="40"/>
      <c r="I71" s="39"/>
      <c r="J71" s="40"/>
      <c r="K71" s="40"/>
      <c r="L71" s="40"/>
      <c r="M71" s="39"/>
      <c r="N71" s="39"/>
      <c r="O71" s="39"/>
      <c r="P71" s="39"/>
      <c r="Q71" s="39"/>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1:52" ht="18" customHeight="1" x14ac:dyDescent="0.2">
      <c r="A72" s="3" t="str">
        <f t="shared" si="1"/>
        <v xml:space="preserve">                                                  </v>
      </c>
      <c r="B72" s="20" t="s">
        <v>174</v>
      </c>
      <c r="C72" s="39"/>
      <c r="D72" s="39"/>
      <c r="E72" s="39"/>
      <c r="F72" s="38"/>
      <c r="G72" s="39"/>
      <c r="H72" s="40"/>
      <c r="I72" s="39"/>
      <c r="J72" s="40"/>
      <c r="K72" s="40"/>
      <c r="L72" s="40"/>
      <c r="M72" s="39"/>
      <c r="N72" s="39"/>
      <c r="O72" s="39"/>
      <c r="P72" s="39"/>
      <c r="Q72" s="39"/>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1:52" ht="18" customHeight="1" x14ac:dyDescent="0.2">
      <c r="A73" s="3" t="str">
        <f t="shared" si="1"/>
        <v xml:space="preserve">                                                  </v>
      </c>
      <c r="B73" s="20" t="s">
        <v>174</v>
      </c>
      <c r="C73" s="39"/>
      <c r="D73" s="39"/>
      <c r="E73" s="39"/>
      <c r="F73" s="38"/>
      <c r="G73" s="39"/>
      <c r="H73" s="40"/>
      <c r="I73" s="39"/>
      <c r="J73" s="40"/>
      <c r="K73" s="40"/>
      <c r="L73" s="40"/>
      <c r="M73" s="39"/>
      <c r="N73" s="39"/>
      <c r="O73" s="39"/>
      <c r="P73" s="39"/>
      <c r="Q73" s="39"/>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1:52" ht="18" customHeight="1" x14ac:dyDescent="0.2">
      <c r="A74" s="3" t="str">
        <f t="shared" si="1"/>
        <v xml:space="preserve">                                                  </v>
      </c>
      <c r="B74" s="20" t="s">
        <v>174</v>
      </c>
      <c r="C74" s="39"/>
      <c r="D74" s="39"/>
      <c r="E74" s="39"/>
      <c r="F74" s="38"/>
      <c r="G74" s="39"/>
      <c r="H74" s="40"/>
      <c r="I74" s="39"/>
      <c r="J74" s="40"/>
      <c r="K74" s="40"/>
      <c r="L74" s="40"/>
      <c r="M74" s="39"/>
      <c r="N74" s="39"/>
      <c r="O74" s="39"/>
      <c r="P74" s="39"/>
      <c r="Q74" s="39"/>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1:52" ht="18" customHeight="1" x14ac:dyDescent="0.2">
      <c r="A75" s="3" t="str">
        <f t="shared" si="1"/>
        <v xml:space="preserve">                                                  </v>
      </c>
      <c r="B75" s="20" t="s">
        <v>174</v>
      </c>
      <c r="C75" s="39"/>
      <c r="D75" s="39"/>
      <c r="E75" s="39"/>
      <c r="F75" s="38"/>
      <c r="G75" s="39"/>
      <c r="H75" s="40"/>
      <c r="I75" s="39"/>
      <c r="J75" s="40"/>
      <c r="K75" s="40"/>
      <c r="L75" s="40"/>
      <c r="M75" s="39"/>
      <c r="N75" s="39"/>
      <c r="O75" s="39"/>
      <c r="P75" s="39"/>
      <c r="Q75" s="39"/>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1:52" ht="18" customHeight="1" x14ac:dyDescent="0.2">
      <c r="A76" s="3" t="str">
        <f t="shared" si="1"/>
        <v xml:space="preserve">                                                  </v>
      </c>
      <c r="B76" s="20" t="s">
        <v>174</v>
      </c>
      <c r="C76" s="39"/>
      <c r="D76" s="39"/>
      <c r="E76" s="39"/>
      <c r="F76" s="38"/>
      <c r="G76" s="39"/>
      <c r="H76" s="40"/>
      <c r="I76" s="39"/>
      <c r="J76" s="40"/>
      <c r="K76" s="40"/>
      <c r="L76" s="40"/>
      <c r="M76" s="39"/>
      <c r="N76" s="39"/>
      <c r="O76" s="39"/>
      <c r="P76" s="39"/>
      <c r="Q76" s="39"/>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1:52" ht="18" customHeight="1" x14ac:dyDescent="0.2">
      <c r="A77" s="3" t="str">
        <f t="shared" si="1"/>
        <v xml:space="preserve">                                                  </v>
      </c>
      <c r="B77" s="20" t="s">
        <v>174</v>
      </c>
      <c r="C77" s="39"/>
      <c r="D77" s="39"/>
      <c r="E77" s="39"/>
      <c r="F77" s="38"/>
      <c r="G77" s="39"/>
      <c r="H77" s="40"/>
      <c r="I77" s="39"/>
      <c r="J77" s="40"/>
      <c r="K77" s="40"/>
      <c r="L77" s="40"/>
      <c r="M77" s="39"/>
      <c r="N77" s="39"/>
      <c r="O77" s="39"/>
      <c r="P77" s="39"/>
      <c r="Q77" s="39"/>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1:52" ht="18" customHeight="1" x14ac:dyDescent="0.2">
      <c r="A78" s="3" t="str">
        <f t="shared" si="1"/>
        <v xml:space="preserve">                                                  </v>
      </c>
      <c r="B78" s="20" t="s">
        <v>174</v>
      </c>
      <c r="C78" s="39"/>
      <c r="D78" s="39"/>
      <c r="E78" s="39"/>
      <c r="F78" s="38"/>
      <c r="G78" s="39"/>
      <c r="H78" s="40"/>
      <c r="I78" s="39"/>
      <c r="J78" s="40"/>
      <c r="K78" s="40"/>
      <c r="L78" s="40"/>
      <c r="M78" s="39"/>
      <c r="N78" s="39"/>
      <c r="O78" s="39"/>
      <c r="P78" s="39"/>
      <c r="Q78" s="39"/>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1:52" ht="18" customHeight="1" x14ac:dyDescent="0.2">
      <c r="A79" s="3" t="str">
        <f t="shared" si="1"/>
        <v xml:space="preserve">                                                  </v>
      </c>
      <c r="B79" s="20" t="s">
        <v>174</v>
      </c>
      <c r="C79" s="39"/>
      <c r="D79" s="39"/>
      <c r="E79" s="39"/>
      <c r="F79" s="39"/>
      <c r="G79" s="39"/>
      <c r="H79" s="39"/>
      <c r="I79" s="39"/>
      <c r="J79" s="39"/>
      <c r="K79" s="39"/>
      <c r="L79" s="39"/>
      <c r="M79" s="39"/>
      <c r="N79" s="39"/>
      <c r="O79" s="39"/>
      <c r="P79" s="39"/>
      <c r="Q79" s="39"/>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1:52" ht="18" customHeight="1" x14ac:dyDescent="0.2">
      <c r="A80" s="3" t="str">
        <f t="shared" si="1"/>
        <v xml:space="preserve">                                                  </v>
      </c>
      <c r="B80" s="20" t="s">
        <v>174</v>
      </c>
      <c r="C80" s="39"/>
      <c r="D80" s="39"/>
      <c r="E80" s="39"/>
      <c r="F80" s="39"/>
      <c r="G80" s="39"/>
      <c r="H80" s="39"/>
      <c r="I80" s="39"/>
      <c r="J80" s="39"/>
      <c r="K80" s="39"/>
      <c r="L80" s="39"/>
      <c r="M80" s="39"/>
      <c r="N80" s="39"/>
      <c r="O80" s="39"/>
      <c r="P80" s="39"/>
      <c r="Q80" s="39"/>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1:52" ht="18" customHeight="1" x14ac:dyDescent="0.2">
      <c r="A81" s="3" t="str">
        <f t="shared" si="1"/>
        <v xml:space="preserve">                                                  </v>
      </c>
      <c r="B81" s="20" t="s">
        <v>174</v>
      </c>
      <c r="C81" s="39"/>
      <c r="D81" s="39"/>
      <c r="E81" s="39"/>
      <c r="F81" s="39"/>
      <c r="G81" s="39"/>
      <c r="H81" s="39"/>
      <c r="I81" s="39"/>
      <c r="J81" s="39"/>
      <c r="K81" s="39"/>
      <c r="L81" s="39"/>
      <c r="M81" s="39"/>
      <c r="N81" s="39"/>
      <c r="O81" s="39"/>
      <c r="P81" s="39"/>
      <c r="Q81" s="39"/>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1:52" ht="18" customHeight="1" x14ac:dyDescent="0.2">
      <c r="A82" s="3" t="str">
        <f t="shared" si="1"/>
        <v xml:space="preserve">                                                  </v>
      </c>
      <c r="B82" s="20" t="s">
        <v>174</v>
      </c>
      <c r="C82" s="39"/>
      <c r="D82" s="39"/>
      <c r="E82" s="39"/>
      <c r="F82" s="41"/>
      <c r="G82" s="41"/>
      <c r="H82" s="41"/>
      <c r="I82" s="41"/>
      <c r="J82" s="41"/>
      <c r="K82" s="41"/>
      <c r="L82" s="41"/>
      <c r="M82" s="41"/>
      <c r="N82" s="41"/>
      <c r="O82" s="41"/>
      <c r="P82" s="41"/>
      <c r="Q82" s="41"/>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1:52" ht="18" customHeight="1" x14ac:dyDescent="0.2">
      <c r="A83" s="3" t="str">
        <f t="shared" si="1"/>
        <v xml:space="preserve">                                                  </v>
      </c>
      <c r="B83" s="20" t="s">
        <v>174</v>
      </c>
      <c r="C83" s="39"/>
      <c r="D83" s="39"/>
      <c r="E83" s="39"/>
      <c r="F83" s="39"/>
      <c r="G83" s="39"/>
      <c r="H83" s="39"/>
      <c r="I83" s="39"/>
      <c r="J83" s="39"/>
      <c r="K83" s="39"/>
      <c r="L83" s="39"/>
      <c r="M83" s="39"/>
      <c r="N83" s="39"/>
      <c r="O83" s="39"/>
      <c r="P83" s="39"/>
      <c r="Q83" s="39"/>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1:52" ht="18" customHeight="1" x14ac:dyDescent="0.2">
      <c r="A84" s="3" t="str">
        <f t="shared" si="1"/>
        <v xml:space="preserve">                                                  </v>
      </c>
      <c r="B84" s="20" t="s">
        <v>174</v>
      </c>
      <c r="C84" s="39"/>
      <c r="D84" s="39"/>
      <c r="E84" s="39"/>
      <c r="F84" s="37"/>
      <c r="G84" s="37"/>
      <c r="H84" s="37"/>
      <c r="I84" s="37"/>
      <c r="J84" s="37"/>
      <c r="K84" s="37"/>
      <c r="L84" s="37"/>
      <c r="M84" s="37"/>
      <c r="N84" s="37"/>
      <c r="O84" s="37"/>
      <c r="P84" s="37"/>
      <c r="Q84" s="37"/>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1:52" ht="18" customHeight="1" x14ac:dyDescent="0.2">
      <c r="A85" s="3" t="str">
        <f t="shared" si="1"/>
        <v xml:space="preserve">                                                  </v>
      </c>
      <c r="B85" s="20" t="s">
        <v>174</v>
      </c>
      <c r="C85" s="39"/>
      <c r="D85" s="39"/>
      <c r="E85" s="39"/>
      <c r="F85" s="38"/>
      <c r="G85" s="39"/>
      <c r="H85" s="40"/>
      <c r="I85" s="39"/>
      <c r="J85" s="40"/>
      <c r="K85" s="40"/>
      <c r="L85" s="40"/>
      <c r="M85" s="39"/>
      <c r="N85" s="39"/>
      <c r="O85" s="39"/>
      <c r="P85" s="39"/>
      <c r="Q85" s="39"/>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1:52" ht="18" customHeight="1" x14ac:dyDescent="0.2">
      <c r="A86" s="3" t="str">
        <f t="shared" si="1"/>
        <v xml:space="preserve">                                                  </v>
      </c>
      <c r="B86" s="20" t="s">
        <v>174</v>
      </c>
      <c r="C86" s="39"/>
      <c r="D86" s="39"/>
      <c r="E86" s="39"/>
      <c r="F86" s="38"/>
      <c r="G86" s="39"/>
      <c r="H86" s="40"/>
      <c r="I86" s="39"/>
      <c r="J86" s="40"/>
      <c r="K86" s="40"/>
      <c r="L86" s="40"/>
      <c r="M86" s="39"/>
      <c r="N86" s="39"/>
      <c r="O86" s="39"/>
      <c r="P86" s="39"/>
      <c r="Q86" s="39"/>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1:52" ht="18" customHeight="1" x14ac:dyDescent="0.2">
      <c r="A87" s="3" t="str">
        <f t="shared" si="1"/>
        <v xml:space="preserve">                                                  </v>
      </c>
      <c r="B87" s="20" t="s">
        <v>174</v>
      </c>
      <c r="C87" s="39"/>
      <c r="D87" s="39"/>
      <c r="E87" s="39"/>
      <c r="F87" s="38"/>
      <c r="G87" s="39"/>
      <c r="H87" s="40"/>
      <c r="I87" s="39"/>
      <c r="J87" s="40"/>
      <c r="K87" s="40"/>
      <c r="L87" s="40"/>
      <c r="M87" s="39"/>
      <c r="N87" s="39"/>
      <c r="O87" s="39"/>
      <c r="P87" s="39"/>
      <c r="Q87" s="39"/>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1:52" ht="18" customHeight="1" x14ac:dyDescent="0.2">
      <c r="A88" s="3" t="str">
        <f t="shared" si="1"/>
        <v xml:space="preserve">                                                  </v>
      </c>
      <c r="B88" s="20" t="s">
        <v>174</v>
      </c>
      <c r="C88" s="39"/>
      <c r="D88" s="39"/>
      <c r="E88" s="39"/>
      <c r="F88" s="38"/>
      <c r="G88" s="39"/>
      <c r="H88" s="40"/>
      <c r="I88" s="39"/>
      <c r="J88" s="40"/>
      <c r="K88" s="40"/>
      <c r="L88" s="40"/>
      <c r="M88" s="39"/>
      <c r="N88" s="39"/>
      <c r="O88" s="39"/>
      <c r="P88" s="39"/>
      <c r="Q88" s="39"/>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1:52" ht="18" customHeight="1" x14ac:dyDescent="0.2">
      <c r="A89" s="3" t="str">
        <f t="shared" si="1"/>
        <v xml:space="preserve">                                                  </v>
      </c>
      <c r="B89" s="20" t="s">
        <v>174</v>
      </c>
      <c r="C89" s="39"/>
      <c r="D89" s="39"/>
      <c r="E89" s="39"/>
      <c r="F89" s="38"/>
      <c r="G89" s="39"/>
      <c r="H89" s="40"/>
      <c r="I89" s="39"/>
      <c r="J89" s="40"/>
      <c r="K89" s="40"/>
      <c r="L89" s="40"/>
      <c r="M89" s="39"/>
      <c r="N89" s="39"/>
      <c r="O89" s="39"/>
      <c r="P89" s="39"/>
      <c r="Q89" s="39"/>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1:52" ht="18" customHeight="1" x14ac:dyDescent="0.2">
      <c r="A90" s="3" t="str">
        <f t="shared" si="1"/>
        <v xml:space="preserve">                                                  </v>
      </c>
      <c r="B90" s="20" t="s">
        <v>174</v>
      </c>
      <c r="C90" s="39"/>
      <c r="D90" s="39"/>
      <c r="E90" s="39"/>
      <c r="F90" s="38"/>
      <c r="G90" s="39"/>
      <c r="H90" s="40"/>
      <c r="I90" s="39"/>
      <c r="J90" s="40"/>
      <c r="K90" s="40"/>
      <c r="L90" s="40"/>
      <c r="M90" s="39"/>
      <c r="N90" s="39"/>
      <c r="O90" s="39"/>
      <c r="P90" s="39"/>
      <c r="Q90" s="39"/>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1:52" ht="18" customHeight="1" x14ac:dyDescent="0.2">
      <c r="A91" s="3" t="str">
        <f t="shared" si="1"/>
        <v xml:space="preserve">                                                  </v>
      </c>
      <c r="B91" s="20" t="s">
        <v>174</v>
      </c>
      <c r="C91" s="39"/>
      <c r="D91" s="39"/>
      <c r="E91" s="39"/>
      <c r="F91" s="38"/>
      <c r="G91" s="39"/>
      <c r="H91" s="40"/>
      <c r="I91" s="39"/>
      <c r="J91" s="40"/>
      <c r="K91" s="40"/>
      <c r="L91" s="40"/>
      <c r="M91" s="39"/>
      <c r="N91" s="39"/>
      <c r="O91" s="39"/>
      <c r="P91" s="39"/>
      <c r="Q91" s="39"/>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1:52" ht="18" customHeight="1" x14ac:dyDescent="0.2">
      <c r="A92" s="3" t="str">
        <f t="shared" si="1"/>
        <v xml:space="preserve">                                                  </v>
      </c>
      <c r="B92" s="20" t="s">
        <v>174</v>
      </c>
      <c r="C92" s="39"/>
      <c r="D92" s="39"/>
      <c r="E92" s="39"/>
      <c r="F92" s="38"/>
      <c r="G92" s="39"/>
      <c r="H92" s="40"/>
      <c r="I92" s="39"/>
      <c r="J92" s="40"/>
      <c r="K92" s="40"/>
      <c r="L92" s="40"/>
      <c r="M92" s="39"/>
      <c r="N92" s="39"/>
      <c r="O92" s="39"/>
      <c r="P92" s="39"/>
      <c r="Q92" s="39"/>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1:52" ht="18" customHeight="1" x14ac:dyDescent="0.2">
      <c r="A93" s="3" t="str">
        <f t="shared" si="1"/>
        <v xml:space="preserve">                                                  </v>
      </c>
      <c r="B93" s="20" t="s">
        <v>174</v>
      </c>
      <c r="C93" s="39"/>
      <c r="D93" s="39"/>
      <c r="E93" s="39"/>
      <c r="F93" s="38"/>
      <c r="G93" s="39"/>
      <c r="H93" s="40"/>
      <c r="I93" s="39"/>
      <c r="J93" s="40"/>
      <c r="K93" s="40"/>
      <c r="L93" s="40"/>
      <c r="M93" s="39"/>
      <c r="N93" s="39"/>
      <c r="O93" s="39"/>
      <c r="P93" s="39"/>
      <c r="Q93" s="39"/>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row>
    <row r="94" spans="1:52" ht="18" customHeight="1" x14ac:dyDescent="0.2">
      <c r="A94" s="3" t="str">
        <f t="shared" si="1"/>
        <v xml:space="preserve">                                                  </v>
      </c>
      <c r="B94" s="20" t="s">
        <v>174</v>
      </c>
      <c r="C94" s="39"/>
      <c r="D94" s="39"/>
      <c r="E94" s="39"/>
      <c r="F94" s="38"/>
      <c r="G94" s="39"/>
      <c r="H94" s="40"/>
      <c r="I94" s="39"/>
      <c r="J94" s="40"/>
      <c r="K94" s="40"/>
      <c r="L94" s="40"/>
      <c r="M94" s="39"/>
      <c r="N94" s="39"/>
      <c r="O94" s="39"/>
      <c r="P94" s="39"/>
      <c r="Q94" s="39"/>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row>
    <row r="95" spans="1:52" ht="18" customHeight="1" x14ac:dyDescent="0.2">
      <c r="A95" s="3" t="str">
        <f t="shared" si="1"/>
        <v xml:space="preserve">                                                  </v>
      </c>
      <c r="B95" s="20" t="s">
        <v>174</v>
      </c>
      <c r="C95" s="39"/>
      <c r="D95" s="39"/>
      <c r="E95" s="39"/>
      <c r="F95" s="38"/>
      <c r="G95" s="39"/>
      <c r="H95" s="40"/>
      <c r="I95" s="39"/>
      <c r="J95" s="40"/>
      <c r="K95" s="40"/>
      <c r="L95" s="40"/>
      <c r="M95" s="39"/>
      <c r="N95" s="39"/>
      <c r="O95" s="39"/>
      <c r="P95" s="39"/>
      <c r="Q95" s="39"/>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row>
    <row r="96" spans="1:52" ht="18" customHeight="1" x14ac:dyDescent="0.2">
      <c r="A96" s="3" t="str">
        <f t="shared" si="1"/>
        <v xml:space="preserve">                                                  </v>
      </c>
      <c r="B96" s="20" t="s">
        <v>174</v>
      </c>
      <c r="C96" s="39"/>
      <c r="D96" s="39"/>
      <c r="E96" s="39"/>
      <c r="F96" s="38"/>
      <c r="G96" s="39"/>
      <c r="H96" s="40"/>
      <c r="I96" s="39"/>
      <c r="J96" s="40"/>
      <c r="K96" s="40"/>
      <c r="L96" s="40"/>
      <c r="M96" s="39"/>
      <c r="N96" s="39"/>
      <c r="O96" s="39"/>
      <c r="P96" s="39"/>
      <c r="Q96" s="39"/>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row>
    <row r="97" spans="1:52" ht="18" customHeight="1" x14ac:dyDescent="0.2">
      <c r="A97" s="3" t="str">
        <f t="shared" si="1"/>
        <v xml:space="preserve">                                                  </v>
      </c>
      <c r="B97" s="20" t="s">
        <v>174</v>
      </c>
      <c r="C97" s="39"/>
      <c r="D97" s="39"/>
      <c r="E97" s="39"/>
      <c r="F97" s="38"/>
      <c r="G97" s="39"/>
      <c r="H97" s="40"/>
      <c r="I97" s="39"/>
      <c r="J97" s="40"/>
      <c r="K97" s="40"/>
      <c r="L97" s="40"/>
      <c r="M97" s="39"/>
      <c r="N97" s="39"/>
      <c r="O97" s="39"/>
      <c r="P97" s="39"/>
      <c r="Q97" s="39"/>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row>
    <row r="98" spans="1:52" ht="18" customHeight="1" x14ac:dyDescent="0.2">
      <c r="A98" s="3" t="str">
        <f t="shared" si="1"/>
        <v xml:space="preserve">                                                  </v>
      </c>
      <c r="B98" s="20" t="s">
        <v>174</v>
      </c>
      <c r="C98" s="39"/>
      <c r="D98" s="39"/>
      <c r="E98" s="39"/>
      <c r="F98" s="38"/>
      <c r="G98" s="39"/>
      <c r="H98" s="40"/>
      <c r="I98" s="39"/>
      <c r="J98" s="40"/>
      <c r="K98" s="40"/>
      <c r="L98" s="40"/>
      <c r="M98" s="39"/>
      <c r="N98" s="39"/>
      <c r="O98" s="39"/>
      <c r="P98" s="39"/>
      <c r="Q98" s="39"/>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row>
    <row r="99" spans="1:52" ht="18" customHeight="1" x14ac:dyDescent="0.2">
      <c r="A99" s="3" t="str">
        <f t="shared" si="1"/>
        <v xml:space="preserve">                                                  </v>
      </c>
      <c r="B99" s="20" t="s">
        <v>174</v>
      </c>
      <c r="C99" s="39"/>
      <c r="D99" s="39"/>
      <c r="E99" s="39"/>
      <c r="F99" s="38"/>
      <c r="G99" s="39"/>
      <c r="H99" s="40"/>
      <c r="I99" s="39"/>
      <c r="J99" s="40"/>
      <c r="K99" s="40"/>
      <c r="L99" s="40"/>
      <c r="M99" s="39"/>
      <c r="N99" s="39"/>
      <c r="O99" s="39"/>
      <c r="P99" s="39"/>
      <c r="Q99" s="39"/>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row>
    <row r="100" spans="1:52" ht="18" customHeight="1" x14ac:dyDescent="0.2">
      <c r="A100" s="3" t="str">
        <f t="shared" si="1"/>
        <v xml:space="preserve">                                                  </v>
      </c>
      <c r="B100" s="20" t="s">
        <v>174</v>
      </c>
      <c r="C100" s="39"/>
      <c r="D100" s="39"/>
      <c r="E100" s="39"/>
      <c r="F100" s="38"/>
      <c r="G100" s="39"/>
      <c r="H100" s="40"/>
      <c r="I100" s="39"/>
      <c r="J100" s="40"/>
      <c r="K100" s="40"/>
      <c r="L100" s="40"/>
      <c r="M100" s="39"/>
      <c r="N100" s="39"/>
      <c r="O100" s="39"/>
      <c r="P100" s="39"/>
      <c r="Q100" s="39"/>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row>
    <row r="101" spans="1:52" ht="18" customHeight="1" x14ac:dyDescent="0.2">
      <c r="A101" s="3" t="str">
        <f t="shared" si="1"/>
        <v xml:space="preserve">                                                  </v>
      </c>
      <c r="B101" s="20" t="s">
        <v>174</v>
      </c>
      <c r="C101" s="39"/>
      <c r="D101" s="39"/>
      <c r="E101" s="39"/>
      <c r="F101" s="38"/>
      <c r="G101" s="39"/>
      <c r="H101" s="40"/>
      <c r="I101" s="39"/>
      <c r="J101" s="40"/>
      <c r="K101" s="40"/>
      <c r="L101" s="40"/>
      <c r="M101" s="39"/>
      <c r="N101" s="39"/>
      <c r="O101" s="39"/>
      <c r="P101" s="39"/>
      <c r="Q101" s="39"/>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row>
    <row r="102" spans="1:52" ht="18" customHeight="1" x14ac:dyDescent="0.2">
      <c r="A102" s="3" t="str">
        <f t="shared" si="1"/>
        <v xml:space="preserve">                                                  </v>
      </c>
      <c r="B102" s="20" t="s">
        <v>174</v>
      </c>
      <c r="C102" s="39"/>
      <c r="D102" s="39"/>
      <c r="E102" s="39"/>
      <c r="F102" s="38"/>
      <c r="G102" s="39"/>
      <c r="H102" s="40"/>
      <c r="I102" s="39"/>
      <c r="J102" s="40"/>
      <c r="K102" s="40"/>
      <c r="L102" s="40"/>
      <c r="M102" s="39"/>
      <c r="N102" s="39"/>
      <c r="O102" s="39"/>
      <c r="P102" s="39"/>
      <c r="Q102" s="39"/>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row>
    <row r="103" spans="1:52" ht="18" customHeight="1" x14ac:dyDescent="0.2">
      <c r="A103" s="3" t="str">
        <f t="shared" si="1"/>
        <v xml:space="preserve">                                                  </v>
      </c>
      <c r="B103" s="20" t="s">
        <v>174</v>
      </c>
      <c r="C103" s="39"/>
      <c r="D103" s="39"/>
      <c r="E103" s="39"/>
      <c r="F103" s="38"/>
      <c r="G103" s="39"/>
      <c r="H103" s="40"/>
      <c r="I103" s="39"/>
      <c r="J103" s="40"/>
      <c r="K103" s="40"/>
      <c r="L103" s="40"/>
      <c r="M103" s="39"/>
      <c r="N103" s="39"/>
      <c r="O103" s="39"/>
      <c r="P103" s="39"/>
      <c r="Q103" s="39"/>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row>
    <row r="104" spans="1:52" ht="18" customHeight="1" x14ac:dyDescent="0.2">
      <c r="A104" s="3" t="str">
        <f t="shared" si="1"/>
        <v xml:space="preserve">                                                  </v>
      </c>
      <c r="B104" s="20" t="s">
        <v>174</v>
      </c>
      <c r="C104" s="39"/>
      <c r="D104" s="39"/>
      <c r="E104" s="39"/>
      <c r="F104" s="38"/>
      <c r="G104" s="39"/>
      <c r="H104" s="40"/>
      <c r="I104" s="39"/>
      <c r="J104" s="40"/>
      <c r="K104" s="40"/>
      <c r="L104" s="40"/>
      <c r="M104" s="39"/>
      <c r="N104" s="39"/>
      <c r="O104" s="39"/>
      <c r="P104" s="39"/>
      <c r="Q104" s="39"/>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row>
    <row r="105" spans="1:52" ht="18" customHeight="1" x14ac:dyDescent="0.2">
      <c r="A105" s="3" t="str">
        <f t="shared" si="1"/>
        <v xml:space="preserve">                                                  </v>
      </c>
      <c r="B105" s="20" t="s">
        <v>174</v>
      </c>
      <c r="C105" s="39"/>
      <c r="D105" s="39"/>
      <c r="E105" s="39"/>
      <c r="F105" s="38"/>
      <c r="G105" s="39"/>
      <c r="H105" s="40"/>
      <c r="I105" s="39"/>
      <c r="J105" s="40"/>
      <c r="K105" s="40"/>
      <c r="L105" s="40"/>
      <c r="M105" s="39"/>
      <c r="N105" s="39"/>
      <c r="O105" s="39"/>
      <c r="P105" s="39"/>
      <c r="Q105" s="39"/>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row>
    <row r="106" spans="1:52" ht="18" customHeight="1" x14ac:dyDescent="0.2">
      <c r="A106" s="3" t="str">
        <f t="shared" si="1"/>
        <v xml:space="preserve">                                                  </v>
      </c>
      <c r="B106" s="20" t="s">
        <v>174</v>
      </c>
      <c r="C106" s="39"/>
      <c r="D106" s="39"/>
      <c r="E106" s="39"/>
      <c r="F106" s="38"/>
      <c r="G106" s="39"/>
      <c r="H106" s="40"/>
      <c r="I106" s="39"/>
      <c r="J106" s="40"/>
      <c r="K106" s="40"/>
      <c r="L106" s="40"/>
      <c r="M106" s="39"/>
      <c r="N106" s="39"/>
      <c r="O106" s="39"/>
      <c r="P106" s="39"/>
      <c r="Q106" s="39"/>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row>
    <row r="107" spans="1:52" ht="18" customHeight="1" x14ac:dyDescent="0.2">
      <c r="A107" s="3" t="str">
        <f t="shared" si="1"/>
        <v xml:space="preserve">                                                  </v>
      </c>
      <c r="B107" s="20" t="s">
        <v>174</v>
      </c>
      <c r="C107" s="39"/>
      <c r="D107" s="39"/>
      <c r="E107" s="39"/>
      <c r="F107" s="38"/>
      <c r="G107" s="39"/>
      <c r="H107" s="40"/>
      <c r="I107" s="39"/>
      <c r="J107" s="40"/>
      <c r="K107" s="40"/>
      <c r="L107" s="40"/>
      <c r="M107" s="39"/>
      <c r="N107" s="39"/>
      <c r="O107" s="39"/>
      <c r="P107" s="39"/>
      <c r="Q107" s="39"/>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row>
    <row r="108" spans="1:52" ht="18" customHeight="1" x14ac:dyDescent="0.2">
      <c r="A108" s="3" t="str">
        <f t="shared" si="1"/>
        <v xml:space="preserve">                                                  </v>
      </c>
      <c r="B108" s="20" t="s">
        <v>174</v>
      </c>
      <c r="C108" s="39"/>
      <c r="D108" s="39"/>
      <c r="E108" s="39"/>
      <c r="F108" s="38"/>
      <c r="G108" s="39"/>
      <c r="H108" s="40"/>
      <c r="I108" s="39"/>
      <c r="J108" s="40"/>
      <c r="K108" s="40"/>
      <c r="L108" s="40"/>
      <c r="M108" s="39"/>
      <c r="N108" s="39"/>
      <c r="O108" s="39"/>
      <c r="P108" s="39"/>
      <c r="Q108" s="39"/>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row>
    <row r="109" spans="1:52" ht="18" customHeight="1" x14ac:dyDescent="0.2">
      <c r="A109" s="3" t="str">
        <f t="shared" si="1"/>
        <v xml:space="preserve">                                                  </v>
      </c>
      <c r="B109" s="20" t="s">
        <v>174</v>
      </c>
      <c r="C109" s="39"/>
      <c r="D109" s="39"/>
      <c r="E109" s="39"/>
      <c r="F109" s="38"/>
      <c r="G109" s="39"/>
      <c r="H109" s="40"/>
      <c r="I109" s="39"/>
      <c r="J109" s="40"/>
      <c r="K109" s="40"/>
      <c r="L109" s="40"/>
      <c r="M109" s="39"/>
      <c r="N109" s="39"/>
      <c r="O109" s="39"/>
      <c r="P109" s="39"/>
      <c r="Q109" s="39"/>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row>
    <row r="110" spans="1:52" ht="18" customHeight="1" x14ac:dyDescent="0.2">
      <c r="A110" s="3" t="str">
        <f t="shared" si="1"/>
        <v xml:space="preserve">                                                  </v>
      </c>
      <c r="B110" s="20" t="s">
        <v>174</v>
      </c>
      <c r="C110" s="39"/>
      <c r="D110" s="39"/>
      <c r="E110" s="39"/>
      <c r="F110" s="38"/>
      <c r="G110" s="39"/>
      <c r="H110" s="40"/>
      <c r="I110" s="39"/>
      <c r="J110" s="40"/>
      <c r="K110" s="40"/>
      <c r="L110" s="40"/>
      <c r="M110" s="39"/>
      <c r="N110" s="39"/>
      <c r="O110" s="39"/>
      <c r="P110" s="39"/>
      <c r="Q110" s="39"/>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row>
    <row r="111" spans="1:52" ht="18" customHeight="1" x14ac:dyDescent="0.2">
      <c r="A111" s="3" t="str">
        <f t="shared" si="1"/>
        <v xml:space="preserve">                                                  </v>
      </c>
      <c r="B111" s="20" t="s">
        <v>174</v>
      </c>
      <c r="C111" s="39"/>
      <c r="D111" s="39"/>
      <c r="E111" s="39"/>
      <c r="F111" s="38"/>
      <c r="G111" s="39"/>
      <c r="H111" s="40"/>
      <c r="I111" s="39"/>
      <c r="J111" s="40"/>
      <c r="K111" s="40"/>
      <c r="L111" s="40"/>
      <c r="M111" s="39"/>
      <c r="N111" s="39"/>
      <c r="O111" s="39"/>
      <c r="P111" s="39"/>
      <c r="Q111" s="39"/>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row>
    <row r="112" spans="1:52" ht="18" customHeight="1" x14ac:dyDescent="0.2">
      <c r="A112" s="3" t="str">
        <f t="shared" si="1"/>
        <v xml:space="preserve">                                                  </v>
      </c>
      <c r="B112" s="20" t="s">
        <v>174</v>
      </c>
      <c r="C112" s="39"/>
      <c r="D112" s="39"/>
      <c r="E112" s="39"/>
      <c r="F112" s="38"/>
      <c r="G112" s="39"/>
      <c r="H112" s="40"/>
      <c r="I112" s="39"/>
      <c r="J112" s="40"/>
      <c r="K112" s="40"/>
      <c r="L112" s="40"/>
      <c r="M112" s="39"/>
      <c r="N112" s="39"/>
      <c r="O112" s="39"/>
      <c r="P112" s="39"/>
      <c r="Q112" s="39"/>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row>
    <row r="113" spans="1:52" ht="18" customHeight="1" x14ac:dyDescent="0.2">
      <c r="A113" s="3" t="str">
        <f t="shared" si="1"/>
        <v xml:space="preserve">                                                  </v>
      </c>
      <c r="B113" s="20" t="s">
        <v>174</v>
      </c>
      <c r="C113" s="39"/>
      <c r="D113" s="39"/>
      <c r="E113" s="39"/>
      <c r="F113" s="38"/>
      <c r="G113" s="39"/>
      <c r="H113" s="40"/>
      <c r="I113" s="39"/>
      <c r="J113" s="40"/>
      <c r="K113" s="40"/>
      <c r="L113" s="40"/>
      <c r="M113" s="39"/>
      <c r="N113" s="39"/>
      <c r="O113" s="39"/>
      <c r="P113" s="39"/>
      <c r="Q113" s="39"/>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row>
    <row r="114" spans="1:52" ht="18" customHeight="1" x14ac:dyDescent="0.2">
      <c r="A114" s="3" t="str">
        <f t="shared" si="1"/>
        <v xml:space="preserve">                                                  </v>
      </c>
      <c r="B114" s="20" t="s">
        <v>174</v>
      </c>
      <c r="C114" s="39"/>
      <c r="D114" s="39"/>
      <c r="E114" s="39"/>
      <c r="F114" s="38"/>
      <c r="G114" s="39"/>
      <c r="H114" s="40"/>
      <c r="I114" s="39"/>
      <c r="J114" s="40"/>
      <c r="K114" s="40"/>
      <c r="L114" s="40"/>
      <c r="M114" s="39"/>
      <c r="N114" s="39"/>
      <c r="O114" s="39"/>
      <c r="P114" s="39"/>
      <c r="Q114" s="39"/>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row>
    <row r="115" spans="1:52" ht="18" customHeight="1" x14ac:dyDescent="0.2">
      <c r="A115" s="3" t="str">
        <f t="shared" si="1"/>
        <v xml:space="preserve">                                                  </v>
      </c>
      <c r="B115" s="20" t="s">
        <v>174</v>
      </c>
      <c r="C115" s="39"/>
      <c r="D115" s="39"/>
      <c r="E115" s="39"/>
      <c r="F115" s="38"/>
      <c r="G115" s="39"/>
      <c r="H115" s="40"/>
      <c r="I115" s="39"/>
      <c r="J115" s="40"/>
      <c r="K115" s="40"/>
      <c r="L115" s="40"/>
      <c r="M115" s="39"/>
      <c r="N115" s="39"/>
      <c r="O115" s="39"/>
      <c r="P115" s="39"/>
      <c r="Q115" s="39"/>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row>
    <row r="116" spans="1:52" ht="18" customHeight="1" x14ac:dyDescent="0.2">
      <c r="A116" s="3" t="str">
        <f t="shared" si="1"/>
        <v xml:space="preserve">                                                  </v>
      </c>
      <c r="B116" s="20" t="s">
        <v>174</v>
      </c>
      <c r="C116" s="39"/>
      <c r="D116" s="39"/>
      <c r="E116" s="39"/>
      <c r="F116" s="38"/>
      <c r="G116" s="39"/>
      <c r="H116" s="40"/>
      <c r="I116" s="39"/>
      <c r="J116" s="40"/>
      <c r="K116" s="40"/>
      <c r="L116" s="40"/>
      <c r="M116" s="39"/>
      <c r="N116" s="39"/>
      <c r="O116" s="39"/>
      <c r="P116" s="39"/>
      <c r="Q116" s="39"/>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row>
    <row r="117" spans="1:52" ht="18" customHeight="1" x14ac:dyDescent="0.2">
      <c r="A117" s="3" t="str">
        <f t="shared" si="1"/>
        <v xml:space="preserve">                                                  </v>
      </c>
      <c r="B117" s="20" t="s">
        <v>174</v>
      </c>
      <c r="C117" s="39"/>
      <c r="D117" s="39"/>
      <c r="E117" s="39"/>
      <c r="F117" s="38"/>
      <c r="G117" s="39"/>
      <c r="H117" s="40"/>
      <c r="I117" s="39"/>
      <c r="J117" s="40"/>
      <c r="K117" s="40"/>
      <c r="L117" s="40"/>
      <c r="M117" s="39"/>
      <c r="N117" s="39"/>
      <c r="O117" s="39"/>
      <c r="P117" s="39"/>
      <c r="Q117" s="39"/>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row>
    <row r="118" spans="1:52" ht="18" customHeight="1" x14ac:dyDescent="0.2">
      <c r="A118" s="3" t="str">
        <f t="shared" si="1"/>
        <v xml:space="preserve">                                                  </v>
      </c>
      <c r="B118" s="20" t="s">
        <v>174</v>
      </c>
      <c r="C118" s="39"/>
      <c r="D118" s="39"/>
      <c r="E118" s="39"/>
      <c r="F118" s="38"/>
      <c r="G118" s="39"/>
      <c r="H118" s="40"/>
      <c r="I118" s="39"/>
      <c r="J118" s="40"/>
      <c r="K118" s="40"/>
      <c r="L118" s="40"/>
      <c r="M118" s="39"/>
      <c r="N118" s="39"/>
      <c r="O118" s="39"/>
      <c r="P118" s="39"/>
      <c r="Q118" s="39"/>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row>
    <row r="119" spans="1:52" ht="18" customHeight="1" x14ac:dyDescent="0.2">
      <c r="A119" s="3" t="str">
        <f t="shared" si="1"/>
        <v xml:space="preserve">                                                  </v>
      </c>
      <c r="B119" s="20" t="s">
        <v>174</v>
      </c>
      <c r="C119" s="39"/>
      <c r="D119" s="39"/>
      <c r="E119" s="39"/>
      <c r="F119" s="38"/>
      <c r="G119" s="39"/>
      <c r="H119" s="40"/>
      <c r="I119" s="39"/>
      <c r="J119" s="40"/>
      <c r="K119" s="40"/>
      <c r="L119" s="40"/>
      <c r="M119" s="39"/>
      <c r="N119" s="39"/>
      <c r="O119" s="39"/>
      <c r="P119" s="39"/>
      <c r="Q119" s="39"/>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row>
    <row r="120" spans="1:52" ht="18" customHeight="1" x14ac:dyDescent="0.2">
      <c r="A120" s="3" t="str">
        <f t="shared" si="1"/>
        <v xml:space="preserve">                                                  </v>
      </c>
      <c r="B120" s="20" t="s">
        <v>174</v>
      </c>
      <c r="C120" s="39"/>
      <c r="D120" s="39"/>
      <c r="E120" s="39"/>
      <c r="F120" s="38"/>
      <c r="G120" s="39"/>
      <c r="H120" s="40"/>
      <c r="I120" s="39"/>
      <c r="J120" s="40"/>
      <c r="K120" s="40"/>
      <c r="L120" s="40"/>
      <c r="M120" s="39"/>
      <c r="N120" s="39"/>
      <c r="O120" s="39"/>
      <c r="P120" s="39"/>
      <c r="Q120" s="39"/>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row>
    <row r="121" spans="1:52" ht="18" customHeight="1" x14ac:dyDescent="0.2">
      <c r="A121" s="3" t="str">
        <f t="shared" si="1"/>
        <v xml:space="preserve">                                                  </v>
      </c>
      <c r="B121" s="20" t="s">
        <v>174</v>
      </c>
      <c r="C121" s="39"/>
      <c r="D121" s="39"/>
      <c r="E121" s="39"/>
      <c r="F121" s="38"/>
      <c r="G121" s="39"/>
      <c r="H121" s="40"/>
      <c r="I121" s="39"/>
      <c r="J121" s="40"/>
      <c r="K121" s="40"/>
      <c r="L121" s="40"/>
      <c r="M121" s="39"/>
      <c r="N121" s="39"/>
      <c r="O121" s="39"/>
      <c r="P121" s="39"/>
      <c r="Q121" s="39"/>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row>
    <row r="122" spans="1:52" ht="18" customHeight="1" x14ac:dyDescent="0.2">
      <c r="A122" s="3" t="str">
        <f t="shared" si="1"/>
        <v xml:space="preserve">                                                  </v>
      </c>
      <c r="B122" s="20" t="s">
        <v>174</v>
      </c>
      <c r="C122" s="39"/>
      <c r="D122" s="39"/>
      <c r="E122" s="39"/>
      <c r="F122" s="38"/>
      <c r="G122" s="39"/>
      <c r="H122" s="40"/>
      <c r="I122" s="39"/>
      <c r="J122" s="40"/>
      <c r="K122" s="40"/>
      <c r="L122" s="40"/>
      <c r="M122" s="39"/>
      <c r="N122" s="39"/>
      <c r="O122" s="39"/>
      <c r="P122" s="39"/>
      <c r="Q122" s="39"/>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row>
    <row r="123" spans="1:52" ht="18" customHeight="1" x14ac:dyDescent="0.2">
      <c r="A123" s="3" t="str">
        <f t="shared" si="1"/>
        <v xml:space="preserve">                                                  </v>
      </c>
      <c r="B123" s="20" t="s">
        <v>174</v>
      </c>
      <c r="C123" s="39"/>
      <c r="D123" s="39"/>
      <c r="E123" s="39"/>
      <c r="F123" s="38"/>
      <c r="G123" s="39"/>
      <c r="H123" s="40"/>
      <c r="I123" s="39"/>
      <c r="J123" s="40"/>
      <c r="K123" s="40"/>
      <c r="L123" s="40"/>
      <c r="M123" s="39"/>
      <c r="N123" s="39"/>
      <c r="O123" s="39"/>
      <c r="P123" s="39"/>
      <c r="Q123" s="39"/>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row>
    <row r="124" spans="1:52" ht="18" customHeight="1" x14ac:dyDescent="0.2">
      <c r="A124" s="3" t="str">
        <f t="shared" si="1"/>
        <v xml:space="preserve">                                                  </v>
      </c>
      <c r="B124" s="20" t="s">
        <v>174</v>
      </c>
      <c r="C124" s="39"/>
      <c r="D124" s="39"/>
      <c r="E124" s="39"/>
      <c r="F124" s="38"/>
      <c r="G124" s="39"/>
      <c r="H124" s="40"/>
      <c r="I124" s="39"/>
      <c r="J124" s="40"/>
      <c r="K124" s="40"/>
      <c r="L124" s="40"/>
      <c r="M124" s="39"/>
      <c r="N124" s="39"/>
      <c r="O124" s="39"/>
      <c r="P124" s="39"/>
      <c r="Q124" s="39"/>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row>
    <row r="125" spans="1:52" ht="18" customHeight="1" x14ac:dyDescent="0.2">
      <c r="A125" s="3" t="str">
        <f t="shared" si="1"/>
        <v xml:space="preserve">                                                  </v>
      </c>
      <c r="B125" s="20" t="s">
        <v>174</v>
      </c>
      <c r="C125" s="39"/>
      <c r="D125" s="39"/>
      <c r="E125" s="39"/>
      <c r="F125" s="38"/>
      <c r="G125" s="39"/>
      <c r="H125" s="40"/>
      <c r="I125" s="39"/>
      <c r="J125" s="40"/>
      <c r="K125" s="40"/>
      <c r="L125" s="40"/>
      <c r="M125" s="39"/>
      <c r="N125" s="39"/>
      <c r="O125" s="39"/>
      <c r="P125" s="39"/>
      <c r="Q125" s="39"/>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row>
    <row r="126" spans="1:52" ht="18" customHeight="1" x14ac:dyDescent="0.2">
      <c r="A126" s="3" t="str">
        <f t="shared" si="1"/>
        <v xml:space="preserve">                                                  </v>
      </c>
      <c r="B126" s="20" t="s">
        <v>174</v>
      </c>
      <c r="C126" s="39"/>
      <c r="D126" s="39"/>
      <c r="E126" s="39"/>
      <c r="F126" s="38"/>
      <c r="G126" s="39"/>
      <c r="H126" s="40"/>
      <c r="I126" s="39"/>
      <c r="J126" s="40"/>
      <c r="K126" s="40"/>
      <c r="L126" s="40"/>
      <c r="M126" s="39"/>
      <c r="N126" s="39"/>
      <c r="O126" s="39"/>
      <c r="P126" s="39"/>
      <c r="Q126" s="39"/>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row>
    <row r="127" spans="1:52" ht="18" customHeight="1" x14ac:dyDescent="0.2">
      <c r="A127" s="3" t="str">
        <f t="shared" si="1"/>
        <v xml:space="preserve">                                                  </v>
      </c>
      <c r="B127" s="20" t="s">
        <v>174</v>
      </c>
      <c r="C127" s="39"/>
      <c r="D127" s="39"/>
      <c r="E127" s="39"/>
      <c r="F127" s="39"/>
      <c r="G127" s="39"/>
      <c r="H127" s="39"/>
      <c r="I127" s="39"/>
      <c r="J127" s="39"/>
      <c r="K127" s="39"/>
      <c r="L127" s="39"/>
      <c r="M127" s="39"/>
      <c r="N127" s="39"/>
      <c r="O127" s="39"/>
      <c r="P127" s="39"/>
      <c r="Q127" s="39"/>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row>
    <row r="128" spans="1:52" ht="18" customHeight="1" x14ac:dyDescent="0.2">
      <c r="A128" s="3" t="str">
        <f t="shared" si="1"/>
        <v xml:space="preserve">                                                  </v>
      </c>
      <c r="B128" s="20" t="s">
        <v>174</v>
      </c>
      <c r="C128" s="39"/>
      <c r="D128" s="39"/>
      <c r="E128" s="39"/>
      <c r="F128" s="39"/>
      <c r="G128" s="39"/>
      <c r="H128" s="39"/>
      <c r="I128" s="39"/>
      <c r="J128" s="39"/>
      <c r="K128" s="39"/>
      <c r="L128" s="39"/>
      <c r="M128" s="39"/>
      <c r="N128" s="39"/>
      <c r="O128" s="39"/>
      <c r="P128" s="39"/>
      <c r="Q128" s="39"/>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row>
    <row r="129" spans="1:52" ht="18" customHeight="1" x14ac:dyDescent="0.2">
      <c r="A129" s="3" t="str">
        <f t="shared" si="1"/>
        <v xml:space="preserve">                                                  </v>
      </c>
      <c r="B129" s="20" t="s">
        <v>174</v>
      </c>
      <c r="C129" s="39"/>
      <c r="D129" s="39"/>
      <c r="E129" s="39"/>
      <c r="F129" s="39"/>
      <c r="G129" s="39"/>
      <c r="H129" s="39"/>
      <c r="I129" s="39"/>
      <c r="J129" s="39"/>
      <c r="K129" s="39"/>
      <c r="L129" s="39"/>
      <c r="M129" s="39"/>
      <c r="N129" s="39"/>
      <c r="O129" s="39"/>
      <c r="P129" s="39"/>
      <c r="Q129" s="39"/>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row>
    <row r="130" spans="1:52" ht="18" customHeight="1" x14ac:dyDescent="0.2">
      <c r="A130" s="3" t="str">
        <f t="shared" si="1"/>
        <v xml:space="preserve">                                                  </v>
      </c>
      <c r="B130" s="20" t="s">
        <v>174</v>
      </c>
      <c r="C130" s="39"/>
      <c r="D130" s="39"/>
      <c r="E130" s="39"/>
      <c r="F130" s="41"/>
      <c r="G130" s="41"/>
      <c r="H130" s="41"/>
      <c r="I130" s="41"/>
      <c r="J130" s="41"/>
      <c r="K130" s="41"/>
      <c r="L130" s="41"/>
      <c r="M130" s="41"/>
      <c r="N130" s="41"/>
      <c r="O130" s="41"/>
      <c r="P130" s="41"/>
      <c r="Q130" s="41"/>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row>
    <row r="131" spans="1:52" ht="18" customHeight="1" x14ac:dyDescent="0.2">
      <c r="A131" s="3" t="str">
        <f t="shared" si="1"/>
        <v xml:space="preserve">                                                  </v>
      </c>
      <c r="B131" s="20" t="s">
        <v>174</v>
      </c>
      <c r="C131" s="39"/>
      <c r="D131" s="39"/>
      <c r="E131" s="39"/>
      <c r="F131" s="39"/>
      <c r="G131" s="39"/>
      <c r="H131" s="39"/>
      <c r="I131" s="39"/>
      <c r="J131" s="39"/>
      <c r="K131" s="39"/>
      <c r="L131" s="39"/>
      <c r="M131" s="39"/>
      <c r="N131" s="39"/>
      <c r="O131" s="39"/>
      <c r="P131" s="39"/>
      <c r="Q131" s="39"/>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row>
    <row r="132" spans="1:52" ht="18" customHeight="1" x14ac:dyDescent="0.2">
      <c r="A132" s="3" t="str">
        <f t="shared" ref="A132:A195" si="2">CONCATENATE(C132," ",D132," ",E132," ",F132," ",G132," ",H132," ",I132," ",J132," ",K132," ",L132," ",M132," ",N132," ",O132," ",P132," ",Q132," ",R132," ",S132," ",T132," ",U132," ",V132," ",W132," ",X132," ",Y132," ",Z132," ",AA132," ",AB132," ",AC132," ",AD132," ",AE132," ",AF132," ",AG132," ",AH132," ",AI132," ",AJ132," ",AK132," ",AL132," ",AM132," ",AN132," ",AO132," ",AP132," ",AQ132," ",AR132," ",AS132," ",AT132," ",AU132," ",AV132," ",AW132," ",AX132," ",AY132," ",AZ132," ",
)</f>
        <v xml:space="preserve">                                                  </v>
      </c>
      <c r="B132" s="20" t="s">
        <v>174</v>
      </c>
      <c r="C132" s="39"/>
      <c r="D132" s="39"/>
      <c r="E132" s="39"/>
      <c r="F132" s="37"/>
      <c r="G132" s="37"/>
      <c r="H132" s="37"/>
      <c r="I132" s="37"/>
      <c r="J132" s="37"/>
      <c r="K132" s="37"/>
      <c r="L132" s="37"/>
      <c r="M132" s="37"/>
      <c r="N132" s="37"/>
      <c r="O132" s="37"/>
      <c r="P132" s="37"/>
      <c r="Q132" s="37"/>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row>
    <row r="133" spans="1:52" ht="18" customHeight="1" x14ac:dyDescent="0.2">
      <c r="A133" s="3" t="str">
        <f t="shared" si="2"/>
        <v xml:space="preserve">                                                  </v>
      </c>
      <c r="B133" s="20" t="s">
        <v>174</v>
      </c>
      <c r="C133" s="39"/>
      <c r="D133" s="39"/>
      <c r="E133" s="39"/>
      <c r="F133" s="38"/>
      <c r="G133" s="39"/>
      <c r="H133" s="40"/>
      <c r="I133" s="39"/>
      <c r="J133" s="40"/>
      <c r="K133" s="40"/>
      <c r="L133" s="40"/>
      <c r="M133" s="39"/>
      <c r="N133" s="39"/>
      <c r="O133" s="39"/>
      <c r="P133" s="39"/>
      <c r="Q133" s="39"/>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row>
    <row r="134" spans="1:52" ht="18" customHeight="1" x14ac:dyDescent="0.2">
      <c r="A134" s="3" t="str">
        <f t="shared" si="2"/>
        <v xml:space="preserve">                                                  </v>
      </c>
      <c r="B134" s="20" t="s">
        <v>174</v>
      </c>
      <c r="C134" s="39"/>
      <c r="D134" s="39"/>
      <c r="E134" s="39"/>
      <c r="F134" s="38"/>
      <c r="G134" s="39"/>
      <c r="H134" s="40"/>
      <c r="I134" s="39"/>
      <c r="J134" s="40"/>
      <c r="K134" s="40"/>
      <c r="L134" s="40"/>
      <c r="M134" s="39"/>
      <c r="N134" s="39"/>
      <c r="O134" s="39"/>
      <c r="P134" s="39"/>
      <c r="Q134" s="39"/>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row>
    <row r="135" spans="1:52" ht="18" customHeight="1" x14ac:dyDescent="0.2">
      <c r="A135" s="3" t="str">
        <f t="shared" si="2"/>
        <v xml:space="preserve">                                                  </v>
      </c>
      <c r="B135" s="20" t="s">
        <v>174</v>
      </c>
      <c r="C135" s="39"/>
      <c r="D135" s="39"/>
      <c r="E135" s="39"/>
      <c r="F135" s="38"/>
      <c r="G135" s="39"/>
      <c r="H135" s="40"/>
      <c r="I135" s="39"/>
      <c r="J135" s="40"/>
      <c r="K135" s="40"/>
      <c r="L135" s="40"/>
      <c r="M135" s="39"/>
      <c r="N135" s="39"/>
      <c r="O135" s="39"/>
      <c r="P135" s="39"/>
      <c r="Q135" s="39"/>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row>
    <row r="136" spans="1:52" ht="18" customHeight="1" x14ac:dyDescent="0.2">
      <c r="A136" s="3" t="str">
        <f t="shared" si="2"/>
        <v xml:space="preserve">                                                  </v>
      </c>
      <c r="B136" s="20" t="s">
        <v>174</v>
      </c>
      <c r="C136" s="39"/>
      <c r="D136" s="39"/>
      <c r="E136" s="39"/>
      <c r="F136" s="38"/>
      <c r="G136" s="39"/>
      <c r="H136" s="40"/>
      <c r="I136" s="39"/>
      <c r="J136" s="40"/>
      <c r="K136" s="40"/>
      <c r="L136" s="40"/>
      <c r="M136" s="39"/>
      <c r="N136" s="39"/>
      <c r="O136" s="39"/>
      <c r="P136" s="39"/>
      <c r="Q136" s="39"/>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row>
    <row r="137" spans="1:52" ht="18" customHeight="1" x14ac:dyDescent="0.2">
      <c r="A137" s="3" t="str">
        <f t="shared" si="2"/>
        <v xml:space="preserve">                                                  </v>
      </c>
      <c r="B137" s="20" t="s">
        <v>174</v>
      </c>
      <c r="C137" s="39"/>
      <c r="D137" s="39"/>
      <c r="E137" s="39"/>
      <c r="F137" s="39"/>
      <c r="G137" s="39"/>
      <c r="H137" s="39"/>
      <c r="I137" s="39"/>
      <c r="J137" s="39"/>
      <c r="K137" s="39"/>
      <c r="L137" s="39"/>
      <c r="M137" s="39"/>
      <c r="N137" s="39"/>
      <c r="O137" s="39"/>
      <c r="P137" s="39"/>
      <c r="Q137" s="39"/>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row>
    <row r="138" spans="1:52" ht="18" customHeight="1" x14ac:dyDescent="0.2">
      <c r="A138" s="3" t="str">
        <f t="shared" si="2"/>
        <v xml:space="preserve">                                                  </v>
      </c>
      <c r="B138" s="20" t="s">
        <v>174</v>
      </c>
      <c r="C138" s="39"/>
      <c r="D138" s="39"/>
      <c r="E138" s="39"/>
      <c r="F138" s="39"/>
      <c r="G138" s="39"/>
      <c r="H138" s="39"/>
      <c r="I138" s="39"/>
      <c r="J138" s="39"/>
      <c r="K138" s="39"/>
      <c r="L138" s="39"/>
      <c r="M138" s="39"/>
      <c r="N138" s="39"/>
      <c r="O138" s="39"/>
      <c r="P138" s="39"/>
      <c r="Q138" s="39"/>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row>
    <row r="139" spans="1:52" ht="18" customHeight="1" x14ac:dyDescent="0.2">
      <c r="A139" s="3" t="str">
        <f t="shared" si="2"/>
        <v xml:space="preserve">                                                  </v>
      </c>
      <c r="B139" s="20" t="s">
        <v>174</v>
      </c>
      <c r="C139" s="39"/>
      <c r="D139" s="39"/>
      <c r="E139" s="39"/>
      <c r="F139" s="39"/>
      <c r="G139" s="39"/>
      <c r="H139" s="39"/>
      <c r="I139" s="39"/>
      <c r="J139" s="39"/>
      <c r="K139" s="39"/>
      <c r="L139" s="39"/>
      <c r="M139" s="39"/>
      <c r="N139" s="39"/>
      <c r="O139" s="39"/>
      <c r="P139" s="39"/>
      <c r="Q139" s="39"/>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row>
    <row r="140" spans="1:52" ht="18" customHeight="1" x14ac:dyDescent="0.2">
      <c r="A140" s="3" t="str">
        <f t="shared" si="2"/>
        <v xml:space="preserve">                                                  </v>
      </c>
      <c r="B140" s="20" t="s">
        <v>174</v>
      </c>
      <c r="C140" s="39"/>
      <c r="D140" s="39"/>
      <c r="E140" s="39"/>
      <c r="F140" s="41"/>
      <c r="G140" s="41"/>
      <c r="H140" s="41"/>
      <c r="I140" s="41"/>
      <c r="J140" s="41"/>
      <c r="K140" s="41"/>
      <c r="L140" s="41"/>
      <c r="M140" s="41"/>
      <c r="N140" s="41"/>
      <c r="O140" s="41"/>
      <c r="P140" s="41"/>
      <c r="Q140" s="41"/>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row>
    <row r="141" spans="1:52" ht="18" customHeight="1" x14ac:dyDescent="0.2">
      <c r="A141" s="3" t="str">
        <f t="shared" si="2"/>
        <v xml:space="preserve">                                                  </v>
      </c>
      <c r="B141" s="20" t="s">
        <v>174</v>
      </c>
      <c r="C141" s="39"/>
      <c r="D141" s="39"/>
      <c r="E141" s="39"/>
      <c r="F141" s="39"/>
      <c r="G141" s="39"/>
      <c r="H141" s="39"/>
      <c r="I141" s="39"/>
      <c r="J141" s="39"/>
      <c r="K141" s="39"/>
      <c r="L141" s="39"/>
      <c r="M141" s="39"/>
      <c r="N141" s="39"/>
      <c r="O141" s="39"/>
      <c r="P141" s="39"/>
      <c r="Q141" s="39"/>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row>
    <row r="142" spans="1:52" ht="18" customHeight="1" x14ac:dyDescent="0.2">
      <c r="A142" s="3" t="str">
        <f t="shared" si="2"/>
        <v xml:space="preserve">                                                  </v>
      </c>
      <c r="B142" s="20" t="s">
        <v>174</v>
      </c>
      <c r="C142" s="39"/>
      <c r="D142" s="39"/>
      <c r="E142" s="39"/>
      <c r="F142" s="37"/>
      <c r="G142" s="37"/>
      <c r="H142" s="37"/>
      <c r="I142" s="37"/>
      <c r="J142" s="37"/>
      <c r="K142" s="37"/>
      <c r="L142" s="37"/>
      <c r="M142" s="37"/>
      <c r="N142" s="37"/>
      <c r="O142" s="37"/>
      <c r="P142" s="37"/>
      <c r="Q142" s="37"/>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row>
    <row r="143" spans="1:52" ht="18" customHeight="1" x14ac:dyDescent="0.2">
      <c r="A143" s="3" t="str">
        <f t="shared" si="2"/>
        <v xml:space="preserve">                                                  </v>
      </c>
      <c r="B143" s="20" t="s">
        <v>174</v>
      </c>
      <c r="C143" s="39"/>
      <c r="D143" s="39"/>
      <c r="E143" s="39"/>
      <c r="F143" s="38"/>
      <c r="G143" s="39"/>
      <c r="H143" s="40"/>
      <c r="I143" s="39"/>
      <c r="J143" s="40"/>
      <c r="K143" s="40"/>
      <c r="L143" s="40"/>
      <c r="M143" s="39"/>
      <c r="N143" s="39"/>
      <c r="O143" s="39"/>
      <c r="P143" s="39"/>
      <c r="Q143" s="39"/>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row>
    <row r="144" spans="1:52" ht="18" customHeight="1" x14ac:dyDescent="0.2">
      <c r="A144" s="3" t="str">
        <f t="shared" si="2"/>
        <v xml:space="preserve">                                                  </v>
      </c>
      <c r="B144" s="20" t="s">
        <v>174</v>
      </c>
      <c r="C144" s="39"/>
      <c r="D144" s="39"/>
      <c r="E144" s="39"/>
      <c r="F144" s="38"/>
      <c r="G144" s="39"/>
      <c r="H144" s="40"/>
      <c r="I144" s="39"/>
      <c r="J144" s="40"/>
      <c r="K144" s="40"/>
      <c r="L144" s="40"/>
      <c r="M144" s="39"/>
      <c r="N144" s="39"/>
      <c r="O144" s="39"/>
      <c r="P144" s="39"/>
      <c r="Q144" s="39"/>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row>
    <row r="145" spans="1:52" ht="18" customHeight="1" x14ac:dyDescent="0.2">
      <c r="A145" s="3" t="str">
        <f t="shared" si="2"/>
        <v xml:space="preserve">                                                  </v>
      </c>
      <c r="B145" s="20" t="s">
        <v>174</v>
      </c>
      <c r="C145" s="39"/>
      <c r="D145" s="39"/>
      <c r="E145" s="39"/>
      <c r="F145" s="39"/>
      <c r="G145" s="39"/>
      <c r="H145" s="39"/>
      <c r="I145" s="39"/>
      <c r="J145" s="39"/>
      <c r="K145" s="39"/>
      <c r="L145" s="39"/>
      <c r="M145" s="39"/>
      <c r="N145" s="39"/>
      <c r="O145" s="39"/>
      <c r="P145" s="39"/>
      <c r="Q145" s="39"/>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row>
    <row r="146" spans="1:52" ht="18" customHeight="1" x14ac:dyDescent="0.2">
      <c r="A146" s="3" t="str">
        <f t="shared" si="2"/>
        <v xml:space="preserve">                                                  </v>
      </c>
      <c r="B146" s="20" t="s">
        <v>174</v>
      </c>
      <c r="C146" s="39"/>
      <c r="D146" s="39"/>
      <c r="E146" s="39"/>
      <c r="F146" s="39"/>
      <c r="G146" s="39"/>
      <c r="H146" s="39"/>
      <c r="I146" s="39"/>
      <c r="J146" s="39"/>
      <c r="K146" s="39"/>
      <c r="L146" s="39"/>
      <c r="M146" s="39"/>
      <c r="N146" s="39"/>
      <c r="O146" s="39"/>
      <c r="P146" s="39"/>
      <c r="Q146" s="39"/>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row>
    <row r="147" spans="1:52" ht="18" customHeight="1" x14ac:dyDescent="0.2">
      <c r="A147" s="3" t="str">
        <f t="shared" si="2"/>
        <v xml:space="preserve">                                                  </v>
      </c>
      <c r="B147" s="20" t="s">
        <v>174</v>
      </c>
      <c r="C147" s="39"/>
      <c r="D147" s="39"/>
      <c r="E147" s="39"/>
      <c r="F147" s="39"/>
      <c r="G147" s="39"/>
      <c r="H147" s="39"/>
      <c r="I147" s="39"/>
      <c r="J147" s="39"/>
      <c r="K147" s="39"/>
      <c r="L147" s="39"/>
      <c r="M147" s="39"/>
      <c r="N147" s="39"/>
      <c r="O147" s="39"/>
      <c r="P147" s="39"/>
      <c r="Q147" s="39"/>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row>
    <row r="148" spans="1:52" ht="18" customHeight="1" x14ac:dyDescent="0.2">
      <c r="A148" s="3" t="str">
        <f t="shared" si="2"/>
        <v xml:space="preserve">                                                  </v>
      </c>
      <c r="B148" s="20" t="s">
        <v>174</v>
      </c>
      <c r="C148" s="39"/>
      <c r="D148" s="39"/>
      <c r="E148" s="39"/>
      <c r="F148" s="41"/>
      <c r="G148" s="41"/>
      <c r="H148" s="41"/>
      <c r="I148" s="41"/>
      <c r="J148" s="41"/>
      <c r="K148" s="41"/>
      <c r="L148" s="41"/>
      <c r="M148" s="41"/>
      <c r="N148" s="41"/>
      <c r="O148" s="41"/>
      <c r="P148" s="41"/>
      <c r="Q148" s="41"/>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row>
    <row r="149" spans="1:52" ht="18" customHeight="1" x14ac:dyDescent="0.2">
      <c r="A149" s="3" t="str">
        <f t="shared" si="2"/>
        <v xml:space="preserve">                                                  </v>
      </c>
      <c r="B149" s="20" t="s">
        <v>174</v>
      </c>
      <c r="C149" s="39"/>
      <c r="D149" s="39"/>
      <c r="E149" s="39"/>
      <c r="F149" s="39"/>
      <c r="G149" s="39"/>
      <c r="H149" s="39"/>
      <c r="I149" s="39"/>
      <c r="J149" s="39"/>
      <c r="K149" s="39"/>
      <c r="L149" s="39"/>
      <c r="M149" s="39"/>
      <c r="N149" s="39"/>
      <c r="O149" s="39"/>
      <c r="P149" s="39"/>
      <c r="Q149" s="39"/>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row>
    <row r="150" spans="1:52" ht="18" customHeight="1" x14ac:dyDescent="0.2">
      <c r="A150" s="3" t="str">
        <f t="shared" si="2"/>
        <v xml:space="preserve">                                                  </v>
      </c>
      <c r="B150" s="20" t="s">
        <v>174</v>
      </c>
      <c r="C150" s="39"/>
      <c r="D150" s="39"/>
      <c r="E150" s="39"/>
      <c r="F150" s="37"/>
      <c r="G150" s="37"/>
      <c r="H150" s="37"/>
      <c r="I150" s="37"/>
      <c r="J150" s="37"/>
      <c r="K150" s="37"/>
      <c r="L150" s="37"/>
      <c r="M150" s="37"/>
      <c r="N150" s="37"/>
      <c r="O150" s="37"/>
      <c r="P150" s="37"/>
      <c r="Q150" s="37"/>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row>
    <row r="151" spans="1:52" ht="18" customHeight="1" x14ac:dyDescent="0.2">
      <c r="A151" s="3" t="str">
        <f t="shared" si="2"/>
        <v xml:space="preserve">                                                  </v>
      </c>
      <c r="B151" s="20" t="s">
        <v>174</v>
      </c>
      <c r="C151" s="39"/>
      <c r="D151" s="39"/>
      <c r="E151" s="39"/>
      <c r="F151" s="38"/>
      <c r="G151" s="39"/>
      <c r="H151" s="40"/>
      <c r="I151" s="39"/>
      <c r="J151" s="40"/>
      <c r="K151" s="40"/>
      <c r="L151" s="40"/>
      <c r="M151" s="39"/>
      <c r="N151" s="39"/>
      <c r="O151" s="39"/>
      <c r="P151" s="39"/>
      <c r="Q151" s="39"/>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row>
    <row r="152" spans="1:52" ht="18" customHeight="1" x14ac:dyDescent="0.2">
      <c r="A152" s="3" t="str">
        <f t="shared" si="2"/>
        <v xml:space="preserve">                                                  </v>
      </c>
      <c r="B152" s="20" t="s">
        <v>174</v>
      </c>
      <c r="C152" s="39"/>
      <c r="D152" s="39"/>
      <c r="E152" s="39"/>
      <c r="F152" s="39"/>
      <c r="G152" s="39"/>
      <c r="H152" s="39"/>
      <c r="I152" s="39"/>
      <c r="J152" s="39"/>
      <c r="K152" s="39"/>
      <c r="L152" s="39"/>
      <c r="M152" s="39"/>
      <c r="N152" s="39"/>
      <c r="O152" s="39"/>
      <c r="P152" s="39"/>
      <c r="Q152" s="39"/>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row>
    <row r="153" spans="1:52" ht="18" customHeight="1" x14ac:dyDescent="0.2">
      <c r="A153" s="3" t="str">
        <f t="shared" si="2"/>
        <v xml:space="preserve">                                                  </v>
      </c>
      <c r="B153" s="20" t="s">
        <v>174</v>
      </c>
      <c r="C153" s="39"/>
      <c r="D153" s="39"/>
      <c r="E153" s="39"/>
      <c r="F153" s="39"/>
      <c r="G153" s="39"/>
      <c r="H153" s="39"/>
      <c r="I153" s="39"/>
      <c r="J153" s="39"/>
      <c r="K153" s="39"/>
      <c r="L153" s="39"/>
      <c r="M153" s="39"/>
      <c r="N153" s="39"/>
      <c r="O153" s="39"/>
      <c r="P153" s="39"/>
      <c r="Q153" s="39"/>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row>
    <row r="154" spans="1:52" ht="18" customHeight="1" x14ac:dyDescent="0.2">
      <c r="A154" s="3" t="str">
        <f t="shared" si="2"/>
        <v xml:space="preserve">                                                  </v>
      </c>
      <c r="B154" s="20" t="s">
        <v>174</v>
      </c>
      <c r="C154" s="39"/>
      <c r="D154" s="39"/>
      <c r="E154" s="39"/>
      <c r="F154" s="39"/>
      <c r="G154" s="39"/>
      <c r="H154" s="39"/>
      <c r="I154" s="39"/>
      <c r="J154" s="39"/>
      <c r="K154" s="39"/>
      <c r="L154" s="39"/>
      <c r="M154" s="39"/>
      <c r="N154" s="39"/>
      <c r="O154" s="39"/>
      <c r="P154" s="39"/>
      <c r="Q154" s="39"/>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row>
    <row r="155" spans="1:52" ht="18" customHeight="1" x14ac:dyDescent="0.2">
      <c r="A155" s="3" t="str">
        <f t="shared" si="2"/>
        <v xml:space="preserve">                                                  </v>
      </c>
      <c r="B155" s="20" t="s">
        <v>174</v>
      </c>
      <c r="C155" s="39"/>
      <c r="D155" s="39"/>
      <c r="E155" s="39"/>
      <c r="F155" s="41"/>
      <c r="G155" s="41"/>
      <c r="H155" s="41"/>
      <c r="I155" s="41"/>
      <c r="J155" s="41"/>
      <c r="K155" s="41"/>
      <c r="L155" s="41"/>
      <c r="M155" s="41"/>
      <c r="N155" s="41"/>
      <c r="O155" s="41"/>
      <c r="P155" s="41"/>
      <c r="Q155" s="41"/>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row>
    <row r="156" spans="1:52" ht="18" customHeight="1" x14ac:dyDescent="0.2">
      <c r="A156" s="3" t="str">
        <f t="shared" si="2"/>
        <v xml:space="preserve">                                                  </v>
      </c>
      <c r="B156" s="20" t="s">
        <v>174</v>
      </c>
      <c r="C156" s="39"/>
      <c r="D156" s="39"/>
      <c r="E156" s="39"/>
      <c r="F156" s="39"/>
      <c r="G156" s="39"/>
      <c r="H156" s="39"/>
      <c r="I156" s="39"/>
      <c r="J156" s="39"/>
      <c r="K156" s="39"/>
      <c r="L156" s="39"/>
      <c r="M156" s="39"/>
      <c r="N156" s="39"/>
      <c r="O156" s="39"/>
      <c r="P156" s="39"/>
      <c r="Q156" s="39"/>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row>
    <row r="157" spans="1:52" ht="18" customHeight="1" x14ac:dyDescent="0.2">
      <c r="A157" s="3" t="str">
        <f t="shared" si="2"/>
        <v xml:space="preserve">                                                  </v>
      </c>
      <c r="B157" s="20" t="s">
        <v>174</v>
      </c>
      <c r="C157" s="39"/>
      <c r="D157" s="39"/>
      <c r="E157" s="39"/>
      <c r="F157" s="37"/>
      <c r="G157" s="37"/>
      <c r="H157" s="37"/>
      <c r="I157" s="37"/>
      <c r="J157" s="37"/>
      <c r="K157" s="37"/>
      <c r="L157" s="37"/>
      <c r="M157" s="37"/>
      <c r="N157" s="37"/>
      <c r="O157" s="37"/>
      <c r="P157" s="37"/>
      <c r="Q157" s="37"/>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row>
    <row r="158" spans="1:52" ht="18" customHeight="1" x14ac:dyDescent="0.2">
      <c r="A158" s="3" t="str">
        <f t="shared" si="2"/>
        <v xml:space="preserve">                                                  </v>
      </c>
      <c r="B158" s="20" t="s">
        <v>174</v>
      </c>
      <c r="C158" s="39"/>
      <c r="D158" s="39"/>
      <c r="E158" s="39"/>
      <c r="F158" s="38"/>
      <c r="G158" s="39"/>
      <c r="H158" s="40"/>
      <c r="I158" s="39"/>
      <c r="J158" s="40"/>
      <c r="K158" s="40"/>
      <c r="L158" s="40"/>
      <c r="M158" s="39"/>
      <c r="N158" s="39"/>
      <c r="O158" s="39"/>
      <c r="P158" s="39"/>
      <c r="Q158" s="39"/>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row>
    <row r="159" spans="1:52" ht="18" customHeight="1" x14ac:dyDescent="0.2">
      <c r="A159" s="3" t="str">
        <f t="shared" si="2"/>
        <v xml:space="preserve">                                                  </v>
      </c>
      <c r="B159" s="20" t="s">
        <v>174</v>
      </c>
      <c r="C159" s="39"/>
      <c r="D159" s="39"/>
      <c r="E159" s="39"/>
      <c r="F159" s="38"/>
      <c r="G159" s="39"/>
      <c r="H159" s="40"/>
      <c r="I159" s="39"/>
      <c r="J159" s="40"/>
      <c r="K159" s="40"/>
      <c r="L159" s="40"/>
      <c r="M159" s="39"/>
      <c r="N159" s="39"/>
      <c r="O159" s="39"/>
      <c r="P159" s="39"/>
      <c r="Q159" s="39"/>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row>
    <row r="160" spans="1:52" ht="18" customHeight="1" x14ac:dyDescent="0.2">
      <c r="A160" s="3" t="str">
        <f t="shared" si="2"/>
        <v xml:space="preserve">                                                  </v>
      </c>
      <c r="B160" s="20" t="s">
        <v>174</v>
      </c>
      <c r="C160" s="39"/>
      <c r="D160" s="39"/>
      <c r="E160" s="39"/>
      <c r="F160" s="38"/>
      <c r="G160" s="39"/>
      <c r="H160" s="40"/>
      <c r="I160" s="39"/>
      <c r="J160" s="40"/>
      <c r="K160" s="40"/>
      <c r="L160" s="40"/>
      <c r="M160" s="39"/>
      <c r="N160" s="39"/>
      <c r="O160" s="39"/>
      <c r="P160" s="39"/>
      <c r="Q160" s="39"/>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row>
    <row r="161" spans="1:52" ht="18" customHeight="1" x14ac:dyDescent="0.2">
      <c r="A161" s="3" t="str">
        <f t="shared" si="2"/>
        <v xml:space="preserve">                                                  </v>
      </c>
      <c r="B161" s="20" t="s">
        <v>174</v>
      </c>
      <c r="C161" s="39"/>
      <c r="D161" s="39"/>
      <c r="E161" s="39"/>
      <c r="F161" s="38"/>
      <c r="G161" s="39"/>
      <c r="H161" s="40"/>
      <c r="I161" s="39"/>
      <c r="J161" s="40"/>
      <c r="K161" s="40"/>
      <c r="L161" s="40"/>
      <c r="M161" s="39"/>
      <c r="N161" s="39"/>
      <c r="O161" s="39"/>
      <c r="P161" s="39"/>
      <c r="Q161" s="39"/>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row>
    <row r="162" spans="1:52" ht="18" customHeight="1" x14ac:dyDescent="0.2">
      <c r="A162" s="3" t="str">
        <f t="shared" si="2"/>
        <v xml:space="preserve">                                                  </v>
      </c>
      <c r="B162" s="20" t="s">
        <v>174</v>
      </c>
      <c r="C162" s="39"/>
      <c r="D162" s="39"/>
      <c r="E162" s="39"/>
      <c r="F162" s="38"/>
      <c r="G162" s="39"/>
      <c r="H162" s="40"/>
      <c r="I162" s="39"/>
      <c r="J162" s="40"/>
      <c r="K162" s="40"/>
      <c r="L162" s="40"/>
      <c r="M162" s="39"/>
      <c r="N162" s="39"/>
      <c r="O162" s="39"/>
      <c r="P162" s="39"/>
      <c r="Q162" s="39"/>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row>
    <row r="163" spans="1:52" ht="18" customHeight="1" x14ac:dyDescent="0.2">
      <c r="A163" s="3" t="str">
        <f t="shared" si="2"/>
        <v xml:space="preserve">                                                  </v>
      </c>
      <c r="B163" s="20" t="s">
        <v>174</v>
      </c>
      <c r="C163" s="39"/>
      <c r="D163" s="39"/>
      <c r="E163" s="39"/>
      <c r="F163" s="39"/>
      <c r="G163" s="39"/>
      <c r="H163" s="39"/>
      <c r="I163" s="39"/>
      <c r="J163" s="39"/>
      <c r="K163" s="39"/>
      <c r="L163" s="39"/>
      <c r="M163" s="39"/>
      <c r="N163" s="39"/>
      <c r="O163" s="39"/>
      <c r="P163" s="39"/>
      <c r="Q163" s="39"/>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row>
    <row r="164" spans="1:52" ht="18" customHeight="1" x14ac:dyDescent="0.2">
      <c r="A164" s="3" t="str">
        <f t="shared" si="2"/>
        <v xml:space="preserve">                                                  </v>
      </c>
      <c r="B164" s="20" t="s">
        <v>174</v>
      </c>
      <c r="C164" s="39"/>
      <c r="D164" s="39"/>
      <c r="E164" s="39"/>
      <c r="F164" s="39"/>
      <c r="G164" s="39"/>
      <c r="H164" s="39"/>
      <c r="I164" s="39"/>
      <c r="J164" s="39"/>
      <c r="K164" s="39"/>
      <c r="L164" s="39"/>
      <c r="M164" s="39"/>
      <c r="N164" s="39"/>
      <c r="O164" s="39"/>
      <c r="P164" s="39"/>
      <c r="Q164" s="39"/>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row>
    <row r="165" spans="1:52" ht="18" customHeight="1" x14ac:dyDescent="0.2">
      <c r="A165" s="3" t="str">
        <f t="shared" si="2"/>
        <v xml:space="preserve">                                                  </v>
      </c>
      <c r="B165" s="20" t="s">
        <v>174</v>
      </c>
      <c r="C165" s="39"/>
      <c r="D165" s="39"/>
      <c r="E165" s="39"/>
      <c r="F165" s="39"/>
      <c r="G165" s="39"/>
      <c r="H165" s="39"/>
      <c r="I165" s="39"/>
      <c r="J165" s="39"/>
      <c r="K165" s="39"/>
      <c r="L165" s="39"/>
      <c r="M165" s="39"/>
      <c r="N165" s="39"/>
      <c r="O165" s="39"/>
      <c r="P165" s="39"/>
      <c r="Q165" s="39"/>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row>
    <row r="166" spans="1:52" ht="18" customHeight="1" x14ac:dyDescent="0.2">
      <c r="A166" s="3" t="str">
        <f t="shared" si="2"/>
        <v xml:space="preserve">                                                  </v>
      </c>
      <c r="B166" s="20" t="s">
        <v>174</v>
      </c>
      <c r="C166" s="39"/>
      <c r="D166" s="39"/>
      <c r="E166" s="39"/>
      <c r="F166" s="41"/>
      <c r="G166" s="41"/>
      <c r="H166" s="41"/>
      <c r="I166" s="41"/>
      <c r="J166" s="41"/>
      <c r="K166" s="41"/>
      <c r="L166" s="41"/>
      <c r="M166" s="41"/>
      <c r="N166" s="41"/>
      <c r="O166" s="41"/>
      <c r="P166" s="41"/>
      <c r="Q166" s="41"/>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row>
    <row r="167" spans="1:52" ht="18" customHeight="1" x14ac:dyDescent="0.2">
      <c r="A167" s="3" t="str">
        <f t="shared" si="2"/>
        <v xml:space="preserve">                                                  </v>
      </c>
      <c r="B167" s="20" t="s">
        <v>174</v>
      </c>
      <c r="C167" s="39"/>
      <c r="D167" s="39"/>
      <c r="E167" s="39"/>
      <c r="F167" s="39"/>
      <c r="G167" s="39"/>
      <c r="H167" s="39"/>
      <c r="I167" s="39"/>
      <c r="J167" s="39"/>
      <c r="K167" s="39"/>
      <c r="L167" s="39"/>
      <c r="M167" s="39"/>
      <c r="N167" s="39"/>
      <c r="O167" s="39"/>
      <c r="P167" s="39"/>
      <c r="Q167" s="39"/>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row>
    <row r="168" spans="1:52" ht="18" customHeight="1" x14ac:dyDescent="0.2">
      <c r="A168" s="3" t="str">
        <f t="shared" si="2"/>
        <v xml:space="preserve">                                                  </v>
      </c>
      <c r="B168" s="20" t="s">
        <v>174</v>
      </c>
      <c r="C168" s="39"/>
      <c r="D168" s="39"/>
      <c r="E168" s="39"/>
      <c r="F168" s="37"/>
      <c r="G168" s="37"/>
      <c r="H168" s="37"/>
      <c r="I168" s="37"/>
      <c r="J168" s="37"/>
      <c r="K168" s="37"/>
      <c r="L168" s="37"/>
      <c r="M168" s="37"/>
      <c r="N168" s="37"/>
      <c r="O168" s="37"/>
      <c r="P168" s="37"/>
      <c r="Q168" s="37"/>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row>
    <row r="169" spans="1:52" ht="18" customHeight="1" x14ac:dyDescent="0.2">
      <c r="A169" s="3" t="str">
        <f t="shared" si="2"/>
        <v xml:space="preserve">                                                  </v>
      </c>
      <c r="B169" s="20" t="s">
        <v>174</v>
      </c>
      <c r="C169" s="39"/>
      <c r="D169" s="39"/>
      <c r="E169" s="39"/>
      <c r="F169" s="38"/>
      <c r="G169" s="39"/>
      <c r="H169" s="40"/>
      <c r="I169" s="39"/>
      <c r="J169" s="40"/>
      <c r="K169" s="40"/>
      <c r="L169" s="40"/>
      <c r="M169" s="39"/>
      <c r="N169" s="39"/>
      <c r="O169" s="39"/>
      <c r="P169" s="39"/>
      <c r="Q169" s="39"/>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row>
    <row r="170" spans="1:52" ht="18" customHeight="1" x14ac:dyDescent="0.2">
      <c r="A170" s="3" t="str">
        <f t="shared" si="2"/>
        <v xml:space="preserve">                                                  </v>
      </c>
      <c r="B170" s="20" t="s">
        <v>174</v>
      </c>
      <c r="C170" s="39"/>
      <c r="D170" s="39"/>
      <c r="E170" s="39"/>
      <c r="F170" s="38"/>
      <c r="G170" s="39"/>
      <c r="H170" s="40"/>
      <c r="I170" s="39"/>
      <c r="J170" s="40"/>
      <c r="K170" s="40"/>
      <c r="L170" s="40"/>
      <c r="M170" s="39"/>
      <c r="N170" s="39"/>
      <c r="O170" s="39"/>
      <c r="P170" s="39"/>
      <c r="Q170" s="39"/>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row>
    <row r="171" spans="1:52" ht="18" customHeight="1" x14ac:dyDescent="0.2">
      <c r="A171" s="3" t="str">
        <f t="shared" si="2"/>
        <v xml:space="preserve">                                                  </v>
      </c>
      <c r="B171" s="20" t="s">
        <v>174</v>
      </c>
      <c r="C171" s="39"/>
      <c r="D171" s="39"/>
      <c r="E171" s="39"/>
      <c r="F171" s="38"/>
      <c r="G171" s="39"/>
      <c r="H171" s="40"/>
      <c r="I171" s="39"/>
      <c r="J171" s="40"/>
      <c r="K171" s="40"/>
      <c r="L171" s="40"/>
      <c r="M171" s="39"/>
      <c r="N171" s="39"/>
      <c r="O171" s="39"/>
      <c r="P171" s="39"/>
      <c r="Q171" s="39"/>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row>
    <row r="172" spans="1:52" ht="18" customHeight="1" x14ac:dyDescent="0.2">
      <c r="A172" s="3" t="str">
        <f t="shared" si="2"/>
        <v xml:space="preserve">                                                  </v>
      </c>
      <c r="B172" s="20" t="s">
        <v>174</v>
      </c>
      <c r="C172" s="39"/>
      <c r="D172" s="39"/>
      <c r="E172" s="39"/>
      <c r="F172" s="38"/>
      <c r="G172" s="39"/>
      <c r="H172" s="40"/>
      <c r="I172" s="39"/>
      <c r="J172" s="40"/>
      <c r="K172" s="40"/>
      <c r="L172" s="40"/>
      <c r="M172" s="39"/>
      <c r="N172" s="39"/>
      <c r="O172" s="39"/>
      <c r="P172" s="39"/>
      <c r="Q172" s="39"/>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row>
    <row r="173" spans="1:52" ht="18" customHeight="1" x14ac:dyDescent="0.2">
      <c r="A173" s="3" t="str">
        <f t="shared" si="2"/>
        <v xml:space="preserve">                                                  </v>
      </c>
      <c r="B173" s="20" t="s">
        <v>174</v>
      </c>
      <c r="C173" s="39"/>
      <c r="D173" s="39"/>
      <c r="E173" s="39"/>
      <c r="F173" s="39"/>
      <c r="G173" s="39"/>
      <c r="H173" s="39"/>
      <c r="I173" s="39"/>
      <c r="J173" s="39"/>
      <c r="K173" s="39"/>
      <c r="L173" s="39"/>
      <c r="M173" s="39"/>
      <c r="N173" s="39"/>
      <c r="O173" s="39"/>
      <c r="P173" s="39"/>
      <c r="Q173" s="39"/>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row>
    <row r="174" spans="1:52" ht="18" customHeight="1" x14ac:dyDescent="0.2">
      <c r="A174" s="3" t="str">
        <f t="shared" si="2"/>
        <v xml:space="preserve">                                                  </v>
      </c>
      <c r="B174" s="20" t="s">
        <v>174</v>
      </c>
      <c r="C174" s="39"/>
      <c r="D174" s="39"/>
      <c r="E174" s="39"/>
      <c r="F174" s="39"/>
      <c r="G174" s="39"/>
      <c r="H174" s="39"/>
      <c r="I174" s="39"/>
      <c r="J174" s="39"/>
      <c r="K174" s="39"/>
      <c r="L174" s="39"/>
      <c r="M174" s="39"/>
      <c r="N174" s="39"/>
      <c r="O174" s="39"/>
      <c r="P174" s="39"/>
      <c r="Q174" s="39"/>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row>
    <row r="175" spans="1:52" ht="18" customHeight="1" x14ac:dyDescent="0.2">
      <c r="A175" s="3" t="str">
        <f t="shared" si="2"/>
        <v xml:space="preserve">                                                  </v>
      </c>
      <c r="B175" s="20" t="s">
        <v>174</v>
      </c>
      <c r="C175" s="39"/>
      <c r="D175" s="39"/>
      <c r="E175" s="39"/>
      <c r="F175" s="39"/>
      <c r="G175" s="39"/>
      <c r="H175" s="39"/>
      <c r="I175" s="39"/>
      <c r="J175" s="39"/>
      <c r="K175" s="39"/>
      <c r="L175" s="39"/>
      <c r="M175" s="39"/>
      <c r="N175" s="39"/>
      <c r="O175" s="39"/>
      <c r="P175" s="39"/>
      <c r="Q175" s="39"/>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row>
    <row r="176" spans="1:52" ht="18" customHeight="1" x14ac:dyDescent="0.2">
      <c r="A176" s="3" t="str">
        <f t="shared" si="2"/>
        <v xml:space="preserve">                                                  </v>
      </c>
      <c r="B176" s="20" t="s">
        <v>174</v>
      </c>
      <c r="C176" s="39"/>
      <c r="D176" s="39"/>
      <c r="E176" s="39"/>
      <c r="F176" s="41"/>
      <c r="G176" s="41"/>
      <c r="H176" s="41"/>
      <c r="I176" s="41"/>
      <c r="J176" s="41"/>
      <c r="K176" s="41"/>
      <c r="L176" s="41"/>
      <c r="M176" s="41"/>
      <c r="N176" s="41"/>
      <c r="O176" s="41"/>
      <c r="P176" s="41"/>
      <c r="Q176" s="41"/>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row>
    <row r="177" spans="1:52" ht="18" customHeight="1" x14ac:dyDescent="0.2">
      <c r="A177" s="3" t="str">
        <f t="shared" si="2"/>
        <v xml:space="preserve">                                                  </v>
      </c>
      <c r="B177" s="20" t="s">
        <v>174</v>
      </c>
      <c r="C177" s="39"/>
      <c r="D177" s="39"/>
      <c r="E177" s="39"/>
      <c r="F177" s="39"/>
      <c r="G177" s="39"/>
      <c r="H177" s="39"/>
      <c r="I177" s="39"/>
      <c r="J177" s="39"/>
      <c r="K177" s="39"/>
      <c r="L177" s="39"/>
      <c r="M177" s="39"/>
      <c r="N177" s="39"/>
      <c r="O177" s="39"/>
      <c r="P177" s="39"/>
      <c r="Q177" s="39"/>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row>
    <row r="178" spans="1:52" ht="18" customHeight="1" x14ac:dyDescent="0.2">
      <c r="A178" s="3" t="str">
        <f t="shared" si="2"/>
        <v xml:space="preserve">                                                  </v>
      </c>
      <c r="B178" s="20" t="s">
        <v>174</v>
      </c>
      <c r="C178" s="39"/>
      <c r="D178" s="39"/>
      <c r="E178" s="39"/>
      <c r="F178" s="37"/>
      <c r="G178" s="37"/>
      <c r="H178" s="37"/>
      <c r="I178" s="37"/>
      <c r="J178" s="37"/>
      <c r="K178" s="37"/>
      <c r="L178" s="37"/>
      <c r="M178" s="37"/>
      <c r="N178" s="37"/>
      <c r="O178" s="37"/>
      <c r="P178" s="37"/>
      <c r="Q178" s="37"/>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row>
    <row r="179" spans="1:52" ht="18" customHeight="1" x14ac:dyDescent="0.2">
      <c r="A179" s="3" t="str">
        <f t="shared" si="2"/>
        <v xml:space="preserve">                                                  </v>
      </c>
      <c r="B179" s="20" t="s">
        <v>174</v>
      </c>
      <c r="C179" s="39"/>
      <c r="D179" s="39"/>
      <c r="E179" s="39"/>
      <c r="F179" s="38"/>
      <c r="G179" s="39"/>
      <c r="H179" s="40"/>
      <c r="I179" s="39"/>
      <c r="J179" s="40"/>
      <c r="K179" s="40"/>
      <c r="L179" s="40"/>
      <c r="M179" s="39"/>
      <c r="N179" s="39"/>
      <c r="O179" s="39"/>
      <c r="P179" s="39"/>
      <c r="Q179" s="39"/>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row>
    <row r="180" spans="1:52" ht="18" customHeight="1" x14ac:dyDescent="0.2">
      <c r="A180" s="3" t="str">
        <f t="shared" si="2"/>
        <v xml:space="preserve">                                                  </v>
      </c>
      <c r="B180" s="20" t="s">
        <v>174</v>
      </c>
      <c r="C180" s="39"/>
      <c r="D180" s="39"/>
      <c r="E180" s="39"/>
      <c r="F180" s="38"/>
      <c r="G180" s="39"/>
      <c r="H180" s="40"/>
      <c r="I180" s="39"/>
      <c r="J180" s="40"/>
      <c r="K180" s="40"/>
      <c r="L180" s="40"/>
      <c r="M180" s="39"/>
      <c r="N180" s="39"/>
      <c r="O180" s="39"/>
      <c r="P180" s="39"/>
      <c r="Q180" s="39"/>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row>
    <row r="181" spans="1:52" ht="18" customHeight="1" x14ac:dyDescent="0.2">
      <c r="A181" s="3" t="str">
        <f t="shared" si="2"/>
        <v xml:space="preserve">                                                  </v>
      </c>
      <c r="B181" s="20" t="s">
        <v>174</v>
      </c>
      <c r="C181" s="39"/>
      <c r="D181" s="39"/>
      <c r="E181" s="39"/>
      <c r="F181" s="38"/>
      <c r="G181" s="39"/>
      <c r="H181" s="40"/>
      <c r="I181" s="39"/>
      <c r="J181" s="40"/>
      <c r="K181" s="40"/>
      <c r="L181" s="40"/>
      <c r="M181" s="39"/>
      <c r="N181" s="39"/>
      <c r="O181" s="39"/>
      <c r="P181" s="39"/>
      <c r="Q181" s="39"/>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row>
    <row r="182" spans="1:52" ht="18" customHeight="1" x14ac:dyDescent="0.2">
      <c r="A182" s="3" t="str">
        <f t="shared" si="2"/>
        <v xml:space="preserve">                                                  </v>
      </c>
      <c r="B182" s="20" t="s">
        <v>174</v>
      </c>
      <c r="C182" s="39"/>
      <c r="D182" s="39"/>
      <c r="E182" s="39"/>
      <c r="F182" s="38"/>
      <c r="G182" s="39"/>
      <c r="H182" s="40"/>
      <c r="I182" s="39"/>
      <c r="J182" s="40"/>
      <c r="K182" s="40"/>
      <c r="L182" s="40"/>
      <c r="M182" s="39"/>
      <c r="N182" s="39"/>
      <c r="O182" s="39"/>
      <c r="P182" s="39"/>
      <c r="Q182" s="39"/>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row>
    <row r="183" spans="1:52" ht="18" customHeight="1" x14ac:dyDescent="0.2">
      <c r="A183" s="3" t="str">
        <f t="shared" si="2"/>
        <v xml:space="preserve">                                                  </v>
      </c>
      <c r="B183" s="20" t="s">
        <v>174</v>
      </c>
      <c r="C183" s="39"/>
      <c r="D183" s="39"/>
      <c r="E183" s="39"/>
      <c r="F183" s="38"/>
      <c r="G183" s="39"/>
      <c r="H183" s="40"/>
      <c r="I183" s="39"/>
      <c r="J183" s="40"/>
      <c r="K183" s="40"/>
      <c r="L183" s="40"/>
      <c r="M183" s="39"/>
      <c r="N183" s="39"/>
      <c r="O183" s="39"/>
      <c r="P183" s="39"/>
      <c r="Q183" s="39"/>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row>
    <row r="184" spans="1:52" ht="18" customHeight="1" x14ac:dyDescent="0.2">
      <c r="A184" s="3" t="str">
        <f t="shared" si="2"/>
        <v xml:space="preserve">                                                  </v>
      </c>
      <c r="B184" s="20" t="s">
        <v>174</v>
      </c>
      <c r="C184" s="39"/>
      <c r="D184" s="39"/>
      <c r="E184" s="39"/>
      <c r="F184" s="39"/>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row>
    <row r="185" spans="1:52" ht="18" customHeight="1" x14ac:dyDescent="0.2">
      <c r="A185" s="3" t="str">
        <f t="shared" si="2"/>
        <v xml:space="preserve">                                                  </v>
      </c>
      <c r="B185" s="20" t="s">
        <v>174</v>
      </c>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row>
    <row r="186" spans="1:52" ht="18" customHeight="1" x14ac:dyDescent="0.2">
      <c r="A186" s="3" t="str">
        <f t="shared" si="2"/>
        <v xml:space="preserve">                                                  </v>
      </c>
      <c r="B186" s="20" t="s">
        <v>174</v>
      </c>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row>
    <row r="187" spans="1:52" ht="18" customHeight="1" x14ac:dyDescent="0.2">
      <c r="A187" s="3" t="str">
        <f t="shared" si="2"/>
        <v xml:space="preserve">                                                  </v>
      </c>
      <c r="B187" s="20" t="s">
        <v>174</v>
      </c>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row>
    <row r="188" spans="1:52" ht="18" customHeight="1" x14ac:dyDescent="0.2">
      <c r="A188" s="3" t="str">
        <f t="shared" si="2"/>
        <v xml:space="preserve">                                                  </v>
      </c>
      <c r="B188" s="20" t="s">
        <v>174</v>
      </c>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row>
    <row r="189" spans="1:52" ht="18" customHeight="1" x14ac:dyDescent="0.2">
      <c r="A189" s="3" t="str">
        <f t="shared" si="2"/>
        <v xml:space="preserve">                                                  </v>
      </c>
      <c r="B189" s="20" t="s">
        <v>174</v>
      </c>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row>
    <row r="190" spans="1:52" ht="18" customHeight="1" x14ac:dyDescent="0.2">
      <c r="A190" s="3" t="str">
        <f t="shared" si="2"/>
        <v xml:space="preserve">                                                  </v>
      </c>
      <c r="B190" s="20" t="s">
        <v>174</v>
      </c>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row>
    <row r="191" spans="1:52" ht="18" customHeight="1" x14ac:dyDescent="0.2">
      <c r="A191" s="3" t="str">
        <f t="shared" si="2"/>
        <v xml:space="preserve">                                                  </v>
      </c>
      <c r="B191" s="20" t="s">
        <v>174</v>
      </c>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row>
    <row r="192" spans="1:52" ht="18" customHeight="1" x14ac:dyDescent="0.2">
      <c r="A192" s="3" t="str">
        <f t="shared" si="2"/>
        <v xml:space="preserve">                                                  </v>
      </c>
      <c r="B192" s="20" t="s">
        <v>174</v>
      </c>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row>
    <row r="193" spans="1:52" ht="18" customHeight="1" x14ac:dyDescent="0.2">
      <c r="A193" s="3" t="str">
        <f t="shared" si="2"/>
        <v xml:space="preserve">                                                  </v>
      </c>
      <c r="B193" s="20" t="s">
        <v>174</v>
      </c>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row>
    <row r="194" spans="1:52" ht="18" customHeight="1" x14ac:dyDescent="0.2">
      <c r="A194" s="3" t="str">
        <f t="shared" si="2"/>
        <v xml:space="preserve">                                                  </v>
      </c>
      <c r="B194" s="20" t="s">
        <v>174</v>
      </c>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row>
    <row r="195" spans="1:52" ht="18" customHeight="1" x14ac:dyDescent="0.2">
      <c r="A195" s="3" t="str">
        <f t="shared" si="2"/>
        <v xml:space="preserve">                                                  </v>
      </c>
      <c r="B195" s="20" t="s">
        <v>174</v>
      </c>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row>
    <row r="196" spans="1:52" ht="18" customHeight="1" x14ac:dyDescent="0.2">
      <c r="A196" s="3" t="str">
        <f t="shared" ref="A196:A259" si="3">CONCATENATE(C196," ",D196," ",E196," ",F196," ",G196," ",H196," ",I196," ",J196," ",K196," ",L196," ",M196," ",N196," ",O196," ",P196," ",Q196," ",R196," ",S196," ",T196," ",U196," ",V196," ",W196," ",X196," ",Y196," ",Z196," ",AA196," ",AB196," ",AC196," ",AD196," ",AE196," ",AF196," ",AG196," ",AH196," ",AI196," ",AJ196," ",AK196," ",AL196," ",AM196," ",AN196," ",AO196," ",AP196," ",AQ196," ",AR196," ",AS196," ",AT196," ",AU196," ",AV196," ",AW196," ",AX196," ",AY196," ",AZ196," ",
)</f>
        <v xml:space="preserve">                                                  </v>
      </c>
      <c r="B196" s="20" t="s">
        <v>174</v>
      </c>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row>
    <row r="197" spans="1:52" ht="18" customHeight="1" x14ac:dyDescent="0.2">
      <c r="A197" s="3" t="str">
        <f t="shared" si="3"/>
        <v xml:space="preserve">                                                  </v>
      </c>
      <c r="B197" s="20" t="s">
        <v>174</v>
      </c>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row>
    <row r="198" spans="1:52" ht="18" customHeight="1" x14ac:dyDescent="0.2">
      <c r="A198" s="3" t="str">
        <f t="shared" si="3"/>
        <v xml:space="preserve">                                                  </v>
      </c>
      <c r="B198" s="20" t="s">
        <v>174</v>
      </c>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row>
    <row r="199" spans="1:52" ht="18" customHeight="1" x14ac:dyDescent="0.2">
      <c r="A199" s="3" t="str">
        <f t="shared" si="3"/>
        <v xml:space="preserve">                                                  </v>
      </c>
      <c r="B199" s="20" t="s">
        <v>174</v>
      </c>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row>
    <row r="200" spans="1:52" ht="18" customHeight="1" x14ac:dyDescent="0.2">
      <c r="A200" s="3" t="str">
        <f t="shared" si="3"/>
        <v xml:space="preserve">                                                  </v>
      </c>
      <c r="B200" s="20" t="s">
        <v>174</v>
      </c>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row>
    <row r="201" spans="1:52" ht="18" customHeight="1" x14ac:dyDescent="0.2">
      <c r="A201" s="3" t="str">
        <f t="shared" si="3"/>
        <v xml:space="preserve">                                                  </v>
      </c>
      <c r="B201" s="20" t="s">
        <v>174</v>
      </c>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row>
    <row r="202" spans="1:52" ht="18" customHeight="1" x14ac:dyDescent="0.2">
      <c r="A202" s="3" t="str">
        <f t="shared" si="3"/>
        <v xml:space="preserve">                                                  </v>
      </c>
      <c r="B202" s="20" t="s">
        <v>174</v>
      </c>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row>
    <row r="203" spans="1:52" ht="18" customHeight="1" x14ac:dyDescent="0.2">
      <c r="A203" s="3" t="str">
        <f t="shared" si="3"/>
        <v xml:space="preserve">                                                  </v>
      </c>
      <c r="B203" s="20" t="s">
        <v>174</v>
      </c>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row>
    <row r="204" spans="1:52" ht="18" customHeight="1" x14ac:dyDescent="0.2">
      <c r="A204" s="3" t="str">
        <f t="shared" si="3"/>
        <v xml:space="preserve">                                                  </v>
      </c>
      <c r="B204" s="20" t="s">
        <v>174</v>
      </c>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row>
    <row r="205" spans="1:52" ht="18" customHeight="1" x14ac:dyDescent="0.2">
      <c r="A205" s="3" t="str">
        <f t="shared" si="3"/>
        <v xml:space="preserve">                                                  </v>
      </c>
      <c r="B205" s="20" t="s">
        <v>174</v>
      </c>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row>
    <row r="206" spans="1:52" ht="18" customHeight="1" x14ac:dyDescent="0.2">
      <c r="A206" s="3" t="str">
        <f t="shared" si="3"/>
        <v xml:space="preserve">                                                  </v>
      </c>
      <c r="B206" s="20" t="s">
        <v>174</v>
      </c>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row>
    <row r="207" spans="1:52" ht="18" customHeight="1" x14ac:dyDescent="0.2">
      <c r="A207" s="3" t="str">
        <f t="shared" si="3"/>
        <v xml:space="preserve">                                                  </v>
      </c>
      <c r="B207" s="20" t="s">
        <v>174</v>
      </c>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row>
    <row r="208" spans="1:52" ht="18" customHeight="1" x14ac:dyDescent="0.2">
      <c r="A208" s="3" t="str">
        <f t="shared" si="3"/>
        <v xml:space="preserve">                                                  </v>
      </c>
      <c r="B208" s="20" t="s">
        <v>174</v>
      </c>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row>
    <row r="209" spans="1:52" ht="18" customHeight="1" x14ac:dyDescent="0.2">
      <c r="A209" s="3" t="str">
        <f t="shared" si="3"/>
        <v xml:space="preserve">                                                  </v>
      </c>
      <c r="B209" s="20" t="s">
        <v>174</v>
      </c>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row>
    <row r="210" spans="1:52" ht="18" customHeight="1" x14ac:dyDescent="0.2">
      <c r="A210" s="3" t="str">
        <f t="shared" si="3"/>
        <v xml:space="preserve">                                                  </v>
      </c>
      <c r="B210" s="20" t="s">
        <v>174</v>
      </c>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row>
    <row r="211" spans="1:52" ht="18" customHeight="1" x14ac:dyDescent="0.2">
      <c r="A211" s="3" t="str">
        <f t="shared" si="3"/>
        <v xml:space="preserve">                                                  </v>
      </c>
      <c r="B211" s="20" t="s">
        <v>174</v>
      </c>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row>
    <row r="212" spans="1:52" ht="18" customHeight="1" x14ac:dyDescent="0.2">
      <c r="A212" s="3" t="str">
        <f t="shared" si="3"/>
        <v xml:space="preserve">                                                  </v>
      </c>
      <c r="B212" s="20" t="s">
        <v>174</v>
      </c>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row>
    <row r="213" spans="1:52" ht="18" customHeight="1" x14ac:dyDescent="0.2">
      <c r="A213" s="3" t="str">
        <f t="shared" si="3"/>
        <v xml:space="preserve">                                                  </v>
      </c>
      <c r="B213" s="20" t="s">
        <v>174</v>
      </c>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row>
    <row r="214" spans="1:52" ht="18" customHeight="1" x14ac:dyDescent="0.2">
      <c r="A214" s="3" t="str">
        <f t="shared" si="3"/>
        <v xml:space="preserve">                                                  </v>
      </c>
      <c r="B214" s="20" t="s">
        <v>174</v>
      </c>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row>
    <row r="215" spans="1:52" ht="18" customHeight="1" x14ac:dyDescent="0.2">
      <c r="A215" s="3" t="str">
        <f t="shared" si="3"/>
        <v xml:space="preserve">                                                  </v>
      </c>
      <c r="B215" s="20" t="s">
        <v>174</v>
      </c>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row>
    <row r="216" spans="1:52" ht="18" customHeight="1" x14ac:dyDescent="0.2">
      <c r="A216" s="3" t="str">
        <f t="shared" si="3"/>
        <v xml:space="preserve">                                                  </v>
      </c>
      <c r="B216" s="20" t="s">
        <v>174</v>
      </c>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row>
    <row r="217" spans="1:52" ht="18" customHeight="1" x14ac:dyDescent="0.2">
      <c r="A217" s="3" t="str">
        <f t="shared" si="3"/>
        <v xml:space="preserve">                                                  </v>
      </c>
      <c r="B217" s="20" t="s">
        <v>174</v>
      </c>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row>
    <row r="218" spans="1:52" ht="18" customHeight="1" x14ac:dyDescent="0.2">
      <c r="A218" s="3" t="str">
        <f t="shared" si="3"/>
        <v xml:space="preserve">                                                  </v>
      </c>
      <c r="B218" s="20" t="s">
        <v>174</v>
      </c>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row>
    <row r="219" spans="1:52" ht="18" customHeight="1" x14ac:dyDescent="0.2">
      <c r="A219" s="3" t="str">
        <f t="shared" si="3"/>
        <v xml:space="preserve">                                                  </v>
      </c>
      <c r="B219" s="20" t="s">
        <v>174</v>
      </c>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row>
    <row r="220" spans="1:52" ht="18" customHeight="1" x14ac:dyDescent="0.2">
      <c r="A220" s="3" t="str">
        <f t="shared" si="3"/>
        <v xml:space="preserve">                                                  </v>
      </c>
      <c r="B220" s="20" t="s">
        <v>174</v>
      </c>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row>
    <row r="221" spans="1:52" ht="18" customHeight="1" x14ac:dyDescent="0.2">
      <c r="A221" s="3" t="str">
        <f t="shared" si="3"/>
        <v xml:space="preserve">                                                  </v>
      </c>
      <c r="B221" s="20" t="s">
        <v>174</v>
      </c>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row>
    <row r="222" spans="1:52" ht="18" customHeight="1" x14ac:dyDescent="0.2">
      <c r="A222" s="3" t="str">
        <f t="shared" si="3"/>
        <v xml:space="preserve">                                                  </v>
      </c>
      <c r="B222" s="20" t="s">
        <v>174</v>
      </c>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row>
    <row r="223" spans="1:52" ht="18" customHeight="1" x14ac:dyDescent="0.2">
      <c r="A223" s="3" t="str">
        <f t="shared" si="3"/>
        <v xml:space="preserve">                                                  </v>
      </c>
      <c r="B223" s="20" t="s">
        <v>174</v>
      </c>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row>
    <row r="224" spans="1:52" ht="18" customHeight="1" x14ac:dyDescent="0.2">
      <c r="A224" s="3" t="str">
        <f t="shared" si="3"/>
        <v xml:space="preserve">                                                  </v>
      </c>
      <c r="B224" s="20" t="s">
        <v>174</v>
      </c>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row>
    <row r="225" spans="1:52" ht="18" customHeight="1" x14ac:dyDescent="0.2">
      <c r="A225" s="3" t="str">
        <f t="shared" si="3"/>
        <v xml:space="preserve">                                                  </v>
      </c>
      <c r="B225" s="20" t="s">
        <v>174</v>
      </c>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row>
    <row r="226" spans="1:52" ht="18" customHeight="1" x14ac:dyDescent="0.2">
      <c r="A226" s="3" t="str">
        <f t="shared" si="3"/>
        <v xml:space="preserve">                                                  </v>
      </c>
      <c r="B226" s="20" t="s">
        <v>174</v>
      </c>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row>
    <row r="227" spans="1:52" ht="18" customHeight="1" x14ac:dyDescent="0.2">
      <c r="A227" s="3" t="str">
        <f t="shared" si="3"/>
        <v xml:space="preserve">                                                  </v>
      </c>
      <c r="B227" s="20" t="s">
        <v>174</v>
      </c>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row>
    <row r="228" spans="1:52" ht="18" customHeight="1" x14ac:dyDescent="0.2">
      <c r="A228" s="3" t="str">
        <f t="shared" si="3"/>
        <v xml:space="preserve">                                                  </v>
      </c>
      <c r="B228" s="20" t="s">
        <v>174</v>
      </c>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row>
    <row r="229" spans="1:52" ht="18" customHeight="1" x14ac:dyDescent="0.2">
      <c r="A229" s="3" t="str">
        <f t="shared" si="3"/>
        <v xml:space="preserve">                                                  </v>
      </c>
      <c r="B229" s="20" t="s">
        <v>174</v>
      </c>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row>
    <row r="230" spans="1:52" ht="18" customHeight="1" x14ac:dyDescent="0.2">
      <c r="A230" s="3" t="str">
        <f t="shared" si="3"/>
        <v xml:space="preserve">                                                  </v>
      </c>
      <c r="B230" s="20" t="s">
        <v>174</v>
      </c>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row>
    <row r="231" spans="1:52" ht="18" customHeight="1" x14ac:dyDescent="0.2">
      <c r="A231" s="3" t="str">
        <f t="shared" si="3"/>
        <v xml:space="preserve">                                                  </v>
      </c>
      <c r="B231" s="20" t="s">
        <v>174</v>
      </c>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row>
    <row r="232" spans="1:52" ht="18" customHeight="1" x14ac:dyDescent="0.2">
      <c r="A232" s="3" t="str">
        <f t="shared" si="3"/>
        <v xml:space="preserve">                                                  </v>
      </c>
      <c r="B232" s="20" t="s">
        <v>174</v>
      </c>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row>
    <row r="233" spans="1:52" ht="18" customHeight="1" x14ac:dyDescent="0.2">
      <c r="A233" s="3" t="str">
        <f t="shared" si="3"/>
        <v xml:space="preserve">                                                  </v>
      </c>
      <c r="B233" s="20" t="s">
        <v>174</v>
      </c>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row>
    <row r="234" spans="1:52" ht="18" customHeight="1" x14ac:dyDescent="0.2">
      <c r="A234" s="3" t="str">
        <f t="shared" si="3"/>
        <v xml:space="preserve">                                                  </v>
      </c>
      <c r="B234" s="20" t="s">
        <v>174</v>
      </c>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row>
    <row r="235" spans="1:52" ht="18" customHeight="1" x14ac:dyDescent="0.2">
      <c r="A235" s="3" t="str">
        <f t="shared" si="3"/>
        <v xml:space="preserve">                                                  </v>
      </c>
      <c r="B235" s="20" t="s">
        <v>174</v>
      </c>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row>
    <row r="236" spans="1:52" ht="18" customHeight="1" x14ac:dyDescent="0.2">
      <c r="A236" s="3" t="str">
        <f t="shared" si="3"/>
        <v xml:space="preserve">                                                  </v>
      </c>
      <c r="B236" s="20" t="s">
        <v>174</v>
      </c>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row>
    <row r="237" spans="1:52" ht="18" customHeight="1" x14ac:dyDescent="0.2">
      <c r="A237" s="3" t="str">
        <f t="shared" si="3"/>
        <v xml:space="preserve">                                                  </v>
      </c>
      <c r="B237" s="20" t="s">
        <v>174</v>
      </c>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row>
    <row r="238" spans="1:52" ht="18" customHeight="1" x14ac:dyDescent="0.2">
      <c r="A238" s="3" t="str">
        <f t="shared" si="3"/>
        <v xml:space="preserve">                                                  </v>
      </c>
      <c r="B238" s="20" t="s">
        <v>174</v>
      </c>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row>
    <row r="239" spans="1:52" ht="18" customHeight="1" x14ac:dyDescent="0.2">
      <c r="A239" s="3" t="str">
        <f t="shared" si="3"/>
        <v xml:space="preserve">                                                  </v>
      </c>
      <c r="B239" s="20" t="s">
        <v>174</v>
      </c>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row>
    <row r="240" spans="1:52" ht="18" customHeight="1" x14ac:dyDescent="0.2">
      <c r="A240" s="3" t="str">
        <f t="shared" si="3"/>
        <v xml:space="preserve">                                                  </v>
      </c>
      <c r="B240" s="20" t="s">
        <v>174</v>
      </c>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row>
    <row r="241" spans="1:52" ht="18" customHeight="1" x14ac:dyDescent="0.2">
      <c r="A241" s="3" t="str">
        <f t="shared" si="3"/>
        <v xml:space="preserve">                                                  </v>
      </c>
      <c r="B241" s="20" t="s">
        <v>174</v>
      </c>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row>
    <row r="242" spans="1:52" ht="18" customHeight="1" x14ac:dyDescent="0.2">
      <c r="A242" s="3" t="str">
        <f t="shared" si="3"/>
        <v xml:space="preserve">                                                  </v>
      </c>
      <c r="B242" s="20" t="s">
        <v>174</v>
      </c>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row>
    <row r="243" spans="1:52" ht="18" customHeight="1" x14ac:dyDescent="0.2">
      <c r="A243" s="3" t="str">
        <f t="shared" si="3"/>
        <v xml:space="preserve">                                                  </v>
      </c>
      <c r="B243" s="20" t="s">
        <v>174</v>
      </c>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row>
    <row r="244" spans="1:52" ht="18" customHeight="1" x14ac:dyDescent="0.2">
      <c r="A244" s="3" t="str">
        <f t="shared" si="3"/>
        <v xml:space="preserve">                                                  </v>
      </c>
      <c r="B244" s="20" t="s">
        <v>174</v>
      </c>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row>
    <row r="245" spans="1:52" ht="18" customHeight="1" x14ac:dyDescent="0.2">
      <c r="A245" s="3" t="str">
        <f t="shared" si="3"/>
        <v xml:space="preserve">                                                  </v>
      </c>
      <c r="B245" s="20" t="s">
        <v>174</v>
      </c>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row>
    <row r="246" spans="1:52" ht="18" customHeight="1" x14ac:dyDescent="0.2">
      <c r="A246" s="3" t="str">
        <f t="shared" si="3"/>
        <v xml:space="preserve">                                                  </v>
      </c>
      <c r="B246" s="20" t="s">
        <v>174</v>
      </c>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row>
    <row r="247" spans="1:52" ht="18" customHeight="1" x14ac:dyDescent="0.2">
      <c r="A247" s="3" t="str">
        <f t="shared" si="3"/>
        <v xml:space="preserve">                                                  </v>
      </c>
      <c r="B247" s="20" t="s">
        <v>174</v>
      </c>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row>
    <row r="248" spans="1:52" ht="18" customHeight="1" x14ac:dyDescent="0.2">
      <c r="A248" s="3" t="str">
        <f t="shared" si="3"/>
        <v xml:space="preserve">                                                  </v>
      </c>
      <c r="B248" s="20" t="s">
        <v>174</v>
      </c>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row>
    <row r="249" spans="1:52" ht="18" customHeight="1" x14ac:dyDescent="0.2">
      <c r="A249" s="3" t="str">
        <f t="shared" si="3"/>
        <v xml:space="preserve">                                                  </v>
      </c>
      <c r="B249" s="20" t="s">
        <v>174</v>
      </c>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row>
    <row r="250" spans="1:52" ht="18" customHeight="1" x14ac:dyDescent="0.2">
      <c r="A250" s="3" t="str">
        <f t="shared" si="3"/>
        <v xml:space="preserve">                                                  </v>
      </c>
      <c r="B250" s="20" t="s">
        <v>174</v>
      </c>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row>
    <row r="251" spans="1:52" ht="18" customHeight="1" x14ac:dyDescent="0.2">
      <c r="A251" s="3" t="str">
        <f t="shared" si="3"/>
        <v xml:space="preserve">                                                  </v>
      </c>
      <c r="B251" s="20" t="s">
        <v>174</v>
      </c>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row>
    <row r="252" spans="1:52" ht="18" customHeight="1" x14ac:dyDescent="0.2">
      <c r="A252" s="3" t="str">
        <f t="shared" si="3"/>
        <v xml:space="preserve">                                                  </v>
      </c>
      <c r="B252" s="20" t="s">
        <v>174</v>
      </c>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row>
    <row r="253" spans="1:52" ht="18" customHeight="1" x14ac:dyDescent="0.2">
      <c r="A253" s="3" t="str">
        <f t="shared" si="3"/>
        <v xml:space="preserve">                                                  </v>
      </c>
      <c r="B253" s="20" t="s">
        <v>174</v>
      </c>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row>
    <row r="254" spans="1:52" ht="18" customHeight="1" x14ac:dyDescent="0.2">
      <c r="A254" s="3" t="str">
        <f t="shared" si="3"/>
        <v xml:space="preserve">                                                  </v>
      </c>
      <c r="B254" s="20" t="s">
        <v>174</v>
      </c>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row>
    <row r="255" spans="1:52" ht="18" customHeight="1" x14ac:dyDescent="0.2">
      <c r="A255" s="3" t="str">
        <f t="shared" si="3"/>
        <v xml:space="preserve">                                                  </v>
      </c>
      <c r="B255" s="20" t="s">
        <v>174</v>
      </c>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row>
    <row r="256" spans="1:52" ht="18" customHeight="1" x14ac:dyDescent="0.2">
      <c r="A256" s="3" t="str">
        <f t="shared" si="3"/>
        <v xml:space="preserve">                                                  </v>
      </c>
      <c r="B256" s="20" t="s">
        <v>174</v>
      </c>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row>
    <row r="257" spans="1:52" ht="18" customHeight="1" x14ac:dyDescent="0.2">
      <c r="A257" s="3" t="str">
        <f t="shared" si="3"/>
        <v xml:space="preserve">                                                  </v>
      </c>
      <c r="B257" s="20" t="s">
        <v>174</v>
      </c>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row>
    <row r="258" spans="1:52" ht="18" customHeight="1" x14ac:dyDescent="0.2">
      <c r="A258" s="3" t="str">
        <f t="shared" si="3"/>
        <v xml:space="preserve">                                                  </v>
      </c>
      <c r="B258" s="20" t="s">
        <v>174</v>
      </c>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row>
    <row r="259" spans="1:52" ht="18" customHeight="1" x14ac:dyDescent="0.2">
      <c r="A259" s="3" t="str">
        <f t="shared" si="3"/>
        <v xml:space="preserve">                                                  </v>
      </c>
      <c r="B259" s="20" t="s">
        <v>174</v>
      </c>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row>
    <row r="260" spans="1:52" ht="18" customHeight="1" x14ac:dyDescent="0.2">
      <c r="A260" s="3" t="str">
        <f t="shared" ref="A260:A323" si="4">CONCATENATE(C260," ",D260," ",E260," ",F260," ",G260," ",H260," ",I260," ",J260," ",K260," ",L260," ",M260," ",N260," ",O260," ",P260," ",Q260," ",R260," ",S260," ",T260," ",U260," ",V260," ",W260," ",X260," ",Y260," ",Z260," ",AA260," ",AB260," ",AC260," ",AD260," ",AE260," ",AF260," ",AG260," ",AH260," ",AI260," ",AJ260," ",AK260," ",AL260," ",AM260," ",AN260," ",AO260," ",AP260," ",AQ260," ",AR260," ",AS260," ",AT260," ",AU260," ",AV260," ",AW260," ",AX260," ",AY260," ",AZ260," ",
)</f>
        <v xml:space="preserve">                                                  </v>
      </c>
      <c r="B260" s="20" t="s">
        <v>174</v>
      </c>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row>
    <row r="261" spans="1:52" ht="18" customHeight="1" x14ac:dyDescent="0.2">
      <c r="A261" s="3" t="str">
        <f t="shared" si="4"/>
        <v xml:space="preserve">                                                  </v>
      </c>
      <c r="B261" s="20" t="s">
        <v>174</v>
      </c>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row>
    <row r="262" spans="1:52" ht="18" customHeight="1" x14ac:dyDescent="0.2">
      <c r="A262" s="3" t="str">
        <f t="shared" si="4"/>
        <v xml:space="preserve">                                                  </v>
      </c>
      <c r="B262" s="20" t="s">
        <v>174</v>
      </c>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row>
    <row r="263" spans="1:52" ht="18" customHeight="1" x14ac:dyDescent="0.2">
      <c r="A263" s="3" t="str">
        <f t="shared" si="4"/>
        <v xml:space="preserve">                                                  </v>
      </c>
      <c r="B263" s="20" t="s">
        <v>174</v>
      </c>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row>
    <row r="264" spans="1:52" ht="18" customHeight="1" x14ac:dyDescent="0.2">
      <c r="A264" s="3" t="str">
        <f t="shared" si="4"/>
        <v xml:space="preserve">                                                  </v>
      </c>
      <c r="B264" s="20" t="s">
        <v>174</v>
      </c>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row>
    <row r="265" spans="1:52" ht="18" customHeight="1" x14ac:dyDescent="0.2">
      <c r="A265" s="3" t="str">
        <f t="shared" si="4"/>
        <v xml:space="preserve">                                                  </v>
      </c>
      <c r="B265" s="20" t="s">
        <v>174</v>
      </c>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row>
    <row r="266" spans="1:52" ht="18" customHeight="1" x14ac:dyDescent="0.2">
      <c r="A266" s="3" t="str">
        <f t="shared" si="4"/>
        <v xml:space="preserve">                                                  </v>
      </c>
      <c r="B266" s="20" t="s">
        <v>174</v>
      </c>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row>
    <row r="267" spans="1:52" ht="18" customHeight="1" x14ac:dyDescent="0.2">
      <c r="A267" s="3" t="str">
        <f t="shared" si="4"/>
        <v xml:space="preserve">                                                  </v>
      </c>
      <c r="B267" s="20" t="s">
        <v>174</v>
      </c>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row>
    <row r="268" spans="1:52" ht="18" customHeight="1" x14ac:dyDescent="0.2">
      <c r="A268" s="3" t="str">
        <f t="shared" si="4"/>
        <v xml:space="preserve">                                                  </v>
      </c>
      <c r="B268" s="20" t="s">
        <v>174</v>
      </c>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row>
    <row r="269" spans="1:52" ht="18" customHeight="1" x14ac:dyDescent="0.2">
      <c r="A269" s="3" t="str">
        <f t="shared" si="4"/>
        <v xml:space="preserve">                                                  </v>
      </c>
      <c r="B269" s="20" t="s">
        <v>174</v>
      </c>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row>
    <row r="270" spans="1:52" ht="18" customHeight="1" x14ac:dyDescent="0.2">
      <c r="A270" s="3" t="str">
        <f t="shared" si="4"/>
        <v xml:space="preserve">                                                  </v>
      </c>
      <c r="B270" s="20" t="s">
        <v>174</v>
      </c>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row>
    <row r="271" spans="1:52" ht="18" customHeight="1" x14ac:dyDescent="0.2">
      <c r="A271" s="3" t="str">
        <f t="shared" si="4"/>
        <v xml:space="preserve">                                                  </v>
      </c>
      <c r="B271" s="20" t="s">
        <v>174</v>
      </c>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row>
    <row r="272" spans="1:52" ht="18" customHeight="1" x14ac:dyDescent="0.2">
      <c r="A272" s="3" t="str">
        <f t="shared" si="4"/>
        <v xml:space="preserve">                                                  </v>
      </c>
      <c r="B272" s="20" t="s">
        <v>174</v>
      </c>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row>
    <row r="273" spans="1:52" ht="18" customHeight="1" x14ac:dyDescent="0.2">
      <c r="A273" s="3" t="str">
        <f t="shared" si="4"/>
        <v xml:space="preserve">                                                  </v>
      </c>
      <c r="B273" s="20" t="s">
        <v>174</v>
      </c>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row>
    <row r="274" spans="1:52" ht="18" customHeight="1" x14ac:dyDescent="0.2">
      <c r="A274" s="3" t="str">
        <f t="shared" si="4"/>
        <v xml:space="preserve">                                                  </v>
      </c>
      <c r="B274" s="20" t="s">
        <v>174</v>
      </c>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row>
    <row r="275" spans="1:52" ht="18" customHeight="1" x14ac:dyDescent="0.2">
      <c r="A275" s="3" t="str">
        <f t="shared" si="4"/>
        <v xml:space="preserve">                                                  </v>
      </c>
      <c r="B275" s="20" t="s">
        <v>174</v>
      </c>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row>
    <row r="276" spans="1:52" ht="18" customHeight="1" x14ac:dyDescent="0.2">
      <c r="A276" s="3" t="str">
        <f t="shared" si="4"/>
        <v xml:space="preserve">                                                  </v>
      </c>
      <c r="B276" s="20" t="s">
        <v>174</v>
      </c>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row>
    <row r="277" spans="1:52" ht="18" customHeight="1" x14ac:dyDescent="0.2">
      <c r="A277" s="3" t="str">
        <f t="shared" si="4"/>
        <v xml:space="preserve">                                                  </v>
      </c>
      <c r="B277" s="20" t="s">
        <v>174</v>
      </c>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row>
    <row r="278" spans="1:52" ht="18" customHeight="1" x14ac:dyDescent="0.2">
      <c r="A278" s="3" t="str">
        <f t="shared" si="4"/>
        <v xml:space="preserve">                                                  </v>
      </c>
      <c r="B278" s="20" t="s">
        <v>174</v>
      </c>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row>
    <row r="279" spans="1:52" ht="18" customHeight="1" x14ac:dyDescent="0.2">
      <c r="A279" s="3" t="str">
        <f t="shared" si="4"/>
        <v xml:space="preserve">                                                  </v>
      </c>
      <c r="B279" s="20" t="s">
        <v>174</v>
      </c>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row>
    <row r="280" spans="1:52" ht="18" customHeight="1" x14ac:dyDescent="0.2">
      <c r="A280" s="3" t="str">
        <f t="shared" si="4"/>
        <v xml:space="preserve">                                                  </v>
      </c>
      <c r="B280" s="20" t="s">
        <v>174</v>
      </c>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row>
    <row r="281" spans="1:52" ht="18" customHeight="1" x14ac:dyDescent="0.2">
      <c r="A281" s="3" t="str">
        <f t="shared" si="4"/>
        <v xml:space="preserve">                                                  </v>
      </c>
      <c r="B281" s="20" t="s">
        <v>174</v>
      </c>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row>
    <row r="282" spans="1:52" ht="18" customHeight="1" x14ac:dyDescent="0.2">
      <c r="A282" s="3" t="str">
        <f t="shared" si="4"/>
        <v xml:space="preserve">                                                  </v>
      </c>
      <c r="B282" s="20" t="s">
        <v>174</v>
      </c>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row>
    <row r="283" spans="1:52" ht="18" customHeight="1" x14ac:dyDescent="0.2">
      <c r="A283" s="3" t="str">
        <f t="shared" si="4"/>
        <v xml:space="preserve">                                                  </v>
      </c>
      <c r="B283" s="20" t="s">
        <v>174</v>
      </c>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row>
    <row r="284" spans="1:52" ht="18" customHeight="1" x14ac:dyDescent="0.2">
      <c r="A284" s="3" t="str">
        <f t="shared" si="4"/>
        <v xml:space="preserve">                                                  </v>
      </c>
      <c r="B284" s="20" t="s">
        <v>174</v>
      </c>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row>
    <row r="285" spans="1:52" ht="18" customHeight="1" x14ac:dyDescent="0.2">
      <c r="A285" s="3" t="str">
        <f t="shared" si="4"/>
        <v xml:space="preserve">                                                  </v>
      </c>
      <c r="B285" s="20" t="s">
        <v>174</v>
      </c>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row>
    <row r="286" spans="1:52" ht="18" customHeight="1" x14ac:dyDescent="0.2">
      <c r="A286" s="3" t="str">
        <f t="shared" si="4"/>
        <v xml:space="preserve">                                                  </v>
      </c>
      <c r="B286" s="20" t="s">
        <v>174</v>
      </c>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row>
    <row r="287" spans="1:52" ht="18" customHeight="1" x14ac:dyDescent="0.2">
      <c r="A287" s="3" t="str">
        <f t="shared" si="4"/>
        <v xml:space="preserve">                                                  </v>
      </c>
      <c r="B287" s="20" t="s">
        <v>174</v>
      </c>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row>
    <row r="288" spans="1:52" ht="18" customHeight="1" x14ac:dyDescent="0.2">
      <c r="A288" s="3" t="str">
        <f t="shared" si="4"/>
        <v xml:space="preserve">                                                  </v>
      </c>
      <c r="B288" s="20" t="s">
        <v>174</v>
      </c>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row>
    <row r="289" spans="1:52" ht="18" customHeight="1" x14ac:dyDescent="0.2">
      <c r="A289" s="3" t="str">
        <f t="shared" si="4"/>
        <v xml:space="preserve">                                                  </v>
      </c>
      <c r="B289" s="20" t="s">
        <v>174</v>
      </c>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row>
    <row r="290" spans="1:52" ht="18" customHeight="1" x14ac:dyDescent="0.2">
      <c r="A290" s="3" t="str">
        <f t="shared" si="4"/>
        <v xml:space="preserve">                                                  </v>
      </c>
      <c r="B290" s="20" t="s">
        <v>174</v>
      </c>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row>
    <row r="291" spans="1:52" ht="18" customHeight="1" x14ac:dyDescent="0.2">
      <c r="A291" s="3" t="str">
        <f t="shared" si="4"/>
        <v xml:space="preserve">                                                  </v>
      </c>
      <c r="B291" s="20" t="s">
        <v>174</v>
      </c>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row>
    <row r="292" spans="1:52" ht="18" customHeight="1" x14ac:dyDescent="0.2">
      <c r="A292" s="3" t="str">
        <f t="shared" si="4"/>
        <v xml:space="preserve">                                                  </v>
      </c>
      <c r="B292" s="20" t="s">
        <v>174</v>
      </c>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row>
    <row r="293" spans="1:52" ht="18" customHeight="1" x14ac:dyDescent="0.2">
      <c r="A293" s="3" t="str">
        <f t="shared" si="4"/>
        <v xml:space="preserve">                                                  </v>
      </c>
      <c r="B293" s="20" t="s">
        <v>174</v>
      </c>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row>
    <row r="294" spans="1:52" ht="18" customHeight="1" x14ac:dyDescent="0.2">
      <c r="A294" s="3" t="str">
        <f t="shared" si="4"/>
        <v xml:space="preserve">                                                  </v>
      </c>
      <c r="B294" s="20" t="s">
        <v>174</v>
      </c>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row>
    <row r="295" spans="1:52" ht="18" customHeight="1" x14ac:dyDescent="0.2">
      <c r="A295" s="3" t="str">
        <f t="shared" si="4"/>
        <v xml:space="preserve">                                                  </v>
      </c>
      <c r="B295" s="20" t="s">
        <v>174</v>
      </c>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row>
    <row r="296" spans="1:52" ht="18" customHeight="1" x14ac:dyDescent="0.2">
      <c r="A296" s="3" t="str">
        <f t="shared" si="4"/>
        <v xml:space="preserve">                                                  </v>
      </c>
      <c r="B296" s="20" t="s">
        <v>174</v>
      </c>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row>
    <row r="297" spans="1:52" ht="18" customHeight="1" x14ac:dyDescent="0.2">
      <c r="A297" s="3" t="str">
        <f t="shared" si="4"/>
        <v xml:space="preserve">                                                  </v>
      </c>
      <c r="B297" s="20" t="s">
        <v>174</v>
      </c>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row>
    <row r="298" spans="1:52" ht="18" customHeight="1" x14ac:dyDescent="0.2">
      <c r="A298" s="3" t="str">
        <f t="shared" si="4"/>
        <v xml:space="preserve">                                                  </v>
      </c>
      <c r="B298" s="20" t="s">
        <v>174</v>
      </c>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row>
    <row r="299" spans="1:52" ht="18" customHeight="1" x14ac:dyDescent="0.2">
      <c r="A299" s="3" t="str">
        <f t="shared" si="4"/>
        <v xml:space="preserve">                                                  </v>
      </c>
      <c r="B299" s="20" t="s">
        <v>174</v>
      </c>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row>
    <row r="300" spans="1:52" ht="18" customHeight="1" x14ac:dyDescent="0.2">
      <c r="A300" s="3" t="str">
        <f t="shared" si="4"/>
        <v xml:space="preserve">                                                  </v>
      </c>
      <c r="B300" s="20" t="s">
        <v>174</v>
      </c>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row>
    <row r="301" spans="1:52" ht="18" customHeight="1" x14ac:dyDescent="0.2">
      <c r="A301" s="3" t="str">
        <f t="shared" si="4"/>
        <v xml:space="preserve">                                                  </v>
      </c>
      <c r="B301" s="20" t="s">
        <v>174</v>
      </c>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row>
    <row r="302" spans="1:52" ht="18" customHeight="1" x14ac:dyDescent="0.2">
      <c r="A302" s="3" t="str">
        <f t="shared" si="4"/>
        <v xml:space="preserve">                                                  </v>
      </c>
      <c r="B302" s="20" t="s">
        <v>174</v>
      </c>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row>
    <row r="303" spans="1:52" ht="18" customHeight="1" x14ac:dyDescent="0.2">
      <c r="A303" s="3" t="str">
        <f t="shared" si="4"/>
        <v xml:space="preserve">                                                  </v>
      </c>
      <c r="B303" s="20" t="s">
        <v>174</v>
      </c>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row>
    <row r="304" spans="1:52" ht="18" customHeight="1" x14ac:dyDescent="0.2">
      <c r="A304" s="3" t="str">
        <f t="shared" si="4"/>
        <v xml:space="preserve">                                                  </v>
      </c>
      <c r="B304" s="20" t="s">
        <v>174</v>
      </c>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row>
    <row r="305" spans="1:52" ht="18" customHeight="1" x14ac:dyDescent="0.2">
      <c r="A305" s="3" t="str">
        <f t="shared" si="4"/>
        <v xml:space="preserve">                                                  </v>
      </c>
      <c r="B305" s="20" t="s">
        <v>174</v>
      </c>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row>
    <row r="306" spans="1:52" ht="18" customHeight="1" x14ac:dyDescent="0.2">
      <c r="A306" s="3" t="str">
        <f t="shared" si="4"/>
        <v xml:space="preserve">                                                  </v>
      </c>
      <c r="B306" s="20" t="s">
        <v>174</v>
      </c>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row>
    <row r="307" spans="1:52" ht="18" customHeight="1" x14ac:dyDescent="0.2">
      <c r="A307" s="3" t="str">
        <f t="shared" si="4"/>
        <v xml:space="preserve">                                                  </v>
      </c>
      <c r="B307" s="20" t="s">
        <v>174</v>
      </c>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row>
    <row r="308" spans="1:52" ht="18" customHeight="1" x14ac:dyDescent="0.2">
      <c r="A308" s="3" t="str">
        <f t="shared" si="4"/>
        <v xml:space="preserve">                                                  </v>
      </c>
      <c r="B308" s="20" t="s">
        <v>174</v>
      </c>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row>
    <row r="309" spans="1:52" ht="18" customHeight="1" x14ac:dyDescent="0.2">
      <c r="A309" s="3" t="str">
        <f t="shared" si="4"/>
        <v xml:space="preserve">                                                  </v>
      </c>
      <c r="B309" s="20" t="s">
        <v>174</v>
      </c>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row>
    <row r="310" spans="1:52" ht="18" customHeight="1" x14ac:dyDescent="0.2">
      <c r="A310" s="3" t="str">
        <f t="shared" si="4"/>
        <v xml:space="preserve">                                                  </v>
      </c>
      <c r="B310" s="20" t="s">
        <v>174</v>
      </c>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row>
    <row r="311" spans="1:52" ht="18" customHeight="1" x14ac:dyDescent="0.2">
      <c r="A311" s="3" t="str">
        <f t="shared" si="4"/>
        <v xml:space="preserve">                                                  </v>
      </c>
      <c r="B311" s="20" t="s">
        <v>174</v>
      </c>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row>
    <row r="312" spans="1:52" ht="18" customHeight="1" x14ac:dyDescent="0.2">
      <c r="A312" s="3" t="str">
        <f t="shared" si="4"/>
        <v xml:space="preserve">                                                  </v>
      </c>
      <c r="B312" s="20" t="s">
        <v>174</v>
      </c>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row>
    <row r="313" spans="1:52" ht="18" customHeight="1" x14ac:dyDescent="0.2">
      <c r="A313" s="3" t="str">
        <f t="shared" si="4"/>
        <v xml:space="preserve">                                                  </v>
      </c>
      <c r="B313" s="20" t="s">
        <v>174</v>
      </c>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row>
    <row r="314" spans="1:52" ht="18" customHeight="1" x14ac:dyDescent="0.2">
      <c r="A314" s="3" t="str">
        <f t="shared" si="4"/>
        <v xml:space="preserve">                                                  </v>
      </c>
      <c r="B314" s="20" t="s">
        <v>174</v>
      </c>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row>
    <row r="315" spans="1:52" ht="18" customHeight="1" x14ac:dyDescent="0.2">
      <c r="A315" s="3" t="str">
        <f t="shared" si="4"/>
        <v xml:space="preserve">                                                  </v>
      </c>
      <c r="B315" s="20" t="s">
        <v>174</v>
      </c>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row>
    <row r="316" spans="1:52" ht="18" customHeight="1" x14ac:dyDescent="0.2">
      <c r="A316" s="3" t="str">
        <f t="shared" si="4"/>
        <v xml:space="preserve">                                                  </v>
      </c>
      <c r="B316" s="20" t="s">
        <v>174</v>
      </c>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row>
    <row r="317" spans="1:52" ht="18" customHeight="1" x14ac:dyDescent="0.2">
      <c r="A317" s="3" t="str">
        <f t="shared" si="4"/>
        <v xml:space="preserve">                                                  </v>
      </c>
      <c r="B317" s="20" t="s">
        <v>174</v>
      </c>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row>
    <row r="318" spans="1:52" ht="18" customHeight="1" x14ac:dyDescent="0.2">
      <c r="A318" s="3" t="str">
        <f t="shared" si="4"/>
        <v xml:space="preserve">                                                  </v>
      </c>
      <c r="B318" s="20" t="s">
        <v>174</v>
      </c>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row>
    <row r="319" spans="1:52" ht="18" customHeight="1" x14ac:dyDescent="0.2">
      <c r="A319" s="3" t="str">
        <f t="shared" si="4"/>
        <v xml:space="preserve">                                                  </v>
      </c>
      <c r="B319" s="20" t="s">
        <v>174</v>
      </c>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row>
    <row r="320" spans="1:52" ht="18" customHeight="1" x14ac:dyDescent="0.2">
      <c r="A320" s="3" t="str">
        <f t="shared" si="4"/>
        <v xml:space="preserve">                                                  </v>
      </c>
      <c r="B320" s="20" t="s">
        <v>174</v>
      </c>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row>
    <row r="321" spans="1:52" ht="18" customHeight="1" x14ac:dyDescent="0.2">
      <c r="A321" s="3" t="str">
        <f t="shared" si="4"/>
        <v xml:space="preserve">                                                  </v>
      </c>
      <c r="B321" s="20" t="s">
        <v>174</v>
      </c>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row>
    <row r="322" spans="1:52" ht="18" customHeight="1" x14ac:dyDescent="0.2">
      <c r="A322" s="3" t="str">
        <f t="shared" si="4"/>
        <v xml:space="preserve">                                                  </v>
      </c>
      <c r="B322" s="20" t="s">
        <v>174</v>
      </c>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row>
    <row r="323" spans="1:52" ht="18" customHeight="1" x14ac:dyDescent="0.2">
      <c r="A323" s="3" t="str">
        <f t="shared" si="4"/>
        <v xml:space="preserve">                                                  </v>
      </c>
      <c r="B323" s="20" t="s">
        <v>174</v>
      </c>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row>
    <row r="324" spans="1:52" ht="18" customHeight="1" x14ac:dyDescent="0.2">
      <c r="A324" s="3" t="str">
        <f t="shared" ref="A324:A387" si="5">CONCATENATE(C324," ",D324," ",E324," ",F324," ",G324," ",H324," ",I324," ",J324," ",K324," ",L324," ",M324," ",N324," ",O324," ",P324," ",Q324," ",R324," ",S324," ",T324," ",U324," ",V324," ",W324," ",X324," ",Y324," ",Z324," ",AA324," ",AB324," ",AC324," ",AD324," ",AE324," ",AF324," ",AG324," ",AH324," ",AI324," ",AJ324," ",AK324," ",AL324," ",AM324," ",AN324," ",AO324," ",AP324," ",AQ324," ",AR324," ",AS324," ",AT324," ",AU324," ",AV324," ",AW324," ",AX324," ",AY324," ",AZ324," ",
)</f>
        <v xml:space="preserve">                                                  </v>
      </c>
      <c r="B324" s="20" t="s">
        <v>174</v>
      </c>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row>
    <row r="325" spans="1:52" ht="18" customHeight="1" x14ac:dyDescent="0.2">
      <c r="A325" s="3" t="str">
        <f t="shared" si="5"/>
        <v xml:space="preserve">                                                  </v>
      </c>
      <c r="B325" s="20" t="s">
        <v>174</v>
      </c>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row>
    <row r="326" spans="1:52" ht="18" customHeight="1" x14ac:dyDescent="0.2">
      <c r="A326" s="3" t="str">
        <f t="shared" si="5"/>
        <v xml:space="preserve">                                                  </v>
      </c>
      <c r="B326" s="20" t="s">
        <v>174</v>
      </c>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row>
    <row r="327" spans="1:52" ht="18" customHeight="1" x14ac:dyDescent="0.2">
      <c r="A327" s="3" t="str">
        <f t="shared" si="5"/>
        <v xml:space="preserve">                                                  </v>
      </c>
      <c r="B327" s="20" t="s">
        <v>174</v>
      </c>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row>
    <row r="328" spans="1:52" ht="18" customHeight="1" x14ac:dyDescent="0.2">
      <c r="A328" s="3" t="str">
        <f t="shared" si="5"/>
        <v xml:space="preserve">                                                  </v>
      </c>
      <c r="B328" s="20" t="s">
        <v>174</v>
      </c>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row>
    <row r="329" spans="1:52" ht="18" customHeight="1" x14ac:dyDescent="0.2">
      <c r="A329" s="3" t="str">
        <f t="shared" si="5"/>
        <v xml:space="preserve">                                                  </v>
      </c>
      <c r="B329" s="20" t="s">
        <v>174</v>
      </c>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row>
    <row r="330" spans="1:52" ht="18" customHeight="1" x14ac:dyDescent="0.2">
      <c r="A330" s="3" t="str">
        <f t="shared" si="5"/>
        <v xml:space="preserve">                                                  </v>
      </c>
      <c r="B330" s="20" t="s">
        <v>174</v>
      </c>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row>
    <row r="331" spans="1:52" ht="18" customHeight="1" x14ac:dyDescent="0.2">
      <c r="A331" s="3" t="str">
        <f t="shared" si="5"/>
        <v xml:space="preserve">                                                  </v>
      </c>
      <c r="B331" s="20" t="s">
        <v>174</v>
      </c>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row>
    <row r="332" spans="1:52" ht="18" customHeight="1" x14ac:dyDescent="0.2">
      <c r="A332" s="3" t="str">
        <f t="shared" si="5"/>
        <v xml:space="preserve">                                                  </v>
      </c>
      <c r="B332" s="20" t="s">
        <v>174</v>
      </c>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row>
    <row r="333" spans="1:52" ht="18" customHeight="1" x14ac:dyDescent="0.2">
      <c r="A333" s="3" t="str">
        <f t="shared" si="5"/>
        <v xml:space="preserve">                                                  </v>
      </c>
      <c r="B333" s="20" t="s">
        <v>174</v>
      </c>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row>
    <row r="334" spans="1:52" ht="18" customHeight="1" x14ac:dyDescent="0.2">
      <c r="A334" s="3" t="str">
        <f t="shared" si="5"/>
        <v xml:space="preserve">                                                  </v>
      </c>
      <c r="B334" s="20" t="s">
        <v>174</v>
      </c>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row>
    <row r="335" spans="1:52" ht="18" customHeight="1" x14ac:dyDescent="0.2">
      <c r="A335" s="3" t="str">
        <f t="shared" si="5"/>
        <v xml:space="preserve">                                                  </v>
      </c>
      <c r="B335" s="20" t="s">
        <v>174</v>
      </c>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row>
    <row r="336" spans="1:52" ht="18" customHeight="1" x14ac:dyDescent="0.2">
      <c r="A336" s="3" t="str">
        <f t="shared" si="5"/>
        <v xml:space="preserve">                                                  </v>
      </c>
      <c r="B336" s="20" t="s">
        <v>174</v>
      </c>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row>
    <row r="337" spans="1:52" ht="18" customHeight="1" x14ac:dyDescent="0.2">
      <c r="A337" s="3" t="str">
        <f t="shared" si="5"/>
        <v xml:space="preserve">                                                  </v>
      </c>
      <c r="B337" s="20" t="s">
        <v>174</v>
      </c>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row>
    <row r="338" spans="1:52" ht="18" customHeight="1" x14ac:dyDescent="0.2">
      <c r="A338" s="3" t="str">
        <f t="shared" si="5"/>
        <v xml:space="preserve">                                                  </v>
      </c>
      <c r="B338" s="20" t="s">
        <v>174</v>
      </c>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row>
    <row r="339" spans="1:52" ht="18" customHeight="1" x14ac:dyDescent="0.2">
      <c r="A339" s="3" t="str">
        <f t="shared" si="5"/>
        <v xml:space="preserve">                                                  </v>
      </c>
      <c r="B339" s="20" t="s">
        <v>174</v>
      </c>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row>
    <row r="340" spans="1:52" ht="18" customHeight="1" x14ac:dyDescent="0.2">
      <c r="A340" s="3" t="str">
        <f t="shared" si="5"/>
        <v xml:space="preserve">                                                  </v>
      </c>
      <c r="B340" s="20" t="s">
        <v>174</v>
      </c>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row>
    <row r="341" spans="1:52" ht="18" customHeight="1" x14ac:dyDescent="0.2">
      <c r="A341" s="3" t="str">
        <f t="shared" si="5"/>
        <v xml:space="preserve">                                                  </v>
      </c>
      <c r="B341" s="20" t="s">
        <v>174</v>
      </c>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row>
    <row r="342" spans="1:52" ht="18" customHeight="1" x14ac:dyDescent="0.2">
      <c r="A342" s="3" t="str">
        <f t="shared" si="5"/>
        <v xml:space="preserve">                                                  </v>
      </c>
      <c r="B342" s="20" t="s">
        <v>174</v>
      </c>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row>
    <row r="343" spans="1:52" ht="18" customHeight="1" x14ac:dyDescent="0.2">
      <c r="A343" s="3" t="str">
        <f t="shared" si="5"/>
        <v xml:space="preserve">                                                  </v>
      </c>
      <c r="B343" s="20" t="s">
        <v>174</v>
      </c>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row>
    <row r="344" spans="1:52" ht="18" customHeight="1" x14ac:dyDescent="0.2">
      <c r="A344" s="3" t="str">
        <f t="shared" si="5"/>
        <v xml:space="preserve">                                                  </v>
      </c>
      <c r="B344" s="20" t="s">
        <v>174</v>
      </c>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row>
    <row r="345" spans="1:52" ht="18" customHeight="1" x14ac:dyDescent="0.2">
      <c r="A345" s="3" t="str">
        <f t="shared" si="5"/>
        <v xml:space="preserve">                                                  </v>
      </c>
      <c r="B345" s="20" t="s">
        <v>174</v>
      </c>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row>
    <row r="346" spans="1:52" ht="18" customHeight="1" x14ac:dyDescent="0.2">
      <c r="A346" s="3" t="str">
        <f t="shared" si="5"/>
        <v xml:space="preserve">                                                  </v>
      </c>
      <c r="B346" s="20" t="s">
        <v>174</v>
      </c>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row>
    <row r="347" spans="1:52" ht="18" customHeight="1" x14ac:dyDescent="0.2">
      <c r="A347" s="3" t="str">
        <f t="shared" si="5"/>
        <v xml:space="preserve">                                                  </v>
      </c>
      <c r="B347" s="20" t="s">
        <v>174</v>
      </c>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row>
    <row r="348" spans="1:52" ht="18" customHeight="1" x14ac:dyDescent="0.2">
      <c r="A348" s="3" t="str">
        <f t="shared" si="5"/>
        <v xml:space="preserve">                                                  </v>
      </c>
      <c r="B348" s="20" t="s">
        <v>174</v>
      </c>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row>
    <row r="349" spans="1:52" ht="18" customHeight="1" x14ac:dyDescent="0.2">
      <c r="A349" s="3" t="str">
        <f t="shared" si="5"/>
        <v xml:space="preserve">                                                  </v>
      </c>
      <c r="B349" s="20" t="s">
        <v>174</v>
      </c>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row>
    <row r="350" spans="1:52" ht="18" customHeight="1" x14ac:dyDescent="0.2">
      <c r="A350" s="3" t="str">
        <f t="shared" si="5"/>
        <v xml:space="preserve">                                                  </v>
      </c>
      <c r="B350" s="20" t="s">
        <v>174</v>
      </c>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row>
    <row r="351" spans="1:52" ht="18" customHeight="1" x14ac:dyDescent="0.2">
      <c r="A351" s="3" t="str">
        <f t="shared" si="5"/>
        <v xml:space="preserve">                                                  </v>
      </c>
      <c r="B351" s="20" t="s">
        <v>174</v>
      </c>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row>
    <row r="352" spans="1:52" ht="18" customHeight="1" x14ac:dyDescent="0.2">
      <c r="A352" s="3" t="str">
        <f t="shared" si="5"/>
        <v xml:space="preserve">                                                  </v>
      </c>
      <c r="B352" s="20" t="s">
        <v>174</v>
      </c>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row>
    <row r="353" spans="1:52" ht="18" customHeight="1" x14ac:dyDescent="0.2">
      <c r="A353" s="3" t="str">
        <f t="shared" si="5"/>
        <v xml:space="preserve">                                                  </v>
      </c>
      <c r="B353" s="20" t="s">
        <v>174</v>
      </c>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row>
    <row r="354" spans="1:52" ht="18" customHeight="1" x14ac:dyDescent="0.2">
      <c r="A354" s="3" t="str">
        <f t="shared" si="5"/>
        <v xml:space="preserve">                                                  </v>
      </c>
      <c r="B354" s="20" t="s">
        <v>174</v>
      </c>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row>
    <row r="355" spans="1:52" ht="18" customHeight="1" x14ac:dyDescent="0.2">
      <c r="A355" s="3" t="str">
        <f t="shared" si="5"/>
        <v xml:space="preserve">                                                  </v>
      </c>
      <c r="B355" s="20" t="s">
        <v>174</v>
      </c>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row>
    <row r="356" spans="1:52" ht="18" customHeight="1" x14ac:dyDescent="0.2">
      <c r="A356" s="3" t="str">
        <f t="shared" si="5"/>
        <v xml:space="preserve">                                                  </v>
      </c>
      <c r="B356" s="20" t="s">
        <v>174</v>
      </c>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row>
    <row r="357" spans="1:52" ht="18" customHeight="1" x14ac:dyDescent="0.2">
      <c r="A357" s="3" t="str">
        <f t="shared" si="5"/>
        <v xml:space="preserve">                                                  </v>
      </c>
      <c r="B357" s="20" t="s">
        <v>174</v>
      </c>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row>
    <row r="358" spans="1:52" ht="18" customHeight="1" x14ac:dyDescent="0.2">
      <c r="A358" s="3" t="str">
        <f t="shared" si="5"/>
        <v xml:space="preserve">                                                  </v>
      </c>
      <c r="B358" s="20" t="s">
        <v>174</v>
      </c>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row>
    <row r="359" spans="1:52" ht="18" customHeight="1" x14ac:dyDescent="0.2">
      <c r="A359" s="3" t="str">
        <f t="shared" si="5"/>
        <v xml:space="preserve">                                                  </v>
      </c>
      <c r="B359" s="20" t="s">
        <v>174</v>
      </c>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row>
    <row r="360" spans="1:52" ht="18" customHeight="1" x14ac:dyDescent="0.2">
      <c r="A360" s="3" t="str">
        <f t="shared" si="5"/>
        <v xml:space="preserve">                                                  </v>
      </c>
      <c r="B360" s="20" t="s">
        <v>174</v>
      </c>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row>
    <row r="361" spans="1:52" ht="18" customHeight="1" x14ac:dyDescent="0.2">
      <c r="A361" s="3" t="str">
        <f t="shared" si="5"/>
        <v xml:space="preserve">                                                  </v>
      </c>
      <c r="B361" s="20" t="s">
        <v>174</v>
      </c>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row>
    <row r="362" spans="1:52" ht="18" customHeight="1" x14ac:dyDescent="0.2">
      <c r="A362" s="3" t="str">
        <f t="shared" si="5"/>
        <v xml:space="preserve">                                                  </v>
      </c>
      <c r="B362" s="20" t="s">
        <v>174</v>
      </c>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row>
    <row r="363" spans="1:52" ht="18" customHeight="1" x14ac:dyDescent="0.2">
      <c r="A363" s="3" t="str">
        <f t="shared" si="5"/>
        <v xml:space="preserve">                                                  </v>
      </c>
      <c r="B363" s="20" t="s">
        <v>174</v>
      </c>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row>
    <row r="364" spans="1:52" ht="18" customHeight="1" x14ac:dyDescent="0.2">
      <c r="A364" s="3" t="str">
        <f t="shared" si="5"/>
        <v xml:space="preserve">                                                  </v>
      </c>
      <c r="B364" s="20" t="s">
        <v>174</v>
      </c>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row>
    <row r="365" spans="1:52" ht="18" customHeight="1" x14ac:dyDescent="0.2">
      <c r="A365" s="3" t="str">
        <f t="shared" si="5"/>
        <v xml:space="preserve">                                                  </v>
      </c>
      <c r="B365" s="20" t="s">
        <v>174</v>
      </c>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row>
    <row r="366" spans="1:52" ht="18" customHeight="1" x14ac:dyDescent="0.2">
      <c r="A366" s="3" t="str">
        <f t="shared" si="5"/>
        <v xml:space="preserve">                                                  </v>
      </c>
      <c r="B366" s="20" t="s">
        <v>174</v>
      </c>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row>
    <row r="367" spans="1:52" ht="18" customHeight="1" x14ac:dyDescent="0.2">
      <c r="A367" s="3" t="str">
        <f t="shared" si="5"/>
        <v xml:space="preserve">                                                  </v>
      </c>
      <c r="B367" s="20" t="s">
        <v>174</v>
      </c>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row>
    <row r="368" spans="1:52" ht="18" customHeight="1" x14ac:dyDescent="0.2">
      <c r="A368" s="3" t="str">
        <f t="shared" si="5"/>
        <v xml:space="preserve">                                                  </v>
      </c>
      <c r="B368" s="20" t="s">
        <v>174</v>
      </c>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row>
    <row r="369" spans="1:52" ht="18" customHeight="1" x14ac:dyDescent="0.2">
      <c r="A369" s="3" t="str">
        <f t="shared" si="5"/>
        <v xml:space="preserve">                                                  </v>
      </c>
      <c r="B369" s="20" t="s">
        <v>174</v>
      </c>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row>
    <row r="370" spans="1:52" ht="18" customHeight="1" x14ac:dyDescent="0.2">
      <c r="A370" s="3" t="str">
        <f t="shared" si="5"/>
        <v xml:space="preserve">                                                  </v>
      </c>
      <c r="B370" s="20" t="s">
        <v>174</v>
      </c>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row>
    <row r="371" spans="1:52" ht="18" customHeight="1" x14ac:dyDescent="0.2">
      <c r="A371" s="3" t="str">
        <f t="shared" si="5"/>
        <v xml:space="preserve">                                                  </v>
      </c>
      <c r="B371" s="20" t="s">
        <v>174</v>
      </c>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row>
    <row r="372" spans="1:52" ht="18" customHeight="1" x14ac:dyDescent="0.2">
      <c r="A372" s="3" t="str">
        <f t="shared" si="5"/>
        <v xml:space="preserve">                                                  </v>
      </c>
      <c r="B372" s="20" t="s">
        <v>174</v>
      </c>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row>
    <row r="373" spans="1:52" ht="18" customHeight="1" x14ac:dyDescent="0.2">
      <c r="A373" s="3" t="str">
        <f t="shared" si="5"/>
        <v xml:space="preserve">                                                  </v>
      </c>
      <c r="B373" s="20" t="s">
        <v>174</v>
      </c>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row>
    <row r="374" spans="1:52" ht="18" customHeight="1" x14ac:dyDescent="0.2">
      <c r="A374" s="3" t="str">
        <f t="shared" si="5"/>
        <v xml:space="preserve">                                                  </v>
      </c>
      <c r="B374" s="20" t="s">
        <v>174</v>
      </c>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row>
    <row r="375" spans="1:52" ht="18" customHeight="1" x14ac:dyDescent="0.2">
      <c r="A375" s="3" t="str">
        <f t="shared" si="5"/>
        <v xml:space="preserve">                                                  </v>
      </c>
      <c r="B375" s="20" t="s">
        <v>174</v>
      </c>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row>
    <row r="376" spans="1:52" ht="18" customHeight="1" x14ac:dyDescent="0.2">
      <c r="A376" s="3" t="str">
        <f t="shared" si="5"/>
        <v xml:space="preserve">                                                  </v>
      </c>
      <c r="B376" s="20" t="s">
        <v>174</v>
      </c>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row>
    <row r="377" spans="1:52" ht="18" customHeight="1" x14ac:dyDescent="0.2">
      <c r="A377" s="3" t="str">
        <f t="shared" si="5"/>
        <v xml:space="preserve">                                                  </v>
      </c>
      <c r="B377" s="20" t="s">
        <v>174</v>
      </c>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row>
    <row r="378" spans="1:52" ht="18" customHeight="1" x14ac:dyDescent="0.2">
      <c r="A378" s="3" t="str">
        <f t="shared" si="5"/>
        <v xml:space="preserve">                                                  </v>
      </c>
      <c r="B378" s="20" t="s">
        <v>174</v>
      </c>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row>
    <row r="379" spans="1:52" ht="18" customHeight="1" x14ac:dyDescent="0.2">
      <c r="A379" s="3" t="str">
        <f t="shared" si="5"/>
        <v xml:space="preserve">                                                  </v>
      </c>
      <c r="B379" s="20" t="s">
        <v>174</v>
      </c>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row>
    <row r="380" spans="1:52" ht="18" customHeight="1" x14ac:dyDescent="0.2">
      <c r="A380" s="3" t="str">
        <f t="shared" si="5"/>
        <v xml:space="preserve">                                                  </v>
      </c>
      <c r="B380" s="20" t="s">
        <v>174</v>
      </c>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row>
    <row r="381" spans="1:52" ht="18" customHeight="1" x14ac:dyDescent="0.2">
      <c r="A381" s="3" t="str">
        <f t="shared" si="5"/>
        <v xml:space="preserve">                                                  </v>
      </c>
      <c r="B381" s="20" t="s">
        <v>174</v>
      </c>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row>
    <row r="382" spans="1:52" ht="18" customHeight="1" x14ac:dyDescent="0.2">
      <c r="A382" s="3" t="str">
        <f t="shared" si="5"/>
        <v xml:space="preserve">                                                  </v>
      </c>
      <c r="B382" s="20" t="s">
        <v>174</v>
      </c>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row>
    <row r="383" spans="1:52" ht="18" customHeight="1" x14ac:dyDescent="0.2">
      <c r="A383" s="3" t="str">
        <f t="shared" si="5"/>
        <v xml:space="preserve">                                                  </v>
      </c>
      <c r="B383" s="20" t="s">
        <v>174</v>
      </c>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row>
    <row r="384" spans="1:52" ht="18" customHeight="1" x14ac:dyDescent="0.2">
      <c r="A384" s="3" t="str">
        <f t="shared" si="5"/>
        <v xml:space="preserve">                                                  </v>
      </c>
      <c r="B384" s="20" t="s">
        <v>174</v>
      </c>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row>
    <row r="385" spans="1:52" ht="18" customHeight="1" x14ac:dyDescent="0.2">
      <c r="A385" s="3" t="str">
        <f t="shared" si="5"/>
        <v xml:space="preserve">                                                  </v>
      </c>
      <c r="B385" s="20" t="s">
        <v>174</v>
      </c>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row>
    <row r="386" spans="1:52" ht="18" customHeight="1" x14ac:dyDescent="0.2">
      <c r="A386" s="3" t="str">
        <f t="shared" si="5"/>
        <v xml:space="preserve">                                                  </v>
      </c>
      <c r="B386" s="20" t="s">
        <v>174</v>
      </c>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row>
    <row r="387" spans="1:52" ht="18" customHeight="1" x14ac:dyDescent="0.2">
      <c r="A387" s="3" t="str">
        <f t="shared" si="5"/>
        <v xml:space="preserve">                                                  </v>
      </c>
      <c r="B387" s="20" t="s">
        <v>174</v>
      </c>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row>
    <row r="388" spans="1:52" ht="18" customHeight="1" x14ac:dyDescent="0.2">
      <c r="A388" s="3" t="str">
        <f t="shared" ref="A388:A451" si="6">CONCATENATE(C388," ",D388," ",E388," ",F388," ",G388," ",H388," ",I388," ",J388," ",K388," ",L388," ",M388," ",N388," ",O388," ",P388," ",Q388," ",R388," ",S388," ",T388," ",U388," ",V388," ",W388," ",X388," ",Y388," ",Z388," ",AA388," ",AB388," ",AC388," ",AD388," ",AE388," ",AF388," ",AG388," ",AH388," ",AI388," ",AJ388," ",AK388," ",AL388," ",AM388," ",AN388," ",AO388," ",AP388," ",AQ388," ",AR388," ",AS388," ",AT388," ",AU388," ",AV388," ",AW388," ",AX388," ",AY388," ",AZ388," ",
)</f>
        <v xml:space="preserve">                                                  </v>
      </c>
      <c r="B388" s="20" t="s">
        <v>174</v>
      </c>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row>
    <row r="389" spans="1:52" ht="18" customHeight="1" x14ac:dyDescent="0.2">
      <c r="A389" s="3" t="str">
        <f t="shared" si="6"/>
        <v xml:space="preserve">                                                  </v>
      </c>
      <c r="B389" s="20" t="s">
        <v>174</v>
      </c>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row>
    <row r="390" spans="1:52" ht="18" customHeight="1" x14ac:dyDescent="0.2">
      <c r="A390" s="3" t="str">
        <f t="shared" si="6"/>
        <v xml:space="preserve">                                                  </v>
      </c>
      <c r="B390" s="20" t="s">
        <v>174</v>
      </c>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row>
    <row r="391" spans="1:52" ht="18" customHeight="1" x14ac:dyDescent="0.2">
      <c r="A391" s="3" t="str">
        <f t="shared" si="6"/>
        <v xml:space="preserve">                                                  </v>
      </c>
      <c r="B391" s="20" t="s">
        <v>174</v>
      </c>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row>
    <row r="392" spans="1:52" ht="18" customHeight="1" x14ac:dyDescent="0.2">
      <c r="A392" s="3" t="str">
        <f t="shared" si="6"/>
        <v xml:space="preserve">                                                  </v>
      </c>
      <c r="B392" s="20" t="s">
        <v>174</v>
      </c>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row>
    <row r="393" spans="1:52" ht="18" customHeight="1" x14ac:dyDescent="0.2">
      <c r="A393" s="3" t="str">
        <f t="shared" si="6"/>
        <v xml:space="preserve">                                                  </v>
      </c>
      <c r="B393" s="20" t="s">
        <v>174</v>
      </c>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c r="AH393" s="3"/>
      <c r="AI393" s="3"/>
      <c r="AJ393" s="3"/>
      <c r="AK393" s="3"/>
      <c r="AL393" s="3"/>
      <c r="AM393" s="3"/>
      <c r="AN393" s="3"/>
      <c r="AO393" s="3"/>
      <c r="AP393" s="3"/>
      <c r="AQ393" s="3"/>
      <c r="AR393" s="3"/>
      <c r="AS393" s="3"/>
      <c r="AT393" s="3"/>
      <c r="AU393" s="3"/>
      <c r="AV393" s="3"/>
      <c r="AW393" s="3"/>
      <c r="AX393" s="3"/>
      <c r="AY393" s="3"/>
      <c r="AZ393" s="3"/>
    </row>
    <row r="394" spans="1:52" ht="18" customHeight="1" x14ac:dyDescent="0.2">
      <c r="A394" s="3" t="str">
        <f t="shared" si="6"/>
        <v xml:space="preserve">                                                  </v>
      </c>
      <c r="B394" s="20" t="s">
        <v>174</v>
      </c>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row>
    <row r="395" spans="1:52" ht="18" customHeight="1" x14ac:dyDescent="0.2">
      <c r="A395" s="3" t="str">
        <f t="shared" si="6"/>
        <v xml:space="preserve">                                                  </v>
      </c>
      <c r="B395" s="20" t="s">
        <v>174</v>
      </c>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c r="AJ395" s="3"/>
      <c r="AK395" s="3"/>
      <c r="AL395" s="3"/>
      <c r="AM395" s="3"/>
      <c r="AN395" s="3"/>
      <c r="AO395" s="3"/>
      <c r="AP395" s="3"/>
      <c r="AQ395" s="3"/>
      <c r="AR395" s="3"/>
      <c r="AS395" s="3"/>
      <c r="AT395" s="3"/>
      <c r="AU395" s="3"/>
      <c r="AV395" s="3"/>
      <c r="AW395" s="3"/>
      <c r="AX395" s="3"/>
      <c r="AY395" s="3"/>
      <c r="AZ395" s="3"/>
    </row>
    <row r="396" spans="1:52" ht="18" customHeight="1" x14ac:dyDescent="0.2">
      <c r="A396" s="3" t="str">
        <f t="shared" si="6"/>
        <v xml:space="preserve">                                                  </v>
      </c>
      <c r="B396" s="20" t="s">
        <v>174</v>
      </c>
      <c r="C396" s="3"/>
      <c r="D396" s="3"/>
      <c r="E396" s="3"/>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c r="AH396" s="3"/>
      <c r="AI396" s="3"/>
      <c r="AJ396" s="3"/>
      <c r="AK396" s="3"/>
      <c r="AL396" s="3"/>
      <c r="AM396" s="3"/>
      <c r="AN396" s="3"/>
      <c r="AO396" s="3"/>
      <c r="AP396" s="3"/>
      <c r="AQ396" s="3"/>
      <c r="AR396" s="3"/>
      <c r="AS396" s="3"/>
      <c r="AT396" s="3"/>
      <c r="AU396" s="3"/>
      <c r="AV396" s="3"/>
      <c r="AW396" s="3"/>
      <c r="AX396" s="3"/>
      <c r="AY396" s="3"/>
      <c r="AZ396" s="3"/>
    </row>
    <row r="397" spans="1:52" ht="18" customHeight="1" x14ac:dyDescent="0.2">
      <c r="A397" s="3" t="str">
        <f t="shared" si="6"/>
        <v xml:space="preserve">                                                  </v>
      </c>
      <c r="B397" s="20" t="s">
        <v>174</v>
      </c>
      <c r="C397" s="3"/>
      <c r="D397" s="3"/>
      <c r="E397" s="3"/>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c r="AH397" s="3"/>
      <c r="AI397" s="3"/>
      <c r="AJ397" s="3"/>
      <c r="AK397" s="3"/>
      <c r="AL397" s="3"/>
      <c r="AM397" s="3"/>
      <c r="AN397" s="3"/>
      <c r="AO397" s="3"/>
      <c r="AP397" s="3"/>
      <c r="AQ397" s="3"/>
      <c r="AR397" s="3"/>
      <c r="AS397" s="3"/>
      <c r="AT397" s="3"/>
      <c r="AU397" s="3"/>
      <c r="AV397" s="3"/>
      <c r="AW397" s="3"/>
      <c r="AX397" s="3"/>
      <c r="AY397" s="3"/>
      <c r="AZ397" s="3"/>
    </row>
    <row r="398" spans="1:52" ht="18" customHeight="1" x14ac:dyDescent="0.2">
      <c r="A398" s="3" t="str">
        <f t="shared" si="6"/>
        <v xml:space="preserve">                                                  </v>
      </c>
      <c r="B398" s="20" t="s">
        <v>174</v>
      </c>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row>
    <row r="399" spans="1:52" ht="18" customHeight="1" x14ac:dyDescent="0.2">
      <c r="A399" s="3" t="str">
        <f t="shared" si="6"/>
        <v xml:space="preserve">                                                  </v>
      </c>
      <c r="B399" s="20" t="s">
        <v>174</v>
      </c>
      <c r="C399" s="3"/>
      <c r="D399" s="3"/>
      <c r="E399" s="3"/>
      <c r="F399" s="3"/>
      <c r="G399" s="3"/>
      <c r="H399" s="3"/>
      <c r="I399" s="3"/>
      <c r="J399" s="3"/>
      <c r="K399" s="3"/>
      <c r="L399" s="3"/>
      <c r="M399" s="3"/>
      <c r="N399" s="3"/>
      <c r="O399" s="3"/>
      <c r="P399" s="3"/>
      <c r="Q399" s="3"/>
      <c r="R399" s="3"/>
      <c r="S399" s="3"/>
      <c r="T399" s="3"/>
      <c r="U399" s="3"/>
      <c r="V399" s="3"/>
      <c r="W399" s="3"/>
      <c r="X399" s="3"/>
      <c r="Y399" s="3"/>
      <c r="Z399" s="3"/>
      <c r="AA399" s="3"/>
      <c r="AB399" s="3"/>
      <c r="AC399" s="3"/>
      <c r="AD399" s="3"/>
      <c r="AE399" s="3"/>
      <c r="AF399" s="3"/>
      <c r="AG399" s="3"/>
      <c r="AH399" s="3"/>
      <c r="AI399" s="3"/>
      <c r="AJ399" s="3"/>
      <c r="AK399" s="3"/>
      <c r="AL399" s="3"/>
      <c r="AM399" s="3"/>
      <c r="AN399" s="3"/>
      <c r="AO399" s="3"/>
      <c r="AP399" s="3"/>
      <c r="AQ399" s="3"/>
      <c r="AR399" s="3"/>
      <c r="AS399" s="3"/>
      <c r="AT399" s="3"/>
      <c r="AU399" s="3"/>
      <c r="AV399" s="3"/>
      <c r="AW399" s="3"/>
      <c r="AX399" s="3"/>
      <c r="AY399" s="3"/>
      <c r="AZ399" s="3"/>
    </row>
    <row r="400" spans="1:52" ht="18" customHeight="1" x14ac:dyDescent="0.2">
      <c r="A400" s="3" t="str">
        <f t="shared" si="6"/>
        <v xml:space="preserve">                                                  </v>
      </c>
      <c r="B400" s="20" t="s">
        <v>174</v>
      </c>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3"/>
      <c r="AL400" s="3"/>
      <c r="AM400" s="3"/>
      <c r="AN400" s="3"/>
      <c r="AO400" s="3"/>
      <c r="AP400" s="3"/>
      <c r="AQ400" s="3"/>
      <c r="AR400" s="3"/>
      <c r="AS400" s="3"/>
      <c r="AT400" s="3"/>
      <c r="AU400" s="3"/>
      <c r="AV400" s="3"/>
      <c r="AW400" s="3"/>
      <c r="AX400" s="3"/>
      <c r="AY400" s="3"/>
      <c r="AZ400" s="3"/>
    </row>
    <row r="401" spans="1:52" ht="18" customHeight="1" x14ac:dyDescent="0.2">
      <c r="A401" s="3" t="str">
        <f t="shared" si="6"/>
        <v xml:space="preserve">                                                  </v>
      </c>
      <c r="B401" s="20" t="s">
        <v>174</v>
      </c>
      <c r="C401" s="3"/>
      <c r="D401" s="3"/>
      <c r="E401" s="3"/>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c r="AH401" s="3"/>
      <c r="AI401" s="3"/>
      <c r="AJ401" s="3"/>
      <c r="AK401" s="3"/>
      <c r="AL401" s="3"/>
      <c r="AM401" s="3"/>
      <c r="AN401" s="3"/>
      <c r="AO401" s="3"/>
      <c r="AP401" s="3"/>
      <c r="AQ401" s="3"/>
      <c r="AR401" s="3"/>
      <c r="AS401" s="3"/>
      <c r="AT401" s="3"/>
      <c r="AU401" s="3"/>
      <c r="AV401" s="3"/>
      <c r="AW401" s="3"/>
      <c r="AX401" s="3"/>
      <c r="AY401" s="3"/>
      <c r="AZ401" s="3"/>
    </row>
    <row r="402" spans="1:52" ht="18" customHeight="1" x14ac:dyDescent="0.2">
      <c r="A402" s="3" t="str">
        <f t="shared" si="6"/>
        <v xml:space="preserve">                                                  </v>
      </c>
      <c r="B402" s="20" t="s">
        <v>174</v>
      </c>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row>
    <row r="403" spans="1:52" ht="18" customHeight="1" x14ac:dyDescent="0.2">
      <c r="A403" s="3" t="str">
        <f t="shared" si="6"/>
        <v xml:space="preserve">                                                  </v>
      </c>
      <c r="B403" s="20" t="s">
        <v>174</v>
      </c>
      <c r="C403" s="3"/>
      <c r="D403" s="3"/>
      <c r="E403" s="3"/>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c r="AJ403" s="3"/>
      <c r="AK403" s="3"/>
      <c r="AL403" s="3"/>
      <c r="AM403" s="3"/>
      <c r="AN403" s="3"/>
      <c r="AO403" s="3"/>
      <c r="AP403" s="3"/>
      <c r="AQ403" s="3"/>
      <c r="AR403" s="3"/>
      <c r="AS403" s="3"/>
      <c r="AT403" s="3"/>
      <c r="AU403" s="3"/>
      <c r="AV403" s="3"/>
      <c r="AW403" s="3"/>
      <c r="AX403" s="3"/>
      <c r="AY403" s="3"/>
      <c r="AZ403" s="3"/>
    </row>
    <row r="404" spans="1:52" ht="18" customHeight="1" x14ac:dyDescent="0.2">
      <c r="A404" s="3" t="str">
        <f t="shared" si="6"/>
        <v xml:space="preserve">                                                  </v>
      </c>
      <c r="B404" s="20" t="s">
        <v>174</v>
      </c>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c r="AJ404" s="3"/>
      <c r="AK404" s="3"/>
      <c r="AL404" s="3"/>
      <c r="AM404" s="3"/>
      <c r="AN404" s="3"/>
      <c r="AO404" s="3"/>
      <c r="AP404" s="3"/>
      <c r="AQ404" s="3"/>
      <c r="AR404" s="3"/>
      <c r="AS404" s="3"/>
      <c r="AT404" s="3"/>
      <c r="AU404" s="3"/>
      <c r="AV404" s="3"/>
      <c r="AW404" s="3"/>
      <c r="AX404" s="3"/>
      <c r="AY404" s="3"/>
      <c r="AZ404" s="3"/>
    </row>
    <row r="405" spans="1:52" ht="18" customHeight="1" x14ac:dyDescent="0.2">
      <c r="A405" s="3" t="str">
        <f t="shared" si="6"/>
        <v xml:space="preserve">                                                  </v>
      </c>
      <c r="B405" s="20" t="s">
        <v>174</v>
      </c>
      <c r="C405" s="3"/>
      <c r="D405" s="3"/>
      <c r="E405" s="3"/>
      <c r="F405" s="3"/>
      <c r="G405" s="3"/>
      <c r="H405" s="3"/>
      <c r="I405" s="3"/>
      <c r="J405" s="3"/>
      <c r="K405" s="3"/>
      <c r="L405" s="3"/>
      <c r="M405" s="3"/>
      <c r="N405" s="3"/>
      <c r="O405" s="3"/>
      <c r="P405" s="3"/>
      <c r="Q405" s="3"/>
      <c r="R405" s="3"/>
      <c r="S405" s="3"/>
      <c r="T405" s="3"/>
      <c r="U405" s="3"/>
      <c r="V405" s="3"/>
      <c r="W405" s="3"/>
      <c r="X405" s="3"/>
      <c r="Y405" s="3"/>
      <c r="Z405" s="3"/>
      <c r="AA405" s="3"/>
      <c r="AB405" s="3"/>
      <c r="AC405" s="3"/>
      <c r="AD405" s="3"/>
      <c r="AE405" s="3"/>
      <c r="AF405" s="3"/>
      <c r="AG405" s="3"/>
      <c r="AH405" s="3"/>
      <c r="AI405" s="3"/>
      <c r="AJ405" s="3"/>
      <c r="AK405" s="3"/>
      <c r="AL405" s="3"/>
      <c r="AM405" s="3"/>
      <c r="AN405" s="3"/>
      <c r="AO405" s="3"/>
      <c r="AP405" s="3"/>
      <c r="AQ405" s="3"/>
      <c r="AR405" s="3"/>
      <c r="AS405" s="3"/>
      <c r="AT405" s="3"/>
      <c r="AU405" s="3"/>
      <c r="AV405" s="3"/>
      <c r="AW405" s="3"/>
      <c r="AX405" s="3"/>
      <c r="AY405" s="3"/>
      <c r="AZ405" s="3"/>
    </row>
    <row r="406" spans="1:52" ht="18" customHeight="1" x14ac:dyDescent="0.2">
      <c r="A406" s="3" t="str">
        <f t="shared" si="6"/>
        <v xml:space="preserve">                                                  </v>
      </c>
      <c r="B406" s="20" t="s">
        <v>174</v>
      </c>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row>
    <row r="407" spans="1:52" ht="18" customHeight="1" x14ac:dyDescent="0.2">
      <c r="A407" s="3" t="str">
        <f t="shared" si="6"/>
        <v xml:space="preserve">                                                  </v>
      </c>
      <c r="B407" s="20" t="s">
        <v>174</v>
      </c>
      <c r="C407" s="3"/>
      <c r="D407" s="3"/>
      <c r="E407" s="3"/>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c r="AJ407" s="3"/>
      <c r="AK407" s="3"/>
      <c r="AL407" s="3"/>
      <c r="AM407" s="3"/>
      <c r="AN407" s="3"/>
      <c r="AO407" s="3"/>
      <c r="AP407" s="3"/>
      <c r="AQ407" s="3"/>
      <c r="AR407" s="3"/>
      <c r="AS407" s="3"/>
      <c r="AT407" s="3"/>
      <c r="AU407" s="3"/>
      <c r="AV407" s="3"/>
      <c r="AW407" s="3"/>
      <c r="AX407" s="3"/>
      <c r="AY407" s="3"/>
      <c r="AZ407" s="3"/>
    </row>
    <row r="408" spans="1:52" ht="18" customHeight="1" x14ac:dyDescent="0.2">
      <c r="A408" s="3" t="str">
        <f t="shared" si="6"/>
        <v xml:space="preserve">                                                  </v>
      </c>
      <c r="B408" s="20" t="s">
        <v>174</v>
      </c>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c r="AJ408" s="3"/>
      <c r="AK408" s="3"/>
      <c r="AL408" s="3"/>
      <c r="AM408" s="3"/>
      <c r="AN408" s="3"/>
      <c r="AO408" s="3"/>
      <c r="AP408" s="3"/>
      <c r="AQ408" s="3"/>
      <c r="AR408" s="3"/>
      <c r="AS408" s="3"/>
      <c r="AT408" s="3"/>
      <c r="AU408" s="3"/>
      <c r="AV408" s="3"/>
      <c r="AW408" s="3"/>
      <c r="AX408" s="3"/>
      <c r="AY408" s="3"/>
      <c r="AZ408" s="3"/>
    </row>
    <row r="409" spans="1:52" ht="18" customHeight="1" x14ac:dyDescent="0.2">
      <c r="A409" s="3" t="str">
        <f t="shared" si="6"/>
        <v xml:space="preserve">                                                  </v>
      </c>
      <c r="B409" s="20" t="s">
        <v>174</v>
      </c>
      <c r="C409" s="3"/>
      <c r="D409" s="3"/>
      <c r="E409" s="3"/>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c r="AJ409" s="3"/>
      <c r="AK409" s="3"/>
      <c r="AL409" s="3"/>
      <c r="AM409" s="3"/>
      <c r="AN409" s="3"/>
      <c r="AO409" s="3"/>
      <c r="AP409" s="3"/>
      <c r="AQ409" s="3"/>
      <c r="AR409" s="3"/>
      <c r="AS409" s="3"/>
      <c r="AT409" s="3"/>
      <c r="AU409" s="3"/>
      <c r="AV409" s="3"/>
      <c r="AW409" s="3"/>
      <c r="AX409" s="3"/>
      <c r="AY409" s="3"/>
      <c r="AZ409" s="3"/>
    </row>
    <row r="410" spans="1:52" ht="18" customHeight="1" x14ac:dyDescent="0.2">
      <c r="A410" s="3" t="str">
        <f t="shared" si="6"/>
        <v xml:space="preserve">                                                  </v>
      </c>
      <c r="B410" s="20" t="s">
        <v>174</v>
      </c>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c r="AJ410" s="3"/>
      <c r="AK410" s="3"/>
      <c r="AL410" s="3"/>
      <c r="AM410" s="3"/>
      <c r="AN410" s="3"/>
      <c r="AO410" s="3"/>
      <c r="AP410" s="3"/>
      <c r="AQ410" s="3"/>
      <c r="AR410" s="3"/>
      <c r="AS410" s="3"/>
      <c r="AT410" s="3"/>
      <c r="AU410" s="3"/>
      <c r="AV410" s="3"/>
      <c r="AW410" s="3"/>
      <c r="AX410" s="3"/>
      <c r="AY410" s="3"/>
      <c r="AZ410" s="3"/>
    </row>
    <row r="411" spans="1:52" ht="18" customHeight="1" x14ac:dyDescent="0.2">
      <c r="A411" s="3" t="str">
        <f t="shared" si="6"/>
        <v xml:space="preserve">                                                  </v>
      </c>
      <c r="B411" s="20" t="s">
        <v>174</v>
      </c>
      <c r="C411" s="3"/>
      <c r="D411" s="3"/>
      <c r="E411" s="3"/>
      <c r="F411" s="3"/>
      <c r="G411" s="3"/>
      <c r="H411" s="3"/>
      <c r="I411" s="3"/>
      <c r="J411" s="3"/>
      <c r="K411" s="3"/>
      <c r="L411" s="3"/>
      <c r="M411" s="3"/>
      <c r="N411" s="3"/>
      <c r="O411" s="3"/>
      <c r="P411" s="3"/>
      <c r="Q411" s="3"/>
      <c r="R411" s="3"/>
      <c r="S411" s="3"/>
      <c r="T411" s="3"/>
      <c r="U411" s="3"/>
      <c r="V411" s="3"/>
      <c r="W411" s="3"/>
      <c r="X411" s="3"/>
      <c r="Y411" s="3"/>
      <c r="Z411" s="3"/>
      <c r="AA411" s="3"/>
      <c r="AB411" s="3"/>
      <c r="AC411" s="3"/>
      <c r="AD411" s="3"/>
      <c r="AE411" s="3"/>
      <c r="AF411" s="3"/>
      <c r="AG411" s="3"/>
      <c r="AH411" s="3"/>
      <c r="AI411" s="3"/>
      <c r="AJ411" s="3"/>
      <c r="AK411" s="3"/>
      <c r="AL411" s="3"/>
      <c r="AM411" s="3"/>
      <c r="AN411" s="3"/>
      <c r="AO411" s="3"/>
      <c r="AP411" s="3"/>
      <c r="AQ411" s="3"/>
      <c r="AR411" s="3"/>
      <c r="AS411" s="3"/>
      <c r="AT411" s="3"/>
      <c r="AU411" s="3"/>
      <c r="AV411" s="3"/>
      <c r="AW411" s="3"/>
      <c r="AX411" s="3"/>
      <c r="AY411" s="3"/>
      <c r="AZ411" s="3"/>
    </row>
    <row r="412" spans="1:52" ht="18" customHeight="1" x14ac:dyDescent="0.2">
      <c r="A412" s="3" t="str">
        <f t="shared" si="6"/>
        <v xml:space="preserve">                                                  </v>
      </c>
      <c r="B412" s="20" t="s">
        <v>174</v>
      </c>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row>
    <row r="413" spans="1:52" ht="18" customHeight="1" x14ac:dyDescent="0.2">
      <c r="A413" s="3" t="str">
        <f t="shared" si="6"/>
        <v xml:space="preserve">                                                  </v>
      </c>
      <c r="B413" s="20" t="s">
        <v>174</v>
      </c>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c r="AJ413" s="3"/>
      <c r="AK413" s="3"/>
      <c r="AL413" s="3"/>
      <c r="AM413" s="3"/>
      <c r="AN413" s="3"/>
      <c r="AO413" s="3"/>
      <c r="AP413" s="3"/>
      <c r="AQ413" s="3"/>
      <c r="AR413" s="3"/>
      <c r="AS413" s="3"/>
      <c r="AT413" s="3"/>
      <c r="AU413" s="3"/>
      <c r="AV413" s="3"/>
      <c r="AW413" s="3"/>
      <c r="AX413" s="3"/>
      <c r="AY413" s="3"/>
      <c r="AZ413" s="3"/>
    </row>
    <row r="414" spans="1:52" ht="18" customHeight="1" x14ac:dyDescent="0.2">
      <c r="A414" s="3" t="str">
        <f t="shared" si="6"/>
        <v xml:space="preserve">                                                  </v>
      </c>
      <c r="B414" s="20" t="s">
        <v>174</v>
      </c>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c r="AJ414" s="3"/>
      <c r="AK414" s="3"/>
      <c r="AL414" s="3"/>
      <c r="AM414" s="3"/>
      <c r="AN414" s="3"/>
      <c r="AO414" s="3"/>
      <c r="AP414" s="3"/>
      <c r="AQ414" s="3"/>
      <c r="AR414" s="3"/>
      <c r="AS414" s="3"/>
      <c r="AT414" s="3"/>
      <c r="AU414" s="3"/>
      <c r="AV414" s="3"/>
      <c r="AW414" s="3"/>
      <c r="AX414" s="3"/>
      <c r="AY414" s="3"/>
      <c r="AZ414" s="3"/>
    </row>
    <row r="415" spans="1:52" ht="18" customHeight="1" x14ac:dyDescent="0.2">
      <c r="A415" s="3" t="str">
        <f t="shared" si="6"/>
        <v xml:space="preserve">                                                  </v>
      </c>
      <c r="B415" s="20" t="s">
        <v>174</v>
      </c>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c r="AJ415" s="3"/>
      <c r="AK415" s="3"/>
      <c r="AL415" s="3"/>
      <c r="AM415" s="3"/>
      <c r="AN415" s="3"/>
      <c r="AO415" s="3"/>
      <c r="AP415" s="3"/>
      <c r="AQ415" s="3"/>
      <c r="AR415" s="3"/>
      <c r="AS415" s="3"/>
      <c r="AT415" s="3"/>
      <c r="AU415" s="3"/>
      <c r="AV415" s="3"/>
      <c r="AW415" s="3"/>
      <c r="AX415" s="3"/>
      <c r="AY415" s="3"/>
      <c r="AZ415" s="3"/>
    </row>
    <row r="416" spans="1:52" ht="18" customHeight="1" x14ac:dyDescent="0.2">
      <c r="A416" s="3" t="str">
        <f t="shared" si="6"/>
        <v xml:space="preserve">                                                  </v>
      </c>
      <c r="B416" s="20" t="s">
        <v>174</v>
      </c>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row>
    <row r="417" spans="1:52" ht="18" customHeight="1" x14ac:dyDescent="0.2">
      <c r="A417" s="3" t="str">
        <f t="shared" si="6"/>
        <v xml:space="preserve">                                                  </v>
      </c>
      <c r="B417" s="20" t="s">
        <v>174</v>
      </c>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c r="AH417" s="3"/>
      <c r="AI417" s="3"/>
      <c r="AJ417" s="3"/>
      <c r="AK417" s="3"/>
      <c r="AL417" s="3"/>
      <c r="AM417" s="3"/>
      <c r="AN417" s="3"/>
      <c r="AO417" s="3"/>
      <c r="AP417" s="3"/>
      <c r="AQ417" s="3"/>
      <c r="AR417" s="3"/>
      <c r="AS417" s="3"/>
      <c r="AT417" s="3"/>
      <c r="AU417" s="3"/>
      <c r="AV417" s="3"/>
      <c r="AW417" s="3"/>
      <c r="AX417" s="3"/>
      <c r="AY417" s="3"/>
      <c r="AZ417" s="3"/>
    </row>
    <row r="418" spans="1:52" ht="18" customHeight="1" x14ac:dyDescent="0.2">
      <c r="A418" s="3" t="str">
        <f t="shared" si="6"/>
        <v xml:space="preserve">                                                  </v>
      </c>
      <c r="B418" s="20" t="s">
        <v>174</v>
      </c>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c r="AJ418" s="3"/>
      <c r="AK418" s="3"/>
      <c r="AL418" s="3"/>
      <c r="AM418" s="3"/>
      <c r="AN418" s="3"/>
      <c r="AO418" s="3"/>
      <c r="AP418" s="3"/>
      <c r="AQ418" s="3"/>
      <c r="AR418" s="3"/>
      <c r="AS418" s="3"/>
      <c r="AT418" s="3"/>
      <c r="AU418" s="3"/>
      <c r="AV418" s="3"/>
      <c r="AW418" s="3"/>
      <c r="AX418" s="3"/>
      <c r="AY418" s="3"/>
      <c r="AZ418" s="3"/>
    </row>
    <row r="419" spans="1:52" ht="18" customHeight="1" x14ac:dyDescent="0.2">
      <c r="A419" s="3" t="str">
        <f t="shared" si="6"/>
        <v xml:space="preserve">                                                  </v>
      </c>
      <c r="B419" s="20" t="s">
        <v>174</v>
      </c>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c r="AJ419" s="3"/>
      <c r="AK419" s="3"/>
      <c r="AL419" s="3"/>
      <c r="AM419" s="3"/>
      <c r="AN419" s="3"/>
      <c r="AO419" s="3"/>
      <c r="AP419" s="3"/>
      <c r="AQ419" s="3"/>
      <c r="AR419" s="3"/>
      <c r="AS419" s="3"/>
      <c r="AT419" s="3"/>
      <c r="AU419" s="3"/>
      <c r="AV419" s="3"/>
      <c r="AW419" s="3"/>
      <c r="AX419" s="3"/>
      <c r="AY419" s="3"/>
      <c r="AZ419" s="3"/>
    </row>
    <row r="420" spans="1:52" ht="18" customHeight="1" x14ac:dyDescent="0.2">
      <c r="A420" s="3" t="str">
        <f t="shared" si="6"/>
        <v xml:space="preserve">                                                  </v>
      </c>
      <c r="B420" s="20" t="s">
        <v>174</v>
      </c>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row>
    <row r="421" spans="1:52" ht="18" customHeight="1" x14ac:dyDescent="0.2">
      <c r="A421" s="3" t="str">
        <f t="shared" si="6"/>
        <v xml:space="preserve">                                                  </v>
      </c>
      <c r="B421" s="20" t="s">
        <v>174</v>
      </c>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c r="AJ421" s="3"/>
      <c r="AK421" s="3"/>
      <c r="AL421" s="3"/>
      <c r="AM421" s="3"/>
      <c r="AN421" s="3"/>
      <c r="AO421" s="3"/>
      <c r="AP421" s="3"/>
      <c r="AQ421" s="3"/>
      <c r="AR421" s="3"/>
      <c r="AS421" s="3"/>
      <c r="AT421" s="3"/>
      <c r="AU421" s="3"/>
      <c r="AV421" s="3"/>
      <c r="AW421" s="3"/>
      <c r="AX421" s="3"/>
      <c r="AY421" s="3"/>
      <c r="AZ421" s="3"/>
    </row>
    <row r="422" spans="1:52" ht="18" customHeight="1" x14ac:dyDescent="0.2">
      <c r="A422" s="3" t="str">
        <f t="shared" si="6"/>
        <v xml:space="preserve">                                                  </v>
      </c>
      <c r="B422" s="20" t="s">
        <v>174</v>
      </c>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c r="AJ422" s="3"/>
      <c r="AK422" s="3"/>
      <c r="AL422" s="3"/>
      <c r="AM422" s="3"/>
      <c r="AN422" s="3"/>
      <c r="AO422" s="3"/>
      <c r="AP422" s="3"/>
      <c r="AQ422" s="3"/>
      <c r="AR422" s="3"/>
      <c r="AS422" s="3"/>
      <c r="AT422" s="3"/>
      <c r="AU422" s="3"/>
      <c r="AV422" s="3"/>
      <c r="AW422" s="3"/>
      <c r="AX422" s="3"/>
      <c r="AY422" s="3"/>
      <c r="AZ422" s="3"/>
    </row>
    <row r="423" spans="1:52" ht="18" customHeight="1" x14ac:dyDescent="0.2">
      <c r="A423" s="3" t="str">
        <f t="shared" si="6"/>
        <v xml:space="preserve">                                                  </v>
      </c>
      <c r="B423" s="20" t="s">
        <v>174</v>
      </c>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c r="AJ423" s="3"/>
      <c r="AK423" s="3"/>
      <c r="AL423" s="3"/>
      <c r="AM423" s="3"/>
      <c r="AN423" s="3"/>
      <c r="AO423" s="3"/>
      <c r="AP423" s="3"/>
      <c r="AQ423" s="3"/>
      <c r="AR423" s="3"/>
      <c r="AS423" s="3"/>
      <c r="AT423" s="3"/>
      <c r="AU423" s="3"/>
      <c r="AV423" s="3"/>
      <c r="AW423" s="3"/>
      <c r="AX423" s="3"/>
      <c r="AY423" s="3"/>
      <c r="AZ423" s="3"/>
    </row>
    <row r="424" spans="1:52" ht="18" customHeight="1" x14ac:dyDescent="0.2">
      <c r="A424" s="3" t="str">
        <f t="shared" si="6"/>
        <v xml:space="preserve">                                                  </v>
      </c>
      <c r="B424" s="20" t="s">
        <v>174</v>
      </c>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row>
    <row r="425" spans="1:52" ht="18" customHeight="1" x14ac:dyDescent="0.2">
      <c r="A425" s="3" t="str">
        <f t="shared" si="6"/>
        <v xml:space="preserve">                                                  </v>
      </c>
      <c r="B425" s="20" t="s">
        <v>174</v>
      </c>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c r="AJ425" s="3"/>
      <c r="AK425" s="3"/>
      <c r="AL425" s="3"/>
      <c r="AM425" s="3"/>
      <c r="AN425" s="3"/>
      <c r="AO425" s="3"/>
      <c r="AP425" s="3"/>
      <c r="AQ425" s="3"/>
      <c r="AR425" s="3"/>
      <c r="AS425" s="3"/>
      <c r="AT425" s="3"/>
      <c r="AU425" s="3"/>
      <c r="AV425" s="3"/>
      <c r="AW425" s="3"/>
      <c r="AX425" s="3"/>
      <c r="AY425" s="3"/>
      <c r="AZ425" s="3"/>
    </row>
    <row r="426" spans="1:52" ht="18" customHeight="1" x14ac:dyDescent="0.2">
      <c r="A426" s="3" t="str">
        <f t="shared" si="6"/>
        <v xml:space="preserve">                                                  </v>
      </c>
      <c r="B426" s="20" t="s">
        <v>174</v>
      </c>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c r="AJ426" s="3"/>
      <c r="AK426" s="3"/>
      <c r="AL426" s="3"/>
      <c r="AM426" s="3"/>
      <c r="AN426" s="3"/>
      <c r="AO426" s="3"/>
      <c r="AP426" s="3"/>
      <c r="AQ426" s="3"/>
      <c r="AR426" s="3"/>
      <c r="AS426" s="3"/>
      <c r="AT426" s="3"/>
      <c r="AU426" s="3"/>
      <c r="AV426" s="3"/>
      <c r="AW426" s="3"/>
      <c r="AX426" s="3"/>
      <c r="AY426" s="3"/>
      <c r="AZ426" s="3"/>
    </row>
    <row r="427" spans="1:52" ht="18" customHeight="1" x14ac:dyDescent="0.2">
      <c r="A427" s="3" t="str">
        <f t="shared" si="6"/>
        <v xml:space="preserve">                                                  </v>
      </c>
      <c r="B427" s="20" t="s">
        <v>174</v>
      </c>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c r="AJ427" s="3"/>
      <c r="AK427" s="3"/>
      <c r="AL427" s="3"/>
      <c r="AM427" s="3"/>
      <c r="AN427" s="3"/>
      <c r="AO427" s="3"/>
      <c r="AP427" s="3"/>
      <c r="AQ427" s="3"/>
      <c r="AR427" s="3"/>
      <c r="AS427" s="3"/>
      <c r="AT427" s="3"/>
      <c r="AU427" s="3"/>
      <c r="AV427" s="3"/>
      <c r="AW427" s="3"/>
      <c r="AX427" s="3"/>
      <c r="AY427" s="3"/>
      <c r="AZ427" s="3"/>
    </row>
    <row r="428" spans="1:52" ht="18" customHeight="1" x14ac:dyDescent="0.2">
      <c r="A428" s="3" t="str">
        <f t="shared" si="6"/>
        <v xml:space="preserve">                                                  </v>
      </c>
      <c r="B428" s="20" t="s">
        <v>174</v>
      </c>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row>
    <row r="429" spans="1:52" ht="18" customHeight="1" x14ac:dyDescent="0.2">
      <c r="A429" s="3" t="str">
        <f t="shared" si="6"/>
        <v xml:space="preserve">                                                  </v>
      </c>
      <c r="B429" s="20" t="s">
        <v>174</v>
      </c>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c r="AH429" s="3"/>
      <c r="AI429" s="3"/>
      <c r="AJ429" s="3"/>
      <c r="AK429" s="3"/>
      <c r="AL429" s="3"/>
      <c r="AM429" s="3"/>
      <c r="AN429" s="3"/>
      <c r="AO429" s="3"/>
      <c r="AP429" s="3"/>
      <c r="AQ429" s="3"/>
      <c r="AR429" s="3"/>
      <c r="AS429" s="3"/>
      <c r="AT429" s="3"/>
      <c r="AU429" s="3"/>
      <c r="AV429" s="3"/>
      <c r="AW429" s="3"/>
      <c r="AX429" s="3"/>
      <c r="AY429" s="3"/>
      <c r="AZ429" s="3"/>
    </row>
    <row r="430" spans="1:52" ht="18" customHeight="1" x14ac:dyDescent="0.2">
      <c r="A430" s="3" t="str">
        <f t="shared" si="6"/>
        <v xml:space="preserve">                                                  </v>
      </c>
      <c r="B430" s="20" t="s">
        <v>174</v>
      </c>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c r="AJ430" s="3"/>
      <c r="AK430" s="3"/>
      <c r="AL430" s="3"/>
      <c r="AM430" s="3"/>
      <c r="AN430" s="3"/>
      <c r="AO430" s="3"/>
      <c r="AP430" s="3"/>
      <c r="AQ430" s="3"/>
      <c r="AR430" s="3"/>
      <c r="AS430" s="3"/>
      <c r="AT430" s="3"/>
      <c r="AU430" s="3"/>
      <c r="AV430" s="3"/>
      <c r="AW430" s="3"/>
      <c r="AX430" s="3"/>
      <c r="AY430" s="3"/>
      <c r="AZ430" s="3"/>
    </row>
    <row r="431" spans="1:52" ht="18" customHeight="1" x14ac:dyDescent="0.2">
      <c r="A431" s="3" t="str">
        <f t="shared" si="6"/>
        <v xml:space="preserve">                                                  </v>
      </c>
      <c r="B431" s="20" t="s">
        <v>174</v>
      </c>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c r="AJ431" s="3"/>
      <c r="AK431" s="3"/>
      <c r="AL431" s="3"/>
      <c r="AM431" s="3"/>
      <c r="AN431" s="3"/>
      <c r="AO431" s="3"/>
      <c r="AP431" s="3"/>
      <c r="AQ431" s="3"/>
      <c r="AR431" s="3"/>
      <c r="AS431" s="3"/>
      <c r="AT431" s="3"/>
      <c r="AU431" s="3"/>
      <c r="AV431" s="3"/>
      <c r="AW431" s="3"/>
      <c r="AX431" s="3"/>
      <c r="AY431" s="3"/>
      <c r="AZ431" s="3"/>
    </row>
    <row r="432" spans="1:52" ht="18" customHeight="1" x14ac:dyDescent="0.2">
      <c r="A432" s="3" t="str">
        <f t="shared" si="6"/>
        <v xml:space="preserve">                                                  </v>
      </c>
      <c r="B432" s="20" t="s">
        <v>174</v>
      </c>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row>
    <row r="433" spans="1:52" ht="18" customHeight="1" x14ac:dyDescent="0.2">
      <c r="A433" s="3" t="str">
        <f t="shared" si="6"/>
        <v xml:space="preserve">                                                  </v>
      </c>
      <c r="B433" s="20" t="s">
        <v>174</v>
      </c>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c r="AX433" s="3"/>
      <c r="AY433" s="3"/>
      <c r="AZ433" s="3"/>
    </row>
    <row r="434" spans="1:52" ht="18" customHeight="1" x14ac:dyDescent="0.2">
      <c r="A434" s="3" t="str">
        <f t="shared" si="6"/>
        <v xml:space="preserve">                                                  </v>
      </c>
      <c r="B434" s="20" t="s">
        <v>174</v>
      </c>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c r="AJ434" s="3"/>
      <c r="AK434" s="3"/>
      <c r="AL434" s="3"/>
      <c r="AM434" s="3"/>
      <c r="AN434" s="3"/>
      <c r="AO434" s="3"/>
      <c r="AP434" s="3"/>
      <c r="AQ434" s="3"/>
      <c r="AR434" s="3"/>
      <c r="AS434" s="3"/>
      <c r="AT434" s="3"/>
      <c r="AU434" s="3"/>
      <c r="AV434" s="3"/>
      <c r="AW434" s="3"/>
      <c r="AX434" s="3"/>
      <c r="AY434" s="3"/>
      <c r="AZ434" s="3"/>
    </row>
    <row r="435" spans="1:52" ht="18" customHeight="1" x14ac:dyDescent="0.2">
      <c r="A435" s="3" t="str">
        <f t="shared" si="6"/>
        <v xml:space="preserve">                                                  </v>
      </c>
      <c r="B435" s="20" t="s">
        <v>174</v>
      </c>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c r="AH435" s="3"/>
      <c r="AI435" s="3"/>
      <c r="AJ435" s="3"/>
      <c r="AK435" s="3"/>
      <c r="AL435" s="3"/>
      <c r="AM435" s="3"/>
      <c r="AN435" s="3"/>
      <c r="AO435" s="3"/>
      <c r="AP435" s="3"/>
      <c r="AQ435" s="3"/>
      <c r="AR435" s="3"/>
      <c r="AS435" s="3"/>
      <c r="AT435" s="3"/>
      <c r="AU435" s="3"/>
      <c r="AV435" s="3"/>
      <c r="AW435" s="3"/>
      <c r="AX435" s="3"/>
      <c r="AY435" s="3"/>
      <c r="AZ435" s="3"/>
    </row>
    <row r="436" spans="1:52" ht="18" customHeight="1" x14ac:dyDescent="0.2">
      <c r="A436" s="3" t="str">
        <f t="shared" si="6"/>
        <v xml:space="preserve">                                                  </v>
      </c>
      <c r="B436" s="20" t="s">
        <v>174</v>
      </c>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row>
    <row r="437" spans="1:52" ht="18" customHeight="1" x14ac:dyDescent="0.2">
      <c r="A437" s="3" t="str">
        <f t="shared" si="6"/>
        <v xml:space="preserve">                                                  </v>
      </c>
      <c r="B437" s="20" t="s">
        <v>174</v>
      </c>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c r="AH437" s="3"/>
      <c r="AI437" s="3"/>
      <c r="AJ437" s="3"/>
      <c r="AK437" s="3"/>
      <c r="AL437" s="3"/>
      <c r="AM437" s="3"/>
      <c r="AN437" s="3"/>
      <c r="AO437" s="3"/>
      <c r="AP437" s="3"/>
      <c r="AQ437" s="3"/>
      <c r="AR437" s="3"/>
      <c r="AS437" s="3"/>
      <c r="AT437" s="3"/>
      <c r="AU437" s="3"/>
      <c r="AV437" s="3"/>
      <c r="AW437" s="3"/>
      <c r="AX437" s="3"/>
      <c r="AY437" s="3"/>
      <c r="AZ437" s="3"/>
    </row>
    <row r="438" spans="1:52" ht="18" customHeight="1" x14ac:dyDescent="0.2">
      <c r="A438" s="3" t="str">
        <f t="shared" si="6"/>
        <v xml:space="preserve">                                                  </v>
      </c>
      <c r="B438" s="20" t="s">
        <v>174</v>
      </c>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c r="AH438" s="3"/>
      <c r="AI438" s="3"/>
      <c r="AJ438" s="3"/>
      <c r="AK438" s="3"/>
      <c r="AL438" s="3"/>
      <c r="AM438" s="3"/>
      <c r="AN438" s="3"/>
      <c r="AO438" s="3"/>
      <c r="AP438" s="3"/>
      <c r="AQ438" s="3"/>
      <c r="AR438" s="3"/>
      <c r="AS438" s="3"/>
      <c r="AT438" s="3"/>
      <c r="AU438" s="3"/>
      <c r="AV438" s="3"/>
      <c r="AW438" s="3"/>
      <c r="AX438" s="3"/>
      <c r="AY438" s="3"/>
      <c r="AZ438" s="3"/>
    </row>
    <row r="439" spans="1:52" ht="18" customHeight="1" x14ac:dyDescent="0.2">
      <c r="A439" s="3" t="str">
        <f t="shared" si="6"/>
        <v xml:space="preserve">                                                  </v>
      </c>
      <c r="B439" s="20" t="s">
        <v>174</v>
      </c>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c r="AH439" s="3"/>
      <c r="AI439" s="3"/>
      <c r="AJ439" s="3"/>
      <c r="AK439" s="3"/>
      <c r="AL439" s="3"/>
      <c r="AM439" s="3"/>
      <c r="AN439" s="3"/>
      <c r="AO439" s="3"/>
      <c r="AP439" s="3"/>
      <c r="AQ439" s="3"/>
      <c r="AR439" s="3"/>
      <c r="AS439" s="3"/>
      <c r="AT439" s="3"/>
      <c r="AU439" s="3"/>
      <c r="AV439" s="3"/>
      <c r="AW439" s="3"/>
      <c r="AX439" s="3"/>
      <c r="AY439" s="3"/>
      <c r="AZ439" s="3"/>
    </row>
    <row r="440" spans="1:52" ht="18" customHeight="1" x14ac:dyDescent="0.2">
      <c r="A440" s="3" t="str">
        <f t="shared" si="6"/>
        <v xml:space="preserve">                                                  </v>
      </c>
      <c r="B440" s="20" t="s">
        <v>174</v>
      </c>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row>
    <row r="441" spans="1:52" ht="18" customHeight="1" x14ac:dyDescent="0.2">
      <c r="A441" s="3" t="str">
        <f t="shared" si="6"/>
        <v xml:space="preserve">                                                  </v>
      </c>
      <c r="B441" s="20" t="s">
        <v>174</v>
      </c>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c r="AJ441" s="3"/>
      <c r="AK441" s="3"/>
      <c r="AL441" s="3"/>
      <c r="AM441" s="3"/>
      <c r="AN441" s="3"/>
      <c r="AO441" s="3"/>
      <c r="AP441" s="3"/>
      <c r="AQ441" s="3"/>
      <c r="AR441" s="3"/>
      <c r="AS441" s="3"/>
      <c r="AT441" s="3"/>
      <c r="AU441" s="3"/>
      <c r="AV441" s="3"/>
      <c r="AW441" s="3"/>
      <c r="AX441" s="3"/>
      <c r="AY441" s="3"/>
      <c r="AZ441" s="3"/>
    </row>
    <row r="442" spans="1:52" ht="18" customHeight="1" x14ac:dyDescent="0.2">
      <c r="A442" s="3" t="str">
        <f t="shared" si="6"/>
        <v xml:space="preserve">                                                  </v>
      </c>
      <c r="B442" s="20" t="s">
        <v>174</v>
      </c>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c r="AJ442" s="3"/>
      <c r="AK442" s="3"/>
      <c r="AL442" s="3"/>
      <c r="AM442" s="3"/>
      <c r="AN442" s="3"/>
      <c r="AO442" s="3"/>
      <c r="AP442" s="3"/>
      <c r="AQ442" s="3"/>
      <c r="AR442" s="3"/>
      <c r="AS442" s="3"/>
      <c r="AT442" s="3"/>
      <c r="AU442" s="3"/>
      <c r="AV442" s="3"/>
      <c r="AW442" s="3"/>
      <c r="AX442" s="3"/>
      <c r="AY442" s="3"/>
      <c r="AZ442" s="3"/>
    </row>
    <row r="443" spans="1:52" ht="18" customHeight="1" x14ac:dyDescent="0.2">
      <c r="A443" s="3" t="str">
        <f t="shared" si="6"/>
        <v xml:space="preserve">                                                  </v>
      </c>
      <c r="B443" s="20" t="s">
        <v>174</v>
      </c>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3"/>
      <c r="AY443" s="3"/>
      <c r="AZ443" s="3"/>
    </row>
    <row r="444" spans="1:52" ht="18" customHeight="1" x14ac:dyDescent="0.2">
      <c r="A444" s="3" t="str">
        <f t="shared" si="6"/>
        <v xml:space="preserve">                                                  </v>
      </c>
      <c r="B444" s="20" t="s">
        <v>174</v>
      </c>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row>
    <row r="445" spans="1:52" ht="18" customHeight="1" x14ac:dyDescent="0.2">
      <c r="A445" s="3" t="str">
        <f t="shared" si="6"/>
        <v xml:space="preserve">                                                  </v>
      </c>
      <c r="B445" s="20" t="s">
        <v>174</v>
      </c>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c r="AJ445" s="3"/>
      <c r="AK445" s="3"/>
      <c r="AL445" s="3"/>
      <c r="AM445" s="3"/>
      <c r="AN445" s="3"/>
      <c r="AO445" s="3"/>
      <c r="AP445" s="3"/>
      <c r="AQ445" s="3"/>
      <c r="AR445" s="3"/>
      <c r="AS445" s="3"/>
      <c r="AT445" s="3"/>
      <c r="AU445" s="3"/>
      <c r="AV445" s="3"/>
      <c r="AW445" s="3"/>
      <c r="AX445" s="3"/>
      <c r="AY445" s="3"/>
      <c r="AZ445" s="3"/>
    </row>
    <row r="446" spans="1:52" ht="18" customHeight="1" x14ac:dyDescent="0.2">
      <c r="A446" s="3" t="str">
        <f t="shared" si="6"/>
        <v xml:space="preserve">                                                  </v>
      </c>
      <c r="B446" s="20" t="s">
        <v>174</v>
      </c>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c r="AJ446" s="3"/>
      <c r="AK446" s="3"/>
      <c r="AL446" s="3"/>
      <c r="AM446" s="3"/>
      <c r="AN446" s="3"/>
      <c r="AO446" s="3"/>
      <c r="AP446" s="3"/>
      <c r="AQ446" s="3"/>
      <c r="AR446" s="3"/>
      <c r="AS446" s="3"/>
      <c r="AT446" s="3"/>
      <c r="AU446" s="3"/>
      <c r="AV446" s="3"/>
      <c r="AW446" s="3"/>
      <c r="AX446" s="3"/>
      <c r="AY446" s="3"/>
      <c r="AZ446" s="3"/>
    </row>
    <row r="447" spans="1:52" ht="18" customHeight="1" x14ac:dyDescent="0.2">
      <c r="A447" s="3" t="str">
        <f t="shared" si="6"/>
        <v xml:space="preserve">                                                  </v>
      </c>
      <c r="B447" s="20" t="s">
        <v>174</v>
      </c>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c r="AJ447" s="3"/>
      <c r="AK447" s="3"/>
      <c r="AL447" s="3"/>
      <c r="AM447" s="3"/>
      <c r="AN447" s="3"/>
      <c r="AO447" s="3"/>
      <c r="AP447" s="3"/>
      <c r="AQ447" s="3"/>
      <c r="AR447" s="3"/>
      <c r="AS447" s="3"/>
      <c r="AT447" s="3"/>
      <c r="AU447" s="3"/>
      <c r="AV447" s="3"/>
      <c r="AW447" s="3"/>
      <c r="AX447" s="3"/>
      <c r="AY447" s="3"/>
      <c r="AZ447" s="3"/>
    </row>
    <row r="448" spans="1:52" ht="18" customHeight="1" x14ac:dyDescent="0.2">
      <c r="A448" s="3" t="str">
        <f t="shared" si="6"/>
        <v xml:space="preserve">                                                  </v>
      </c>
      <c r="B448" s="20" t="s">
        <v>174</v>
      </c>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row>
    <row r="449" spans="1:52" ht="18" customHeight="1" x14ac:dyDescent="0.2">
      <c r="A449" s="3" t="str">
        <f t="shared" si="6"/>
        <v xml:space="preserve">                                                  </v>
      </c>
      <c r="B449" s="20" t="s">
        <v>174</v>
      </c>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c r="AJ449" s="3"/>
      <c r="AK449" s="3"/>
      <c r="AL449" s="3"/>
      <c r="AM449" s="3"/>
      <c r="AN449" s="3"/>
      <c r="AO449" s="3"/>
      <c r="AP449" s="3"/>
      <c r="AQ449" s="3"/>
      <c r="AR449" s="3"/>
      <c r="AS449" s="3"/>
      <c r="AT449" s="3"/>
      <c r="AU449" s="3"/>
      <c r="AV449" s="3"/>
      <c r="AW449" s="3"/>
      <c r="AX449" s="3"/>
      <c r="AY449" s="3"/>
      <c r="AZ449" s="3"/>
    </row>
    <row r="450" spans="1:52" ht="18" customHeight="1" x14ac:dyDescent="0.2">
      <c r="A450" s="3" t="str">
        <f t="shared" si="6"/>
        <v xml:space="preserve">                                                  </v>
      </c>
      <c r="B450" s="20" t="s">
        <v>174</v>
      </c>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3"/>
      <c r="AU450" s="3"/>
      <c r="AV450" s="3"/>
      <c r="AW450" s="3"/>
      <c r="AX450" s="3"/>
      <c r="AY450" s="3"/>
      <c r="AZ450" s="3"/>
    </row>
    <row r="451" spans="1:52" ht="18" customHeight="1" x14ac:dyDescent="0.2">
      <c r="A451" s="3" t="str">
        <f t="shared" si="6"/>
        <v xml:space="preserve">                                                  </v>
      </c>
      <c r="B451" s="20" t="s">
        <v>174</v>
      </c>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c r="AJ451" s="3"/>
      <c r="AK451" s="3"/>
      <c r="AL451" s="3"/>
      <c r="AM451" s="3"/>
      <c r="AN451" s="3"/>
      <c r="AO451" s="3"/>
      <c r="AP451" s="3"/>
      <c r="AQ451" s="3"/>
      <c r="AR451" s="3"/>
      <c r="AS451" s="3"/>
      <c r="AT451" s="3"/>
      <c r="AU451" s="3"/>
      <c r="AV451" s="3"/>
      <c r="AW451" s="3"/>
      <c r="AX451" s="3"/>
      <c r="AY451" s="3"/>
      <c r="AZ451" s="3"/>
    </row>
    <row r="452" spans="1:52" ht="18" customHeight="1" x14ac:dyDescent="0.2">
      <c r="A452" s="3" t="str">
        <f t="shared" ref="A452:A515" si="7">CONCATENATE(C452," ",D452," ",E452," ",F452," ",G452," ",H452," ",I452," ",J452," ",K452," ",L452," ",M452," ",N452," ",O452," ",P452," ",Q452," ",R452," ",S452," ",T452," ",U452," ",V452," ",W452," ",X452," ",Y452," ",Z452," ",AA452," ",AB452," ",AC452," ",AD452," ",AE452," ",AF452," ",AG452," ",AH452," ",AI452," ",AJ452," ",AK452," ",AL452," ",AM452," ",AN452," ",AO452," ",AP452," ",AQ452," ",AR452," ",AS452," ",AT452," ",AU452," ",AV452," ",AW452," ",AX452," ",AY452," ",AZ452," ",
)</f>
        <v xml:space="preserve">                                                  </v>
      </c>
      <c r="B452" s="20" t="s">
        <v>174</v>
      </c>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row>
    <row r="453" spans="1:52" ht="18" customHeight="1" x14ac:dyDescent="0.2">
      <c r="A453" s="3" t="str">
        <f t="shared" si="7"/>
        <v xml:space="preserve">                                                  </v>
      </c>
      <c r="B453" s="20" t="s">
        <v>174</v>
      </c>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c r="AJ453" s="3"/>
      <c r="AK453" s="3"/>
      <c r="AL453" s="3"/>
      <c r="AM453" s="3"/>
      <c r="AN453" s="3"/>
      <c r="AO453" s="3"/>
      <c r="AP453" s="3"/>
      <c r="AQ453" s="3"/>
      <c r="AR453" s="3"/>
      <c r="AS453" s="3"/>
      <c r="AT453" s="3"/>
      <c r="AU453" s="3"/>
      <c r="AV453" s="3"/>
      <c r="AW453" s="3"/>
      <c r="AX453" s="3"/>
      <c r="AY453" s="3"/>
      <c r="AZ453" s="3"/>
    </row>
    <row r="454" spans="1:52" ht="18" customHeight="1" x14ac:dyDescent="0.2">
      <c r="A454" s="3" t="str">
        <f t="shared" si="7"/>
        <v xml:space="preserve">                                                  </v>
      </c>
      <c r="B454" s="20" t="s">
        <v>174</v>
      </c>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c r="AJ454" s="3"/>
      <c r="AK454" s="3"/>
      <c r="AL454" s="3"/>
      <c r="AM454" s="3"/>
      <c r="AN454" s="3"/>
      <c r="AO454" s="3"/>
      <c r="AP454" s="3"/>
      <c r="AQ454" s="3"/>
      <c r="AR454" s="3"/>
      <c r="AS454" s="3"/>
      <c r="AT454" s="3"/>
      <c r="AU454" s="3"/>
      <c r="AV454" s="3"/>
      <c r="AW454" s="3"/>
      <c r="AX454" s="3"/>
      <c r="AY454" s="3"/>
      <c r="AZ454" s="3"/>
    </row>
    <row r="455" spans="1:52" ht="18" customHeight="1" x14ac:dyDescent="0.2">
      <c r="A455" s="3" t="str">
        <f t="shared" si="7"/>
        <v xml:space="preserve">                                                  </v>
      </c>
      <c r="B455" s="20" t="s">
        <v>174</v>
      </c>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c r="AJ455" s="3"/>
      <c r="AK455" s="3"/>
      <c r="AL455" s="3"/>
      <c r="AM455" s="3"/>
      <c r="AN455" s="3"/>
      <c r="AO455" s="3"/>
      <c r="AP455" s="3"/>
      <c r="AQ455" s="3"/>
      <c r="AR455" s="3"/>
      <c r="AS455" s="3"/>
      <c r="AT455" s="3"/>
      <c r="AU455" s="3"/>
      <c r="AV455" s="3"/>
      <c r="AW455" s="3"/>
      <c r="AX455" s="3"/>
      <c r="AY455" s="3"/>
      <c r="AZ455" s="3"/>
    </row>
    <row r="456" spans="1:52" ht="18" customHeight="1" x14ac:dyDescent="0.2">
      <c r="A456" s="3" t="str">
        <f t="shared" si="7"/>
        <v xml:space="preserve">                                                  </v>
      </c>
      <c r="B456" s="20" t="s">
        <v>174</v>
      </c>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row>
    <row r="457" spans="1:52" ht="18" customHeight="1" x14ac:dyDescent="0.2">
      <c r="A457" s="3" t="str">
        <f t="shared" si="7"/>
        <v xml:space="preserve">                                                  </v>
      </c>
      <c r="B457" s="20" t="s">
        <v>174</v>
      </c>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c r="AJ457" s="3"/>
      <c r="AK457" s="3"/>
      <c r="AL457" s="3"/>
      <c r="AM457" s="3"/>
      <c r="AN457" s="3"/>
      <c r="AO457" s="3"/>
      <c r="AP457" s="3"/>
      <c r="AQ457" s="3"/>
      <c r="AR457" s="3"/>
      <c r="AS457" s="3"/>
      <c r="AT457" s="3"/>
      <c r="AU457" s="3"/>
      <c r="AV457" s="3"/>
      <c r="AW457" s="3"/>
      <c r="AX457" s="3"/>
      <c r="AY457" s="3"/>
      <c r="AZ457" s="3"/>
    </row>
    <row r="458" spans="1:52" ht="18" customHeight="1" x14ac:dyDescent="0.2">
      <c r="A458" s="3" t="str">
        <f t="shared" si="7"/>
        <v xml:space="preserve">                                                  </v>
      </c>
      <c r="B458" s="20" t="s">
        <v>174</v>
      </c>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c r="AJ458" s="3"/>
      <c r="AK458" s="3"/>
      <c r="AL458" s="3"/>
      <c r="AM458" s="3"/>
      <c r="AN458" s="3"/>
      <c r="AO458" s="3"/>
      <c r="AP458" s="3"/>
      <c r="AQ458" s="3"/>
      <c r="AR458" s="3"/>
      <c r="AS458" s="3"/>
      <c r="AT458" s="3"/>
      <c r="AU458" s="3"/>
      <c r="AV458" s="3"/>
      <c r="AW458" s="3"/>
      <c r="AX458" s="3"/>
      <c r="AY458" s="3"/>
      <c r="AZ458" s="3"/>
    </row>
    <row r="459" spans="1:52" ht="18" customHeight="1" x14ac:dyDescent="0.2">
      <c r="A459" s="3" t="str">
        <f t="shared" si="7"/>
        <v xml:space="preserve">                                                  </v>
      </c>
      <c r="B459" s="20" t="s">
        <v>174</v>
      </c>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c r="AH459" s="3"/>
      <c r="AI459" s="3"/>
      <c r="AJ459" s="3"/>
      <c r="AK459" s="3"/>
      <c r="AL459" s="3"/>
      <c r="AM459" s="3"/>
      <c r="AN459" s="3"/>
      <c r="AO459" s="3"/>
      <c r="AP459" s="3"/>
      <c r="AQ459" s="3"/>
      <c r="AR459" s="3"/>
      <c r="AS459" s="3"/>
      <c r="AT459" s="3"/>
      <c r="AU459" s="3"/>
      <c r="AV459" s="3"/>
      <c r="AW459" s="3"/>
      <c r="AX459" s="3"/>
      <c r="AY459" s="3"/>
      <c r="AZ459" s="3"/>
    </row>
    <row r="460" spans="1:52" ht="18" customHeight="1" x14ac:dyDescent="0.2">
      <c r="A460" s="3" t="str">
        <f t="shared" si="7"/>
        <v xml:space="preserve">                                                  </v>
      </c>
      <c r="B460" s="20" t="s">
        <v>174</v>
      </c>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row>
    <row r="461" spans="1:52" ht="18" customHeight="1" x14ac:dyDescent="0.2">
      <c r="A461" s="3" t="str">
        <f t="shared" si="7"/>
        <v xml:space="preserve">                                                  </v>
      </c>
      <c r="B461" s="20" t="s">
        <v>174</v>
      </c>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c r="AH461" s="3"/>
      <c r="AI461" s="3"/>
      <c r="AJ461" s="3"/>
      <c r="AK461" s="3"/>
      <c r="AL461" s="3"/>
      <c r="AM461" s="3"/>
      <c r="AN461" s="3"/>
      <c r="AO461" s="3"/>
      <c r="AP461" s="3"/>
      <c r="AQ461" s="3"/>
      <c r="AR461" s="3"/>
      <c r="AS461" s="3"/>
      <c r="AT461" s="3"/>
      <c r="AU461" s="3"/>
      <c r="AV461" s="3"/>
      <c r="AW461" s="3"/>
      <c r="AX461" s="3"/>
      <c r="AY461" s="3"/>
      <c r="AZ461" s="3"/>
    </row>
    <row r="462" spans="1:52" ht="18" customHeight="1" x14ac:dyDescent="0.2">
      <c r="A462" s="3" t="str">
        <f t="shared" si="7"/>
        <v xml:space="preserve">                                                  </v>
      </c>
      <c r="B462" s="20" t="s">
        <v>174</v>
      </c>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c r="AJ462" s="3"/>
      <c r="AK462" s="3"/>
      <c r="AL462" s="3"/>
      <c r="AM462" s="3"/>
      <c r="AN462" s="3"/>
      <c r="AO462" s="3"/>
      <c r="AP462" s="3"/>
      <c r="AQ462" s="3"/>
      <c r="AR462" s="3"/>
      <c r="AS462" s="3"/>
      <c r="AT462" s="3"/>
      <c r="AU462" s="3"/>
      <c r="AV462" s="3"/>
      <c r="AW462" s="3"/>
      <c r="AX462" s="3"/>
      <c r="AY462" s="3"/>
      <c r="AZ462" s="3"/>
    </row>
    <row r="463" spans="1:52" ht="18" customHeight="1" x14ac:dyDescent="0.2">
      <c r="A463" s="3" t="str">
        <f t="shared" si="7"/>
        <v xml:space="preserve">                                                  </v>
      </c>
      <c r="B463" s="20" t="s">
        <v>174</v>
      </c>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c r="AH463" s="3"/>
      <c r="AI463" s="3"/>
      <c r="AJ463" s="3"/>
      <c r="AK463" s="3"/>
      <c r="AL463" s="3"/>
      <c r="AM463" s="3"/>
      <c r="AN463" s="3"/>
      <c r="AO463" s="3"/>
      <c r="AP463" s="3"/>
      <c r="AQ463" s="3"/>
      <c r="AR463" s="3"/>
      <c r="AS463" s="3"/>
      <c r="AT463" s="3"/>
      <c r="AU463" s="3"/>
      <c r="AV463" s="3"/>
      <c r="AW463" s="3"/>
      <c r="AX463" s="3"/>
      <c r="AY463" s="3"/>
      <c r="AZ463" s="3"/>
    </row>
    <row r="464" spans="1:52" ht="18" customHeight="1" x14ac:dyDescent="0.2">
      <c r="A464" s="3" t="str">
        <f t="shared" si="7"/>
        <v xml:space="preserve">                                                  </v>
      </c>
      <c r="B464" s="20" t="s">
        <v>174</v>
      </c>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row>
    <row r="465" spans="1:52" ht="18" customHeight="1" x14ac:dyDescent="0.2">
      <c r="A465" s="3" t="str">
        <f t="shared" si="7"/>
        <v xml:space="preserve">                                                  </v>
      </c>
      <c r="B465" s="20" t="s">
        <v>174</v>
      </c>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c r="AH465" s="3"/>
      <c r="AI465" s="3"/>
      <c r="AJ465" s="3"/>
      <c r="AK465" s="3"/>
      <c r="AL465" s="3"/>
      <c r="AM465" s="3"/>
      <c r="AN465" s="3"/>
      <c r="AO465" s="3"/>
      <c r="AP465" s="3"/>
      <c r="AQ465" s="3"/>
      <c r="AR465" s="3"/>
      <c r="AS465" s="3"/>
      <c r="AT465" s="3"/>
      <c r="AU465" s="3"/>
      <c r="AV465" s="3"/>
      <c r="AW465" s="3"/>
      <c r="AX465" s="3"/>
      <c r="AY465" s="3"/>
      <c r="AZ465" s="3"/>
    </row>
    <row r="466" spans="1:52" ht="18" customHeight="1" x14ac:dyDescent="0.2">
      <c r="A466" s="3" t="str">
        <f t="shared" si="7"/>
        <v xml:space="preserve">                                                  </v>
      </c>
      <c r="B466" s="20" t="s">
        <v>174</v>
      </c>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c r="AH466" s="3"/>
      <c r="AI466" s="3"/>
      <c r="AJ466" s="3"/>
      <c r="AK466" s="3"/>
      <c r="AL466" s="3"/>
      <c r="AM466" s="3"/>
      <c r="AN466" s="3"/>
      <c r="AO466" s="3"/>
      <c r="AP466" s="3"/>
      <c r="AQ466" s="3"/>
      <c r="AR466" s="3"/>
      <c r="AS466" s="3"/>
      <c r="AT466" s="3"/>
      <c r="AU466" s="3"/>
      <c r="AV466" s="3"/>
      <c r="AW466" s="3"/>
      <c r="AX466" s="3"/>
      <c r="AY466" s="3"/>
      <c r="AZ466" s="3"/>
    </row>
    <row r="467" spans="1:52" ht="18" customHeight="1" x14ac:dyDescent="0.2">
      <c r="A467" s="3" t="str">
        <f t="shared" si="7"/>
        <v xml:space="preserve">                                                  </v>
      </c>
      <c r="B467" s="20" t="s">
        <v>174</v>
      </c>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c r="AH467" s="3"/>
      <c r="AI467" s="3"/>
      <c r="AJ467" s="3"/>
      <c r="AK467" s="3"/>
      <c r="AL467" s="3"/>
      <c r="AM467" s="3"/>
      <c r="AN467" s="3"/>
      <c r="AO467" s="3"/>
      <c r="AP467" s="3"/>
      <c r="AQ467" s="3"/>
      <c r="AR467" s="3"/>
      <c r="AS467" s="3"/>
      <c r="AT467" s="3"/>
      <c r="AU467" s="3"/>
      <c r="AV467" s="3"/>
      <c r="AW467" s="3"/>
      <c r="AX467" s="3"/>
      <c r="AY467" s="3"/>
      <c r="AZ467" s="3"/>
    </row>
    <row r="468" spans="1:52" ht="18" customHeight="1" x14ac:dyDescent="0.2">
      <c r="A468" s="3" t="str">
        <f t="shared" si="7"/>
        <v xml:space="preserve">                                                  </v>
      </c>
      <c r="B468" s="20" t="s">
        <v>174</v>
      </c>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row>
    <row r="469" spans="1:52" ht="18" customHeight="1" x14ac:dyDescent="0.2">
      <c r="A469" s="3" t="str">
        <f t="shared" si="7"/>
        <v xml:space="preserve">                                                  </v>
      </c>
      <c r="B469" s="20" t="s">
        <v>174</v>
      </c>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c r="AH469" s="3"/>
      <c r="AI469" s="3"/>
      <c r="AJ469" s="3"/>
      <c r="AK469" s="3"/>
      <c r="AL469" s="3"/>
      <c r="AM469" s="3"/>
      <c r="AN469" s="3"/>
      <c r="AO469" s="3"/>
      <c r="AP469" s="3"/>
      <c r="AQ469" s="3"/>
      <c r="AR469" s="3"/>
      <c r="AS469" s="3"/>
      <c r="AT469" s="3"/>
      <c r="AU469" s="3"/>
      <c r="AV469" s="3"/>
      <c r="AW469" s="3"/>
      <c r="AX469" s="3"/>
      <c r="AY469" s="3"/>
      <c r="AZ469" s="3"/>
    </row>
    <row r="470" spans="1:52" ht="18" customHeight="1" x14ac:dyDescent="0.2">
      <c r="A470" s="3" t="str">
        <f t="shared" si="7"/>
        <v xml:space="preserve">                                                  </v>
      </c>
      <c r="B470" s="20" t="s">
        <v>174</v>
      </c>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c r="AH470" s="3"/>
      <c r="AI470" s="3"/>
      <c r="AJ470" s="3"/>
      <c r="AK470" s="3"/>
      <c r="AL470" s="3"/>
      <c r="AM470" s="3"/>
      <c r="AN470" s="3"/>
      <c r="AO470" s="3"/>
      <c r="AP470" s="3"/>
      <c r="AQ470" s="3"/>
      <c r="AR470" s="3"/>
      <c r="AS470" s="3"/>
      <c r="AT470" s="3"/>
      <c r="AU470" s="3"/>
      <c r="AV470" s="3"/>
      <c r="AW470" s="3"/>
      <c r="AX470" s="3"/>
      <c r="AY470" s="3"/>
      <c r="AZ470" s="3"/>
    </row>
    <row r="471" spans="1:52" ht="18" customHeight="1" x14ac:dyDescent="0.2">
      <c r="A471" s="3" t="str">
        <f t="shared" si="7"/>
        <v xml:space="preserve">                                                  </v>
      </c>
      <c r="B471" s="20" t="s">
        <v>174</v>
      </c>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c r="AH471" s="3"/>
      <c r="AI471" s="3"/>
      <c r="AJ471" s="3"/>
      <c r="AK471" s="3"/>
      <c r="AL471" s="3"/>
      <c r="AM471" s="3"/>
      <c r="AN471" s="3"/>
      <c r="AO471" s="3"/>
      <c r="AP471" s="3"/>
      <c r="AQ471" s="3"/>
      <c r="AR471" s="3"/>
      <c r="AS471" s="3"/>
      <c r="AT471" s="3"/>
      <c r="AU471" s="3"/>
      <c r="AV471" s="3"/>
      <c r="AW471" s="3"/>
      <c r="AX471" s="3"/>
      <c r="AY471" s="3"/>
      <c r="AZ471" s="3"/>
    </row>
    <row r="472" spans="1:52" ht="18" customHeight="1" x14ac:dyDescent="0.2">
      <c r="A472" s="3" t="str">
        <f t="shared" si="7"/>
        <v xml:space="preserve">                                                  </v>
      </c>
      <c r="B472" s="20" t="s">
        <v>174</v>
      </c>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row>
    <row r="473" spans="1:52" ht="18" customHeight="1" x14ac:dyDescent="0.2">
      <c r="A473" s="3" t="str">
        <f t="shared" si="7"/>
        <v xml:space="preserve">                                                  </v>
      </c>
      <c r="B473" s="20" t="s">
        <v>174</v>
      </c>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c r="AH473" s="3"/>
      <c r="AI473" s="3"/>
      <c r="AJ473" s="3"/>
      <c r="AK473" s="3"/>
      <c r="AL473" s="3"/>
      <c r="AM473" s="3"/>
      <c r="AN473" s="3"/>
      <c r="AO473" s="3"/>
      <c r="AP473" s="3"/>
      <c r="AQ473" s="3"/>
      <c r="AR473" s="3"/>
      <c r="AS473" s="3"/>
      <c r="AT473" s="3"/>
      <c r="AU473" s="3"/>
      <c r="AV473" s="3"/>
      <c r="AW473" s="3"/>
      <c r="AX473" s="3"/>
      <c r="AY473" s="3"/>
      <c r="AZ473" s="3"/>
    </row>
    <row r="474" spans="1:52" ht="18" customHeight="1" x14ac:dyDescent="0.2">
      <c r="A474" s="3" t="str">
        <f t="shared" si="7"/>
        <v xml:space="preserve">                                                  </v>
      </c>
      <c r="B474" s="20" t="s">
        <v>174</v>
      </c>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c r="AH474" s="3"/>
      <c r="AI474" s="3"/>
      <c r="AJ474" s="3"/>
      <c r="AK474" s="3"/>
      <c r="AL474" s="3"/>
      <c r="AM474" s="3"/>
      <c r="AN474" s="3"/>
      <c r="AO474" s="3"/>
      <c r="AP474" s="3"/>
      <c r="AQ474" s="3"/>
      <c r="AR474" s="3"/>
      <c r="AS474" s="3"/>
      <c r="AT474" s="3"/>
      <c r="AU474" s="3"/>
      <c r="AV474" s="3"/>
      <c r="AW474" s="3"/>
      <c r="AX474" s="3"/>
      <c r="AY474" s="3"/>
      <c r="AZ474" s="3"/>
    </row>
    <row r="475" spans="1:52" ht="18" customHeight="1" x14ac:dyDescent="0.2">
      <c r="A475" s="3" t="str">
        <f t="shared" si="7"/>
        <v xml:space="preserve">                                                  </v>
      </c>
      <c r="B475" s="20" t="s">
        <v>174</v>
      </c>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c r="AH475" s="3"/>
      <c r="AI475" s="3"/>
      <c r="AJ475" s="3"/>
      <c r="AK475" s="3"/>
      <c r="AL475" s="3"/>
      <c r="AM475" s="3"/>
      <c r="AN475" s="3"/>
      <c r="AO475" s="3"/>
      <c r="AP475" s="3"/>
      <c r="AQ475" s="3"/>
      <c r="AR475" s="3"/>
      <c r="AS475" s="3"/>
      <c r="AT475" s="3"/>
      <c r="AU475" s="3"/>
      <c r="AV475" s="3"/>
      <c r="AW475" s="3"/>
      <c r="AX475" s="3"/>
      <c r="AY475" s="3"/>
      <c r="AZ475" s="3"/>
    </row>
    <row r="476" spans="1:52" ht="18" customHeight="1" x14ac:dyDescent="0.2">
      <c r="A476" s="3" t="str">
        <f t="shared" si="7"/>
        <v xml:space="preserve">                                                  </v>
      </c>
      <c r="B476" s="20" t="s">
        <v>174</v>
      </c>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row>
    <row r="477" spans="1:52" ht="18" customHeight="1" x14ac:dyDescent="0.2">
      <c r="A477" s="3" t="str">
        <f t="shared" si="7"/>
        <v xml:space="preserve">                                                  </v>
      </c>
      <c r="B477" s="20" t="s">
        <v>174</v>
      </c>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c r="AH477" s="3"/>
      <c r="AI477" s="3"/>
      <c r="AJ477" s="3"/>
      <c r="AK477" s="3"/>
      <c r="AL477" s="3"/>
      <c r="AM477" s="3"/>
      <c r="AN477" s="3"/>
      <c r="AO477" s="3"/>
      <c r="AP477" s="3"/>
      <c r="AQ477" s="3"/>
      <c r="AR477" s="3"/>
      <c r="AS477" s="3"/>
      <c r="AT477" s="3"/>
      <c r="AU477" s="3"/>
      <c r="AV477" s="3"/>
      <c r="AW477" s="3"/>
      <c r="AX477" s="3"/>
      <c r="AY477" s="3"/>
      <c r="AZ477" s="3"/>
    </row>
    <row r="478" spans="1:52" ht="18" customHeight="1" x14ac:dyDescent="0.2">
      <c r="A478" s="3" t="str">
        <f t="shared" si="7"/>
        <v xml:space="preserve">                                                  </v>
      </c>
      <c r="B478" s="20" t="s">
        <v>174</v>
      </c>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c r="AH478" s="3"/>
      <c r="AI478" s="3"/>
      <c r="AJ478" s="3"/>
      <c r="AK478" s="3"/>
      <c r="AL478" s="3"/>
      <c r="AM478" s="3"/>
      <c r="AN478" s="3"/>
      <c r="AO478" s="3"/>
      <c r="AP478" s="3"/>
      <c r="AQ478" s="3"/>
      <c r="AR478" s="3"/>
      <c r="AS478" s="3"/>
      <c r="AT478" s="3"/>
      <c r="AU478" s="3"/>
      <c r="AV478" s="3"/>
      <c r="AW478" s="3"/>
      <c r="AX478" s="3"/>
      <c r="AY478" s="3"/>
      <c r="AZ478" s="3"/>
    </row>
    <row r="479" spans="1:52" ht="18" customHeight="1" x14ac:dyDescent="0.2">
      <c r="A479" s="3" t="str">
        <f t="shared" si="7"/>
        <v xml:space="preserve">                                                  </v>
      </c>
      <c r="B479" s="20" t="s">
        <v>174</v>
      </c>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c r="AH479" s="3"/>
      <c r="AI479" s="3"/>
      <c r="AJ479" s="3"/>
      <c r="AK479" s="3"/>
      <c r="AL479" s="3"/>
      <c r="AM479" s="3"/>
      <c r="AN479" s="3"/>
      <c r="AO479" s="3"/>
      <c r="AP479" s="3"/>
      <c r="AQ479" s="3"/>
      <c r="AR479" s="3"/>
      <c r="AS479" s="3"/>
      <c r="AT479" s="3"/>
      <c r="AU479" s="3"/>
      <c r="AV479" s="3"/>
      <c r="AW479" s="3"/>
      <c r="AX479" s="3"/>
      <c r="AY479" s="3"/>
      <c r="AZ479" s="3"/>
    </row>
    <row r="480" spans="1:52" ht="18" customHeight="1" x14ac:dyDescent="0.2">
      <c r="A480" s="3" t="str">
        <f t="shared" si="7"/>
        <v xml:space="preserve">                                                  </v>
      </c>
      <c r="B480" s="20" t="s">
        <v>174</v>
      </c>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row>
    <row r="481" spans="1:52" ht="18" customHeight="1" x14ac:dyDescent="0.2">
      <c r="A481" s="3" t="str">
        <f t="shared" si="7"/>
        <v xml:space="preserve">                                                  </v>
      </c>
      <c r="B481" s="20" t="s">
        <v>174</v>
      </c>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c r="AH481" s="3"/>
      <c r="AI481" s="3"/>
      <c r="AJ481" s="3"/>
      <c r="AK481" s="3"/>
      <c r="AL481" s="3"/>
      <c r="AM481" s="3"/>
      <c r="AN481" s="3"/>
      <c r="AO481" s="3"/>
      <c r="AP481" s="3"/>
      <c r="AQ481" s="3"/>
      <c r="AR481" s="3"/>
      <c r="AS481" s="3"/>
      <c r="AT481" s="3"/>
      <c r="AU481" s="3"/>
      <c r="AV481" s="3"/>
      <c r="AW481" s="3"/>
      <c r="AX481" s="3"/>
      <c r="AY481" s="3"/>
      <c r="AZ481" s="3"/>
    </row>
    <row r="482" spans="1:52" ht="18" customHeight="1" x14ac:dyDescent="0.2">
      <c r="A482" s="3" t="str">
        <f t="shared" si="7"/>
        <v xml:space="preserve">                                                  </v>
      </c>
      <c r="B482" s="20" t="s">
        <v>174</v>
      </c>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c r="AH482" s="3"/>
      <c r="AI482" s="3"/>
      <c r="AJ482" s="3"/>
      <c r="AK482" s="3"/>
      <c r="AL482" s="3"/>
      <c r="AM482" s="3"/>
      <c r="AN482" s="3"/>
      <c r="AO482" s="3"/>
      <c r="AP482" s="3"/>
      <c r="AQ482" s="3"/>
      <c r="AR482" s="3"/>
      <c r="AS482" s="3"/>
      <c r="AT482" s="3"/>
      <c r="AU482" s="3"/>
      <c r="AV482" s="3"/>
      <c r="AW482" s="3"/>
      <c r="AX482" s="3"/>
      <c r="AY482" s="3"/>
      <c r="AZ482" s="3"/>
    </row>
    <row r="483" spans="1:52" ht="18" customHeight="1" x14ac:dyDescent="0.2">
      <c r="A483" s="3" t="str">
        <f t="shared" si="7"/>
        <v xml:space="preserve">                                                  </v>
      </c>
      <c r="B483" s="20" t="s">
        <v>174</v>
      </c>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c r="AH483" s="3"/>
      <c r="AI483" s="3"/>
      <c r="AJ483" s="3"/>
      <c r="AK483" s="3"/>
      <c r="AL483" s="3"/>
      <c r="AM483" s="3"/>
      <c r="AN483" s="3"/>
      <c r="AO483" s="3"/>
      <c r="AP483" s="3"/>
      <c r="AQ483" s="3"/>
      <c r="AR483" s="3"/>
      <c r="AS483" s="3"/>
      <c r="AT483" s="3"/>
      <c r="AU483" s="3"/>
      <c r="AV483" s="3"/>
      <c r="AW483" s="3"/>
      <c r="AX483" s="3"/>
      <c r="AY483" s="3"/>
      <c r="AZ483" s="3"/>
    </row>
    <row r="484" spans="1:52" ht="18" customHeight="1" x14ac:dyDescent="0.2">
      <c r="A484" s="3" t="str">
        <f t="shared" si="7"/>
        <v xml:space="preserve">                                                  </v>
      </c>
      <c r="B484" s="20" t="s">
        <v>174</v>
      </c>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row>
    <row r="485" spans="1:52" ht="18" customHeight="1" x14ac:dyDescent="0.2">
      <c r="A485" s="3" t="str">
        <f t="shared" si="7"/>
        <v xml:space="preserve">                                                  </v>
      </c>
      <c r="B485" s="20" t="s">
        <v>174</v>
      </c>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c r="AH485" s="3"/>
      <c r="AI485" s="3"/>
      <c r="AJ485" s="3"/>
      <c r="AK485" s="3"/>
      <c r="AL485" s="3"/>
      <c r="AM485" s="3"/>
      <c r="AN485" s="3"/>
      <c r="AO485" s="3"/>
      <c r="AP485" s="3"/>
      <c r="AQ485" s="3"/>
      <c r="AR485" s="3"/>
      <c r="AS485" s="3"/>
      <c r="AT485" s="3"/>
      <c r="AU485" s="3"/>
      <c r="AV485" s="3"/>
      <c r="AW485" s="3"/>
      <c r="AX485" s="3"/>
      <c r="AY485" s="3"/>
      <c r="AZ485" s="3"/>
    </row>
    <row r="486" spans="1:52" ht="18" customHeight="1" x14ac:dyDescent="0.2">
      <c r="A486" s="3" t="str">
        <f t="shared" si="7"/>
        <v xml:space="preserve">                                                  </v>
      </c>
      <c r="B486" s="20" t="s">
        <v>174</v>
      </c>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c r="AH486" s="3"/>
      <c r="AI486" s="3"/>
      <c r="AJ486" s="3"/>
      <c r="AK486" s="3"/>
      <c r="AL486" s="3"/>
      <c r="AM486" s="3"/>
      <c r="AN486" s="3"/>
      <c r="AO486" s="3"/>
      <c r="AP486" s="3"/>
      <c r="AQ486" s="3"/>
      <c r="AR486" s="3"/>
      <c r="AS486" s="3"/>
      <c r="AT486" s="3"/>
      <c r="AU486" s="3"/>
      <c r="AV486" s="3"/>
      <c r="AW486" s="3"/>
      <c r="AX486" s="3"/>
      <c r="AY486" s="3"/>
      <c r="AZ486" s="3"/>
    </row>
    <row r="487" spans="1:52" ht="18" customHeight="1" x14ac:dyDescent="0.2">
      <c r="A487" s="3" t="str">
        <f t="shared" si="7"/>
        <v xml:space="preserve">                                                  </v>
      </c>
      <c r="B487" s="20" t="s">
        <v>174</v>
      </c>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c r="AH487" s="3"/>
      <c r="AI487" s="3"/>
      <c r="AJ487" s="3"/>
      <c r="AK487" s="3"/>
      <c r="AL487" s="3"/>
      <c r="AM487" s="3"/>
      <c r="AN487" s="3"/>
      <c r="AO487" s="3"/>
      <c r="AP487" s="3"/>
      <c r="AQ487" s="3"/>
      <c r="AR487" s="3"/>
      <c r="AS487" s="3"/>
      <c r="AT487" s="3"/>
      <c r="AU487" s="3"/>
      <c r="AV487" s="3"/>
      <c r="AW487" s="3"/>
      <c r="AX487" s="3"/>
      <c r="AY487" s="3"/>
      <c r="AZ487" s="3"/>
    </row>
    <row r="488" spans="1:52" ht="18" customHeight="1" x14ac:dyDescent="0.2">
      <c r="A488" s="3" t="str">
        <f t="shared" si="7"/>
        <v xml:space="preserve">                                                  </v>
      </c>
      <c r="B488" s="20" t="s">
        <v>174</v>
      </c>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row>
    <row r="489" spans="1:52" ht="18" customHeight="1" x14ac:dyDescent="0.2">
      <c r="A489" s="3" t="str">
        <f t="shared" si="7"/>
        <v xml:space="preserve">                                                  </v>
      </c>
      <c r="B489" s="20" t="s">
        <v>174</v>
      </c>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c r="AH489" s="3"/>
      <c r="AI489" s="3"/>
      <c r="AJ489" s="3"/>
      <c r="AK489" s="3"/>
      <c r="AL489" s="3"/>
      <c r="AM489" s="3"/>
      <c r="AN489" s="3"/>
      <c r="AO489" s="3"/>
      <c r="AP489" s="3"/>
      <c r="AQ489" s="3"/>
      <c r="AR489" s="3"/>
      <c r="AS489" s="3"/>
      <c r="AT489" s="3"/>
      <c r="AU489" s="3"/>
      <c r="AV489" s="3"/>
      <c r="AW489" s="3"/>
      <c r="AX489" s="3"/>
      <c r="AY489" s="3"/>
      <c r="AZ489" s="3"/>
    </row>
    <row r="490" spans="1:52" ht="18" customHeight="1" x14ac:dyDescent="0.2">
      <c r="A490" s="3" t="str">
        <f t="shared" si="7"/>
        <v xml:space="preserve">                                                  </v>
      </c>
      <c r="B490" s="20" t="s">
        <v>174</v>
      </c>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c r="AJ490" s="3"/>
      <c r="AK490" s="3"/>
      <c r="AL490" s="3"/>
      <c r="AM490" s="3"/>
      <c r="AN490" s="3"/>
      <c r="AO490" s="3"/>
      <c r="AP490" s="3"/>
      <c r="AQ490" s="3"/>
      <c r="AR490" s="3"/>
      <c r="AS490" s="3"/>
      <c r="AT490" s="3"/>
      <c r="AU490" s="3"/>
      <c r="AV490" s="3"/>
      <c r="AW490" s="3"/>
      <c r="AX490" s="3"/>
      <c r="AY490" s="3"/>
      <c r="AZ490" s="3"/>
    </row>
    <row r="491" spans="1:52" ht="18" customHeight="1" x14ac:dyDescent="0.2">
      <c r="A491" s="3" t="str">
        <f t="shared" si="7"/>
        <v xml:space="preserve">                                                  </v>
      </c>
      <c r="B491" s="20" t="s">
        <v>174</v>
      </c>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c r="AH491" s="3"/>
      <c r="AI491" s="3"/>
      <c r="AJ491" s="3"/>
      <c r="AK491" s="3"/>
      <c r="AL491" s="3"/>
      <c r="AM491" s="3"/>
      <c r="AN491" s="3"/>
      <c r="AO491" s="3"/>
      <c r="AP491" s="3"/>
      <c r="AQ491" s="3"/>
      <c r="AR491" s="3"/>
      <c r="AS491" s="3"/>
      <c r="AT491" s="3"/>
      <c r="AU491" s="3"/>
      <c r="AV491" s="3"/>
      <c r="AW491" s="3"/>
      <c r="AX491" s="3"/>
      <c r="AY491" s="3"/>
      <c r="AZ491" s="3"/>
    </row>
    <row r="492" spans="1:52" ht="18" customHeight="1" x14ac:dyDescent="0.2">
      <c r="A492" s="3" t="str">
        <f t="shared" si="7"/>
        <v xml:space="preserve">                                                  </v>
      </c>
      <c r="B492" s="20" t="s">
        <v>174</v>
      </c>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row>
    <row r="493" spans="1:52" ht="18" customHeight="1" x14ac:dyDescent="0.2">
      <c r="A493" s="3" t="str">
        <f t="shared" si="7"/>
        <v xml:space="preserve">                                                  </v>
      </c>
      <c r="B493" s="20" t="s">
        <v>174</v>
      </c>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c r="AH493" s="3"/>
      <c r="AI493" s="3"/>
      <c r="AJ493" s="3"/>
      <c r="AK493" s="3"/>
      <c r="AL493" s="3"/>
      <c r="AM493" s="3"/>
      <c r="AN493" s="3"/>
      <c r="AO493" s="3"/>
      <c r="AP493" s="3"/>
      <c r="AQ493" s="3"/>
      <c r="AR493" s="3"/>
      <c r="AS493" s="3"/>
      <c r="AT493" s="3"/>
      <c r="AU493" s="3"/>
      <c r="AV493" s="3"/>
      <c r="AW493" s="3"/>
      <c r="AX493" s="3"/>
      <c r="AY493" s="3"/>
      <c r="AZ493" s="3"/>
    </row>
    <row r="494" spans="1:52" ht="18" customHeight="1" x14ac:dyDescent="0.2">
      <c r="A494" s="3" t="str">
        <f t="shared" si="7"/>
        <v xml:space="preserve">                                                  </v>
      </c>
      <c r="B494" s="20" t="s">
        <v>174</v>
      </c>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c r="AH494" s="3"/>
      <c r="AI494" s="3"/>
      <c r="AJ494" s="3"/>
      <c r="AK494" s="3"/>
      <c r="AL494" s="3"/>
      <c r="AM494" s="3"/>
      <c r="AN494" s="3"/>
      <c r="AO494" s="3"/>
      <c r="AP494" s="3"/>
      <c r="AQ494" s="3"/>
      <c r="AR494" s="3"/>
      <c r="AS494" s="3"/>
      <c r="AT494" s="3"/>
      <c r="AU494" s="3"/>
      <c r="AV494" s="3"/>
      <c r="AW494" s="3"/>
      <c r="AX494" s="3"/>
      <c r="AY494" s="3"/>
      <c r="AZ494" s="3"/>
    </row>
    <row r="495" spans="1:52" ht="18" customHeight="1" x14ac:dyDescent="0.2">
      <c r="A495" s="3" t="str">
        <f t="shared" si="7"/>
        <v xml:space="preserve">                                                  </v>
      </c>
      <c r="B495" s="20" t="s">
        <v>174</v>
      </c>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c r="AH495" s="3"/>
      <c r="AI495" s="3"/>
      <c r="AJ495" s="3"/>
      <c r="AK495" s="3"/>
      <c r="AL495" s="3"/>
      <c r="AM495" s="3"/>
      <c r="AN495" s="3"/>
      <c r="AO495" s="3"/>
      <c r="AP495" s="3"/>
      <c r="AQ495" s="3"/>
      <c r="AR495" s="3"/>
      <c r="AS495" s="3"/>
      <c r="AT495" s="3"/>
      <c r="AU495" s="3"/>
      <c r="AV495" s="3"/>
      <c r="AW495" s="3"/>
      <c r="AX495" s="3"/>
      <c r="AY495" s="3"/>
      <c r="AZ495" s="3"/>
    </row>
    <row r="496" spans="1:52" ht="18" customHeight="1" x14ac:dyDescent="0.2">
      <c r="A496" s="3" t="str">
        <f t="shared" si="7"/>
        <v xml:space="preserve">                                                  </v>
      </c>
      <c r="B496" s="20" t="s">
        <v>174</v>
      </c>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row>
    <row r="497" spans="1:52" ht="18" customHeight="1" x14ac:dyDescent="0.2">
      <c r="A497" s="3" t="str">
        <f t="shared" si="7"/>
        <v xml:space="preserve">                                                  </v>
      </c>
      <c r="B497" s="20" t="s">
        <v>174</v>
      </c>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c r="AH497" s="3"/>
      <c r="AI497" s="3"/>
      <c r="AJ497" s="3"/>
      <c r="AK497" s="3"/>
      <c r="AL497" s="3"/>
      <c r="AM497" s="3"/>
      <c r="AN497" s="3"/>
      <c r="AO497" s="3"/>
      <c r="AP497" s="3"/>
      <c r="AQ497" s="3"/>
      <c r="AR497" s="3"/>
      <c r="AS497" s="3"/>
      <c r="AT497" s="3"/>
      <c r="AU497" s="3"/>
      <c r="AV497" s="3"/>
      <c r="AW497" s="3"/>
      <c r="AX497" s="3"/>
      <c r="AY497" s="3"/>
      <c r="AZ497" s="3"/>
    </row>
    <row r="498" spans="1:52" ht="18" customHeight="1" x14ac:dyDescent="0.2">
      <c r="A498" s="3" t="str">
        <f t="shared" si="7"/>
        <v xml:space="preserve">                                                  </v>
      </c>
      <c r="B498" s="20" t="s">
        <v>174</v>
      </c>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c r="AH498" s="3"/>
      <c r="AI498" s="3"/>
      <c r="AJ498" s="3"/>
      <c r="AK498" s="3"/>
      <c r="AL498" s="3"/>
      <c r="AM498" s="3"/>
      <c r="AN498" s="3"/>
      <c r="AO498" s="3"/>
      <c r="AP498" s="3"/>
      <c r="AQ498" s="3"/>
      <c r="AR498" s="3"/>
      <c r="AS498" s="3"/>
      <c r="AT498" s="3"/>
      <c r="AU498" s="3"/>
      <c r="AV498" s="3"/>
      <c r="AW498" s="3"/>
      <c r="AX498" s="3"/>
      <c r="AY498" s="3"/>
      <c r="AZ498" s="3"/>
    </row>
    <row r="499" spans="1:52" ht="18" customHeight="1" x14ac:dyDescent="0.2">
      <c r="A499" s="3" t="str">
        <f t="shared" si="7"/>
        <v xml:space="preserve">                                                  </v>
      </c>
      <c r="B499" s="20" t="s">
        <v>174</v>
      </c>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c r="AH499" s="3"/>
      <c r="AI499" s="3"/>
      <c r="AJ499" s="3"/>
      <c r="AK499" s="3"/>
      <c r="AL499" s="3"/>
      <c r="AM499" s="3"/>
      <c r="AN499" s="3"/>
      <c r="AO499" s="3"/>
      <c r="AP499" s="3"/>
      <c r="AQ499" s="3"/>
      <c r="AR499" s="3"/>
      <c r="AS499" s="3"/>
      <c r="AT499" s="3"/>
      <c r="AU499" s="3"/>
      <c r="AV499" s="3"/>
      <c r="AW499" s="3"/>
      <c r="AX499" s="3"/>
      <c r="AY499" s="3"/>
      <c r="AZ499" s="3"/>
    </row>
    <row r="500" spans="1:52" ht="18" customHeight="1" x14ac:dyDescent="0.2">
      <c r="A500" s="3" t="str">
        <f t="shared" si="7"/>
        <v xml:space="preserve">                                                  </v>
      </c>
      <c r="B500" s="20" t="s">
        <v>174</v>
      </c>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row>
    <row r="501" spans="1:52" ht="18" customHeight="1" x14ac:dyDescent="0.2">
      <c r="A501" s="3" t="str">
        <f t="shared" si="7"/>
        <v xml:space="preserve">                                                  </v>
      </c>
      <c r="B501" s="20" t="s">
        <v>174</v>
      </c>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c r="AC501" s="3"/>
      <c r="AD501" s="3"/>
      <c r="AE501" s="3"/>
      <c r="AF501" s="3"/>
      <c r="AG501" s="3"/>
      <c r="AH501" s="3"/>
      <c r="AI501" s="3"/>
      <c r="AJ501" s="3"/>
      <c r="AK501" s="3"/>
      <c r="AL501" s="3"/>
      <c r="AM501" s="3"/>
      <c r="AN501" s="3"/>
      <c r="AO501" s="3"/>
      <c r="AP501" s="3"/>
      <c r="AQ501" s="3"/>
      <c r="AR501" s="3"/>
      <c r="AS501" s="3"/>
      <c r="AT501" s="3"/>
      <c r="AU501" s="3"/>
      <c r="AV501" s="3"/>
      <c r="AW501" s="3"/>
      <c r="AX501" s="3"/>
      <c r="AY501" s="3"/>
      <c r="AZ501" s="3"/>
    </row>
    <row r="502" spans="1:52" ht="18" customHeight="1" x14ac:dyDescent="0.2">
      <c r="A502" s="3" t="str">
        <f t="shared" si="7"/>
        <v xml:space="preserve">                                                  </v>
      </c>
      <c r="B502" s="20" t="s">
        <v>174</v>
      </c>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c r="AC502" s="3"/>
      <c r="AD502" s="3"/>
      <c r="AE502" s="3"/>
      <c r="AF502" s="3"/>
      <c r="AG502" s="3"/>
      <c r="AH502" s="3"/>
      <c r="AI502" s="3"/>
      <c r="AJ502" s="3"/>
      <c r="AK502" s="3"/>
      <c r="AL502" s="3"/>
      <c r="AM502" s="3"/>
      <c r="AN502" s="3"/>
      <c r="AO502" s="3"/>
      <c r="AP502" s="3"/>
      <c r="AQ502" s="3"/>
      <c r="AR502" s="3"/>
      <c r="AS502" s="3"/>
      <c r="AT502" s="3"/>
      <c r="AU502" s="3"/>
      <c r="AV502" s="3"/>
      <c r="AW502" s="3"/>
      <c r="AX502" s="3"/>
      <c r="AY502" s="3"/>
      <c r="AZ502" s="3"/>
    </row>
    <row r="503" spans="1:52" ht="18" customHeight="1" x14ac:dyDescent="0.2">
      <c r="A503" s="3" t="str">
        <f t="shared" si="7"/>
        <v xml:space="preserve">                                                  </v>
      </c>
      <c r="B503" s="20" t="s">
        <v>174</v>
      </c>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c r="AC503" s="3"/>
      <c r="AD503" s="3"/>
      <c r="AE503" s="3"/>
      <c r="AF503" s="3"/>
      <c r="AG503" s="3"/>
      <c r="AH503" s="3"/>
      <c r="AI503" s="3"/>
      <c r="AJ503" s="3"/>
      <c r="AK503" s="3"/>
      <c r="AL503" s="3"/>
      <c r="AM503" s="3"/>
      <c r="AN503" s="3"/>
      <c r="AO503" s="3"/>
      <c r="AP503" s="3"/>
      <c r="AQ503" s="3"/>
      <c r="AR503" s="3"/>
      <c r="AS503" s="3"/>
      <c r="AT503" s="3"/>
      <c r="AU503" s="3"/>
      <c r="AV503" s="3"/>
      <c r="AW503" s="3"/>
      <c r="AX503" s="3"/>
      <c r="AY503" s="3"/>
      <c r="AZ503" s="3"/>
    </row>
    <row r="504" spans="1:52" ht="18" customHeight="1" x14ac:dyDescent="0.2">
      <c r="A504" s="3" t="str">
        <f t="shared" si="7"/>
        <v xml:space="preserve">                                                  </v>
      </c>
      <c r="B504" s="20" t="s">
        <v>174</v>
      </c>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row>
    <row r="505" spans="1:52" ht="18" customHeight="1" x14ac:dyDescent="0.2">
      <c r="A505" s="3" t="str">
        <f t="shared" si="7"/>
        <v xml:space="preserve">                                                  </v>
      </c>
      <c r="B505" s="20" t="s">
        <v>174</v>
      </c>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c r="AC505" s="3"/>
      <c r="AD505" s="3"/>
      <c r="AE505" s="3"/>
      <c r="AF505" s="3"/>
      <c r="AG505" s="3"/>
      <c r="AH505" s="3"/>
      <c r="AI505" s="3"/>
      <c r="AJ505" s="3"/>
      <c r="AK505" s="3"/>
      <c r="AL505" s="3"/>
      <c r="AM505" s="3"/>
      <c r="AN505" s="3"/>
      <c r="AO505" s="3"/>
      <c r="AP505" s="3"/>
      <c r="AQ505" s="3"/>
      <c r="AR505" s="3"/>
      <c r="AS505" s="3"/>
      <c r="AT505" s="3"/>
      <c r="AU505" s="3"/>
      <c r="AV505" s="3"/>
      <c r="AW505" s="3"/>
      <c r="AX505" s="3"/>
      <c r="AY505" s="3"/>
      <c r="AZ505" s="3"/>
    </row>
    <row r="506" spans="1:52" ht="18" customHeight="1" x14ac:dyDescent="0.2">
      <c r="A506" s="3" t="str">
        <f t="shared" si="7"/>
        <v xml:space="preserve">                                                  </v>
      </c>
      <c r="B506" s="20" t="s">
        <v>174</v>
      </c>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c r="AC506" s="3"/>
      <c r="AD506" s="3"/>
      <c r="AE506" s="3"/>
      <c r="AF506" s="3"/>
      <c r="AG506" s="3"/>
      <c r="AH506" s="3"/>
      <c r="AI506" s="3"/>
      <c r="AJ506" s="3"/>
      <c r="AK506" s="3"/>
      <c r="AL506" s="3"/>
      <c r="AM506" s="3"/>
      <c r="AN506" s="3"/>
      <c r="AO506" s="3"/>
      <c r="AP506" s="3"/>
      <c r="AQ506" s="3"/>
      <c r="AR506" s="3"/>
      <c r="AS506" s="3"/>
      <c r="AT506" s="3"/>
      <c r="AU506" s="3"/>
      <c r="AV506" s="3"/>
      <c r="AW506" s="3"/>
      <c r="AX506" s="3"/>
      <c r="AY506" s="3"/>
      <c r="AZ506" s="3"/>
    </row>
    <row r="507" spans="1:52" ht="18" customHeight="1" x14ac:dyDescent="0.2">
      <c r="A507" s="3" t="str">
        <f t="shared" si="7"/>
        <v xml:space="preserve">                                                  </v>
      </c>
      <c r="B507" s="20" t="s">
        <v>174</v>
      </c>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c r="AJ507" s="3"/>
      <c r="AK507" s="3"/>
      <c r="AL507" s="3"/>
      <c r="AM507" s="3"/>
      <c r="AN507" s="3"/>
      <c r="AO507" s="3"/>
      <c r="AP507" s="3"/>
      <c r="AQ507" s="3"/>
      <c r="AR507" s="3"/>
      <c r="AS507" s="3"/>
      <c r="AT507" s="3"/>
      <c r="AU507" s="3"/>
      <c r="AV507" s="3"/>
      <c r="AW507" s="3"/>
      <c r="AX507" s="3"/>
      <c r="AY507" s="3"/>
      <c r="AZ507" s="3"/>
    </row>
    <row r="508" spans="1:52" ht="18" customHeight="1" x14ac:dyDescent="0.2">
      <c r="A508" s="3" t="str">
        <f t="shared" si="7"/>
        <v xml:space="preserve">                                                  </v>
      </c>
      <c r="B508" s="20" t="s">
        <v>174</v>
      </c>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row>
    <row r="509" spans="1:52" ht="18" customHeight="1" x14ac:dyDescent="0.2">
      <c r="A509" s="3" t="str">
        <f t="shared" si="7"/>
        <v xml:space="preserve">                                                  </v>
      </c>
      <c r="B509" s="20" t="s">
        <v>174</v>
      </c>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c r="AC509" s="3"/>
      <c r="AD509" s="3"/>
      <c r="AE509" s="3"/>
      <c r="AF509" s="3"/>
      <c r="AG509" s="3"/>
      <c r="AH509" s="3"/>
      <c r="AI509" s="3"/>
      <c r="AJ509" s="3"/>
      <c r="AK509" s="3"/>
      <c r="AL509" s="3"/>
      <c r="AM509" s="3"/>
      <c r="AN509" s="3"/>
      <c r="AO509" s="3"/>
      <c r="AP509" s="3"/>
      <c r="AQ509" s="3"/>
      <c r="AR509" s="3"/>
      <c r="AS509" s="3"/>
      <c r="AT509" s="3"/>
      <c r="AU509" s="3"/>
      <c r="AV509" s="3"/>
      <c r="AW509" s="3"/>
      <c r="AX509" s="3"/>
      <c r="AY509" s="3"/>
      <c r="AZ509" s="3"/>
    </row>
    <row r="510" spans="1:52" ht="18" customHeight="1" x14ac:dyDescent="0.2">
      <c r="A510" s="3" t="str">
        <f t="shared" si="7"/>
        <v xml:space="preserve">                                                  </v>
      </c>
      <c r="B510" s="20" t="s">
        <v>174</v>
      </c>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c r="AC510" s="3"/>
      <c r="AD510" s="3"/>
      <c r="AE510" s="3"/>
      <c r="AF510" s="3"/>
      <c r="AG510" s="3"/>
      <c r="AH510" s="3"/>
      <c r="AI510" s="3"/>
      <c r="AJ510" s="3"/>
      <c r="AK510" s="3"/>
      <c r="AL510" s="3"/>
      <c r="AM510" s="3"/>
      <c r="AN510" s="3"/>
      <c r="AO510" s="3"/>
      <c r="AP510" s="3"/>
      <c r="AQ510" s="3"/>
      <c r="AR510" s="3"/>
      <c r="AS510" s="3"/>
      <c r="AT510" s="3"/>
      <c r="AU510" s="3"/>
      <c r="AV510" s="3"/>
      <c r="AW510" s="3"/>
      <c r="AX510" s="3"/>
      <c r="AY510" s="3"/>
      <c r="AZ510" s="3"/>
    </row>
    <row r="511" spans="1:52" ht="18" customHeight="1" x14ac:dyDescent="0.2">
      <c r="A511" s="3" t="str">
        <f t="shared" si="7"/>
        <v xml:space="preserve">                                                  </v>
      </c>
      <c r="B511" s="20" t="s">
        <v>174</v>
      </c>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c r="AC511" s="3"/>
      <c r="AD511" s="3"/>
      <c r="AE511" s="3"/>
      <c r="AF511" s="3"/>
      <c r="AG511" s="3"/>
      <c r="AH511" s="3"/>
      <c r="AI511" s="3"/>
      <c r="AJ511" s="3"/>
      <c r="AK511" s="3"/>
      <c r="AL511" s="3"/>
      <c r="AM511" s="3"/>
      <c r="AN511" s="3"/>
      <c r="AO511" s="3"/>
      <c r="AP511" s="3"/>
      <c r="AQ511" s="3"/>
      <c r="AR511" s="3"/>
      <c r="AS511" s="3"/>
      <c r="AT511" s="3"/>
      <c r="AU511" s="3"/>
      <c r="AV511" s="3"/>
      <c r="AW511" s="3"/>
      <c r="AX511" s="3"/>
      <c r="AY511" s="3"/>
      <c r="AZ511" s="3"/>
    </row>
    <row r="512" spans="1:52" ht="18" customHeight="1" x14ac:dyDescent="0.2">
      <c r="A512" s="3" t="str">
        <f t="shared" si="7"/>
        <v xml:space="preserve">                                                  </v>
      </c>
      <c r="B512" s="20" t="s">
        <v>174</v>
      </c>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row>
    <row r="513" spans="1:52" ht="18" customHeight="1" x14ac:dyDescent="0.2">
      <c r="A513" s="3" t="str">
        <f t="shared" si="7"/>
        <v xml:space="preserve">                                                  </v>
      </c>
      <c r="B513" s="20" t="s">
        <v>174</v>
      </c>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c r="AC513" s="3"/>
      <c r="AD513" s="3"/>
      <c r="AE513" s="3"/>
      <c r="AF513" s="3"/>
      <c r="AG513" s="3"/>
      <c r="AH513" s="3"/>
      <c r="AI513" s="3"/>
      <c r="AJ513" s="3"/>
      <c r="AK513" s="3"/>
      <c r="AL513" s="3"/>
      <c r="AM513" s="3"/>
      <c r="AN513" s="3"/>
      <c r="AO513" s="3"/>
      <c r="AP513" s="3"/>
      <c r="AQ513" s="3"/>
      <c r="AR513" s="3"/>
      <c r="AS513" s="3"/>
      <c r="AT513" s="3"/>
      <c r="AU513" s="3"/>
      <c r="AV513" s="3"/>
      <c r="AW513" s="3"/>
      <c r="AX513" s="3"/>
      <c r="AY513" s="3"/>
      <c r="AZ513" s="3"/>
    </row>
    <row r="514" spans="1:52" ht="18" customHeight="1" x14ac:dyDescent="0.2">
      <c r="A514" s="3" t="str">
        <f t="shared" si="7"/>
        <v xml:space="preserve">                                                  </v>
      </c>
      <c r="B514" s="20" t="s">
        <v>174</v>
      </c>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c r="AC514" s="3"/>
      <c r="AD514" s="3"/>
      <c r="AE514" s="3"/>
      <c r="AF514" s="3"/>
      <c r="AG514" s="3"/>
      <c r="AH514" s="3"/>
      <c r="AI514" s="3"/>
      <c r="AJ514" s="3"/>
      <c r="AK514" s="3"/>
      <c r="AL514" s="3"/>
      <c r="AM514" s="3"/>
      <c r="AN514" s="3"/>
      <c r="AO514" s="3"/>
      <c r="AP514" s="3"/>
      <c r="AQ514" s="3"/>
      <c r="AR514" s="3"/>
      <c r="AS514" s="3"/>
      <c r="AT514" s="3"/>
      <c r="AU514" s="3"/>
      <c r="AV514" s="3"/>
      <c r="AW514" s="3"/>
      <c r="AX514" s="3"/>
      <c r="AY514" s="3"/>
      <c r="AZ514" s="3"/>
    </row>
    <row r="515" spans="1:52" ht="18" customHeight="1" x14ac:dyDescent="0.2">
      <c r="A515" s="3" t="str">
        <f t="shared" si="7"/>
        <v xml:space="preserve">                                                  </v>
      </c>
      <c r="B515" s="20" t="s">
        <v>174</v>
      </c>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c r="AC515" s="3"/>
      <c r="AD515" s="3"/>
      <c r="AE515" s="3"/>
      <c r="AF515" s="3"/>
      <c r="AG515" s="3"/>
      <c r="AH515" s="3"/>
      <c r="AI515" s="3"/>
      <c r="AJ515" s="3"/>
      <c r="AK515" s="3"/>
      <c r="AL515" s="3"/>
      <c r="AM515" s="3"/>
      <c r="AN515" s="3"/>
      <c r="AO515" s="3"/>
      <c r="AP515" s="3"/>
      <c r="AQ515" s="3"/>
      <c r="AR515" s="3"/>
      <c r="AS515" s="3"/>
      <c r="AT515" s="3"/>
      <c r="AU515" s="3"/>
      <c r="AV515" s="3"/>
      <c r="AW515" s="3"/>
      <c r="AX515" s="3"/>
      <c r="AY515" s="3"/>
      <c r="AZ515" s="3"/>
    </row>
    <row r="516" spans="1:52" ht="18" customHeight="1" x14ac:dyDescent="0.2">
      <c r="A516" s="3" t="str">
        <f t="shared" ref="A516:A579" si="8">CONCATENATE(C516," ",D516," ",E516," ",F516," ",G516," ",H516," ",I516," ",J516," ",K516," ",L516," ",M516," ",N516," ",O516," ",P516," ",Q516," ",R516," ",S516," ",T516," ",U516," ",V516," ",W516," ",X516," ",Y516," ",Z516," ",AA516," ",AB516," ",AC516," ",AD516," ",AE516," ",AF516," ",AG516," ",AH516," ",AI516," ",AJ516," ",AK516," ",AL516," ",AM516," ",AN516," ",AO516," ",AP516," ",AQ516," ",AR516," ",AS516," ",AT516," ",AU516," ",AV516," ",AW516," ",AX516," ",AY516," ",AZ516," ",
)</f>
        <v xml:space="preserve">                                                  </v>
      </c>
      <c r="B516" s="20" t="s">
        <v>174</v>
      </c>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c r="AC516" s="3"/>
      <c r="AD516" s="3"/>
      <c r="AE516" s="3"/>
      <c r="AF516" s="3"/>
      <c r="AG516" s="3"/>
      <c r="AH516" s="3"/>
      <c r="AI516" s="3"/>
      <c r="AJ516" s="3"/>
      <c r="AK516" s="3"/>
      <c r="AL516" s="3"/>
      <c r="AM516" s="3"/>
      <c r="AN516" s="3"/>
      <c r="AO516" s="3"/>
      <c r="AP516" s="3"/>
      <c r="AQ516" s="3"/>
      <c r="AR516" s="3"/>
      <c r="AS516" s="3"/>
      <c r="AT516" s="3"/>
      <c r="AU516" s="3"/>
      <c r="AV516" s="3"/>
      <c r="AW516" s="3"/>
      <c r="AX516" s="3"/>
      <c r="AY516" s="3"/>
      <c r="AZ516" s="3"/>
    </row>
    <row r="517" spans="1:52" ht="18" customHeight="1" x14ac:dyDescent="0.2">
      <c r="A517" s="3" t="str">
        <f t="shared" si="8"/>
        <v xml:space="preserve">                                                  </v>
      </c>
      <c r="B517" s="20" t="s">
        <v>174</v>
      </c>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c r="AC517" s="3"/>
      <c r="AD517" s="3"/>
      <c r="AE517" s="3"/>
      <c r="AF517" s="3"/>
      <c r="AG517" s="3"/>
      <c r="AH517" s="3"/>
      <c r="AI517" s="3"/>
      <c r="AJ517" s="3"/>
      <c r="AK517" s="3"/>
      <c r="AL517" s="3"/>
      <c r="AM517" s="3"/>
      <c r="AN517" s="3"/>
      <c r="AO517" s="3"/>
      <c r="AP517" s="3"/>
      <c r="AQ517" s="3"/>
      <c r="AR517" s="3"/>
      <c r="AS517" s="3"/>
      <c r="AT517" s="3"/>
      <c r="AU517" s="3"/>
      <c r="AV517" s="3"/>
      <c r="AW517" s="3"/>
      <c r="AX517" s="3"/>
      <c r="AY517" s="3"/>
      <c r="AZ517" s="3"/>
    </row>
    <row r="518" spans="1:52" ht="18" customHeight="1" x14ac:dyDescent="0.2">
      <c r="A518" s="3" t="str">
        <f t="shared" si="8"/>
        <v xml:space="preserve">                                                  </v>
      </c>
      <c r="B518" s="20" t="s">
        <v>174</v>
      </c>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c r="AC518" s="3"/>
      <c r="AD518" s="3"/>
      <c r="AE518" s="3"/>
      <c r="AF518" s="3"/>
      <c r="AG518" s="3"/>
      <c r="AH518" s="3"/>
      <c r="AI518" s="3"/>
      <c r="AJ518" s="3"/>
      <c r="AK518" s="3"/>
      <c r="AL518" s="3"/>
      <c r="AM518" s="3"/>
      <c r="AN518" s="3"/>
      <c r="AO518" s="3"/>
      <c r="AP518" s="3"/>
      <c r="AQ518" s="3"/>
      <c r="AR518" s="3"/>
      <c r="AS518" s="3"/>
      <c r="AT518" s="3"/>
      <c r="AU518" s="3"/>
      <c r="AV518" s="3"/>
      <c r="AW518" s="3"/>
      <c r="AX518" s="3"/>
      <c r="AY518" s="3"/>
      <c r="AZ518" s="3"/>
    </row>
    <row r="519" spans="1:52" ht="18" customHeight="1" x14ac:dyDescent="0.2">
      <c r="A519" s="3" t="str">
        <f t="shared" si="8"/>
        <v xml:space="preserve">                                                  </v>
      </c>
      <c r="B519" s="20" t="s">
        <v>174</v>
      </c>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c r="AC519" s="3"/>
      <c r="AD519" s="3"/>
      <c r="AE519" s="3"/>
      <c r="AF519" s="3"/>
      <c r="AG519" s="3"/>
      <c r="AH519" s="3"/>
      <c r="AI519" s="3"/>
      <c r="AJ519" s="3"/>
      <c r="AK519" s="3"/>
      <c r="AL519" s="3"/>
      <c r="AM519" s="3"/>
      <c r="AN519" s="3"/>
      <c r="AO519" s="3"/>
      <c r="AP519" s="3"/>
      <c r="AQ519" s="3"/>
      <c r="AR519" s="3"/>
      <c r="AS519" s="3"/>
      <c r="AT519" s="3"/>
      <c r="AU519" s="3"/>
      <c r="AV519" s="3"/>
      <c r="AW519" s="3"/>
      <c r="AX519" s="3"/>
      <c r="AY519" s="3"/>
      <c r="AZ519" s="3"/>
    </row>
    <row r="520" spans="1:52" ht="18" customHeight="1" x14ac:dyDescent="0.2">
      <c r="A520" s="3" t="str">
        <f t="shared" si="8"/>
        <v xml:space="preserve">                                                  </v>
      </c>
      <c r="B520" s="20" t="s">
        <v>174</v>
      </c>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c r="AC520" s="3"/>
      <c r="AD520" s="3"/>
      <c r="AE520" s="3"/>
      <c r="AF520" s="3"/>
      <c r="AG520" s="3"/>
      <c r="AH520" s="3"/>
      <c r="AI520" s="3"/>
      <c r="AJ520" s="3"/>
      <c r="AK520" s="3"/>
      <c r="AL520" s="3"/>
      <c r="AM520" s="3"/>
      <c r="AN520" s="3"/>
      <c r="AO520" s="3"/>
      <c r="AP520" s="3"/>
      <c r="AQ520" s="3"/>
      <c r="AR520" s="3"/>
      <c r="AS520" s="3"/>
      <c r="AT520" s="3"/>
      <c r="AU520" s="3"/>
      <c r="AV520" s="3"/>
      <c r="AW520" s="3"/>
      <c r="AX520" s="3"/>
      <c r="AY520" s="3"/>
      <c r="AZ520" s="3"/>
    </row>
    <row r="521" spans="1:52" ht="18" customHeight="1" x14ac:dyDescent="0.2">
      <c r="A521" s="3" t="str">
        <f t="shared" si="8"/>
        <v xml:space="preserve">                                                  </v>
      </c>
      <c r="B521" s="20" t="s">
        <v>174</v>
      </c>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c r="AC521" s="3"/>
      <c r="AD521" s="3"/>
      <c r="AE521" s="3"/>
      <c r="AF521" s="3"/>
      <c r="AG521" s="3"/>
      <c r="AH521" s="3"/>
      <c r="AI521" s="3"/>
      <c r="AJ521" s="3"/>
      <c r="AK521" s="3"/>
      <c r="AL521" s="3"/>
      <c r="AM521" s="3"/>
      <c r="AN521" s="3"/>
      <c r="AO521" s="3"/>
      <c r="AP521" s="3"/>
      <c r="AQ521" s="3"/>
      <c r="AR521" s="3"/>
      <c r="AS521" s="3"/>
      <c r="AT521" s="3"/>
      <c r="AU521" s="3"/>
      <c r="AV521" s="3"/>
      <c r="AW521" s="3"/>
      <c r="AX521" s="3"/>
      <c r="AY521" s="3"/>
      <c r="AZ521" s="3"/>
    </row>
    <row r="522" spans="1:52" ht="18" customHeight="1" x14ac:dyDescent="0.2">
      <c r="A522" s="3" t="str">
        <f t="shared" si="8"/>
        <v xml:space="preserve">                                                  </v>
      </c>
      <c r="B522" s="20" t="s">
        <v>174</v>
      </c>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c r="AC522" s="3"/>
      <c r="AD522" s="3"/>
      <c r="AE522" s="3"/>
      <c r="AF522" s="3"/>
      <c r="AG522" s="3"/>
      <c r="AH522" s="3"/>
      <c r="AI522" s="3"/>
      <c r="AJ522" s="3"/>
      <c r="AK522" s="3"/>
      <c r="AL522" s="3"/>
      <c r="AM522" s="3"/>
      <c r="AN522" s="3"/>
      <c r="AO522" s="3"/>
      <c r="AP522" s="3"/>
      <c r="AQ522" s="3"/>
      <c r="AR522" s="3"/>
      <c r="AS522" s="3"/>
      <c r="AT522" s="3"/>
      <c r="AU522" s="3"/>
      <c r="AV522" s="3"/>
      <c r="AW522" s="3"/>
      <c r="AX522" s="3"/>
      <c r="AY522" s="3"/>
      <c r="AZ522" s="3"/>
    </row>
    <row r="523" spans="1:52" ht="18" customHeight="1" x14ac:dyDescent="0.2">
      <c r="A523" s="3" t="str">
        <f t="shared" si="8"/>
        <v xml:space="preserve">                                                  </v>
      </c>
      <c r="B523" s="20" t="s">
        <v>174</v>
      </c>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c r="AC523" s="3"/>
      <c r="AD523" s="3"/>
      <c r="AE523" s="3"/>
      <c r="AF523" s="3"/>
      <c r="AG523" s="3"/>
      <c r="AH523" s="3"/>
      <c r="AI523" s="3"/>
      <c r="AJ523" s="3"/>
      <c r="AK523" s="3"/>
      <c r="AL523" s="3"/>
      <c r="AM523" s="3"/>
      <c r="AN523" s="3"/>
      <c r="AO523" s="3"/>
      <c r="AP523" s="3"/>
      <c r="AQ523" s="3"/>
      <c r="AR523" s="3"/>
      <c r="AS523" s="3"/>
      <c r="AT523" s="3"/>
      <c r="AU523" s="3"/>
      <c r="AV523" s="3"/>
      <c r="AW523" s="3"/>
      <c r="AX523" s="3"/>
      <c r="AY523" s="3"/>
      <c r="AZ523" s="3"/>
    </row>
    <row r="524" spans="1:52" ht="18" customHeight="1" x14ac:dyDescent="0.2">
      <c r="A524" s="3" t="str">
        <f t="shared" si="8"/>
        <v xml:space="preserve">                                                  </v>
      </c>
      <c r="B524" s="20" t="s">
        <v>174</v>
      </c>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c r="AC524" s="3"/>
      <c r="AD524" s="3"/>
      <c r="AE524" s="3"/>
      <c r="AF524" s="3"/>
      <c r="AG524" s="3"/>
      <c r="AH524" s="3"/>
      <c r="AI524" s="3"/>
      <c r="AJ524" s="3"/>
      <c r="AK524" s="3"/>
      <c r="AL524" s="3"/>
      <c r="AM524" s="3"/>
      <c r="AN524" s="3"/>
      <c r="AO524" s="3"/>
      <c r="AP524" s="3"/>
      <c r="AQ524" s="3"/>
      <c r="AR524" s="3"/>
      <c r="AS524" s="3"/>
      <c r="AT524" s="3"/>
      <c r="AU524" s="3"/>
      <c r="AV524" s="3"/>
      <c r="AW524" s="3"/>
      <c r="AX524" s="3"/>
      <c r="AY524" s="3"/>
      <c r="AZ524" s="3"/>
    </row>
    <row r="525" spans="1:52" ht="18" customHeight="1" x14ac:dyDescent="0.2">
      <c r="A525" s="3" t="str">
        <f t="shared" si="8"/>
        <v xml:space="preserve">                                                  </v>
      </c>
      <c r="B525" s="20" t="s">
        <v>174</v>
      </c>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c r="AC525" s="3"/>
      <c r="AD525" s="3"/>
      <c r="AE525" s="3"/>
      <c r="AF525" s="3"/>
      <c r="AG525" s="3"/>
      <c r="AH525" s="3"/>
      <c r="AI525" s="3"/>
      <c r="AJ525" s="3"/>
      <c r="AK525" s="3"/>
      <c r="AL525" s="3"/>
      <c r="AM525" s="3"/>
      <c r="AN525" s="3"/>
      <c r="AO525" s="3"/>
      <c r="AP525" s="3"/>
      <c r="AQ525" s="3"/>
      <c r="AR525" s="3"/>
      <c r="AS525" s="3"/>
      <c r="AT525" s="3"/>
      <c r="AU525" s="3"/>
      <c r="AV525" s="3"/>
      <c r="AW525" s="3"/>
      <c r="AX525" s="3"/>
      <c r="AY525" s="3"/>
      <c r="AZ525" s="3"/>
    </row>
    <row r="526" spans="1:52" ht="18" customHeight="1" x14ac:dyDescent="0.2">
      <c r="A526" s="3" t="str">
        <f t="shared" si="8"/>
        <v xml:space="preserve">                                                  </v>
      </c>
      <c r="B526" s="20" t="s">
        <v>174</v>
      </c>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c r="AC526" s="3"/>
      <c r="AD526" s="3"/>
      <c r="AE526" s="3"/>
      <c r="AF526" s="3"/>
      <c r="AG526" s="3"/>
      <c r="AH526" s="3"/>
      <c r="AI526" s="3"/>
      <c r="AJ526" s="3"/>
      <c r="AK526" s="3"/>
      <c r="AL526" s="3"/>
      <c r="AM526" s="3"/>
      <c r="AN526" s="3"/>
      <c r="AO526" s="3"/>
      <c r="AP526" s="3"/>
      <c r="AQ526" s="3"/>
      <c r="AR526" s="3"/>
      <c r="AS526" s="3"/>
      <c r="AT526" s="3"/>
      <c r="AU526" s="3"/>
      <c r="AV526" s="3"/>
      <c r="AW526" s="3"/>
      <c r="AX526" s="3"/>
      <c r="AY526" s="3"/>
      <c r="AZ526" s="3"/>
    </row>
    <row r="527" spans="1:52" ht="18" customHeight="1" x14ac:dyDescent="0.2">
      <c r="A527" s="3" t="str">
        <f t="shared" si="8"/>
        <v xml:space="preserve">                                                  </v>
      </c>
      <c r="B527" s="20" t="s">
        <v>174</v>
      </c>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c r="AC527" s="3"/>
      <c r="AD527" s="3"/>
      <c r="AE527" s="3"/>
      <c r="AF527" s="3"/>
      <c r="AG527" s="3"/>
      <c r="AH527" s="3"/>
      <c r="AI527" s="3"/>
      <c r="AJ527" s="3"/>
      <c r="AK527" s="3"/>
      <c r="AL527" s="3"/>
      <c r="AM527" s="3"/>
      <c r="AN527" s="3"/>
      <c r="AO527" s="3"/>
      <c r="AP527" s="3"/>
      <c r="AQ527" s="3"/>
      <c r="AR527" s="3"/>
      <c r="AS527" s="3"/>
      <c r="AT527" s="3"/>
      <c r="AU527" s="3"/>
      <c r="AV527" s="3"/>
      <c r="AW527" s="3"/>
      <c r="AX527" s="3"/>
      <c r="AY527" s="3"/>
      <c r="AZ527" s="3"/>
    </row>
    <row r="528" spans="1:52" ht="18" customHeight="1" x14ac:dyDescent="0.2">
      <c r="A528" s="3" t="str">
        <f t="shared" si="8"/>
        <v xml:space="preserve">                                                  </v>
      </c>
      <c r="B528" s="20" t="s">
        <v>174</v>
      </c>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c r="AC528" s="3"/>
      <c r="AD528" s="3"/>
      <c r="AE528" s="3"/>
      <c r="AF528" s="3"/>
      <c r="AG528" s="3"/>
      <c r="AH528" s="3"/>
      <c r="AI528" s="3"/>
      <c r="AJ528" s="3"/>
      <c r="AK528" s="3"/>
      <c r="AL528" s="3"/>
      <c r="AM528" s="3"/>
      <c r="AN528" s="3"/>
      <c r="AO528" s="3"/>
      <c r="AP528" s="3"/>
      <c r="AQ528" s="3"/>
      <c r="AR528" s="3"/>
      <c r="AS528" s="3"/>
      <c r="AT528" s="3"/>
      <c r="AU528" s="3"/>
      <c r="AV528" s="3"/>
      <c r="AW528" s="3"/>
      <c r="AX528" s="3"/>
      <c r="AY528" s="3"/>
      <c r="AZ528" s="3"/>
    </row>
    <row r="529" spans="1:52" ht="18" customHeight="1" x14ac:dyDescent="0.2">
      <c r="A529" s="3" t="str">
        <f t="shared" si="8"/>
        <v xml:space="preserve">                                                  </v>
      </c>
      <c r="B529" s="20" t="s">
        <v>174</v>
      </c>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c r="AC529" s="3"/>
      <c r="AD529" s="3"/>
      <c r="AE529" s="3"/>
      <c r="AF529" s="3"/>
      <c r="AG529" s="3"/>
      <c r="AH529" s="3"/>
      <c r="AI529" s="3"/>
      <c r="AJ529" s="3"/>
      <c r="AK529" s="3"/>
      <c r="AL529" s="3"/>
      <c r="AM529" s="3"/>
      <c r="AN529" s="3"/>
      <c r="AO529" s="3"/>
      <c r="AP529" s="3"/>
      <c r="AQ529" s="3"/>
      <c r="AR529" s="3"/>
      <c r="AS529" s="3"/>
      <c r="AT529" s="3"/>
      <c r="AU529" s="3"/>
      <c r="AV529" s="3"/>
      <c r="AW529" s="3"/>
      <c r="AX529" s="3"/>
      <c r="AY529" s="3"/>
      <c r="AZ529" s="3"/>
    </row>
    <row r="530" spans="1:52" ht="18" customHeight="1" x14ac:dyDescent="0.2">
      <c r="A530" s="3" t="str">
        <f t="shared" si="8"/>
        <v xml:space="preserve">                                                  </v>
      </c>
      <c r="B530" s="20" t="s">
        <v>174</v>
      </c>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row>
    <row r="531" spans="1:52" ht="18" customHeight="1" x14ac:dyDescent="0.2">
      <c r="A531" s="3" t="str">
        <f t="shared" si="8"/>
        <v xml:space="preserve">                                                  </v>
      </c>
      <c r="B531" s="20" t="s">
        <v>174</v>
      </c>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c r="AC531" s="3"/>
      <c r="AD531" s="3"/>
      <c r="AE531" s="3"/>
      <c r="AF531" s="3"/>
      <c r="AG531" s="3"/>
      <c r="AH531" s="3"/>
      <c r="AI531" s="3"/>
      <c r="AJ531" s="3"/>
      <c r="AK531" s="3"/>
      <c r="AL531" s="3"/>
      <c r="AM531" s="3"/>
      <c r="AN531" s="3"/>
      <c r="AO531" s="3"/>
      <c r="AP531" s="3"/>
      <c r="AQ531" s="3"/>
      <c r="AR531" s="3"/>
      <c r="AS531" s="3"/>
      <c r="AT531" s="3"/>
      <c r="AU531" s="3"/>
      <c r="AV531" s="3"/>
      <c r="AW531" s="3"/>
      <c r="AX531" s="3"/>
      <c r="AY531" s="3"/>
      <c r="AZ531" s="3"/>
    </row>
    <row r="532" spans="1:52" ht="18" customHeight="1" x14ac:dyDescent="0.2">
      <c r="A532" s="3" t="str">
        <f t="shared" si="8"/>
        <v xml:space="preserve">                                                  </v>
      </c>
      <c r="B532" s="20" t="s">
        <v>174</v>
      </c>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c r="AC532" s="3"/>
      <c r="AD532" s="3"/>
      <c r="AE532" s="3"/>
      <c r="AF532" s="3"/>
      <c r="AG532" s="3"/>
      <c r="AH532" s="3"/>
      <c r="AI532" s="3"/>
      <c r="AJ532" s="3"/>
      <c r="AK532" s="3"/>
      <c r="AL532" s="3"/>
      <c r="AM532" s="3"/>
      <c r="AN532" s="3"/>
      <c r="AO532" s="3"/>
      <c r="AP532" s="3"/>
      <c r="AQ532" s="3"/>
      <c r="AR532" s="3"/>
      <c r="AS532" s="3"/>
      <c r="AT532" s="3"/>
      <c r="AU532" s="3"/>
      <c r="AV532" s="3"/>
      <c r="AW532" s="3"/>
      <c r="AX532" s="3"/>
      <c r="AY532" s="3"/>
      <c r="AZ532" s="3"/>
    </row>
    <row r="533" spans="1:52" ht="18" customHeight="1" x14ac:dyDescent="0.2">
      <c r="A533" s="3" t="str">
        <f t="shared" si="8"/>
        <v xml:space="preserve">                                                  </v>
      </c>
      <c r="B533" s="20" t="s">
        <v>174</v>
      </c>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c r="AC533" s="3"/>
      <c r="AD533" s="3"/>
      <c r="AE533" s="3"/>
      <c r="AF533" s="3"/>
      <c r="AG533" s="3"/>
      <c r="AH533" s="3"/>
      <c r="AI533" s="3"/>
      <c r="AJ533" s="3"/>
      <c r="AK533" s="3"/>
      <c r="AL533" s="3"/>
      <c r="AM533" s="3"/>
      <c r="AN533" s="3"/>
      <c r="AO533" s="3"/>
      <c r="AP533" s="3"/>
      <c r="AQ533" s="3"/>
      <c r="AR533" s="3"/>
      <c r="AS533" s="3"/>
      <c r="AT533" s="3"/>
      <c r="AU533" s="3"/>
      <c r="AV533" s="3"/>
      <c r="AW533" s="3"/>
      <c r="AX533" s="3"/>
      <c r="AY533" s="3"/>
      <c r="AZ533" s="3"/>
    </row>
    <row r="534" spans="1:52" ht="18" customHeight="1" x14ac:dyDescent="0.2">
      <c r="A534" s="3" t="str">
        <f t="shared" si="8"/>
        <v xml:space="preserve">                                                  </v>
      </c>
      <c r="B534" s="20" t="s">
        <v>174</v>
      </c>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row>
    <row r="535" spans="1:52" ht="18" customHeight="1" x14ac:dyDescent="0.2">
      <c r="A535" s="3" t="str">
        <f t="shared" si="8"/>
        <v xml:space="preserve">                                                  </v>
      </c>
      <c r="B535" s="20" t="s">
        <v>174</v>
      </c>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c r="AC535" s="3"/>
      <c r="AD535" s="3"/>
      <c r="AE535" s="3"/>
      <c r="AF535" s="3"/>
      <c r="AG535" s="3"/>
      <c r="AH535" s="3"/>
      <c r="AI535" s="3"/>
      <c r="AJ535" s="3"/>
      <c r="AK535" s="3"/>
      <c r="AL535" s="3"/>
      <c r="AM535" s="3"/>
      <c r="AN535" s="3"/>
      <c r="AO535" s="3"/>
      <c r="AP535" s="3"/>
      <c r="AQ535" s="3"/>
      <c r="AR535" s="3"/>
      <c r="AS535" s="3"/>
      <c r="AT535" s="3"/>
      <c r="AU535" s="3"/>
      <c r="AV535" s="3"/>
      <c r="AW535" s="3"/>
      <c r="AX535" s="3"/>
      <c r="AY535" s="3"/>
      <c r="AZ535" s="3"/>
    </row>
    <row r="536" spans="1:52" ht="18" customHeight="1" x14ac:dyDescent="0.2">
      <c r="A536" s="3" t="str">
        <f t="shared" si="8"/>
        <v xml:space="preserve">                                                  </v>
      </c>
      <c r="B536" s="20" t="s">
        <v>174</v>
      </c>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c r="AC536" s="3"/>
      <c r="AD536" s="3"/>
      <c r="AE536" s="3"/>
      <c r="AF536" s="3"/>
      <c r="AG536" s="3"/>
      <c r="AH536" s="3"/>
      <c r="AI536" s="3"/>
      <c r="AJ536" s="3"/>
      <c r="AK536" s="3"/>
      <c r="AL536" s="3"/>
      <c r="AM536" s="3"/>
      <c r="AN536" s="3"/>
      <c r="AO536" s="3"/>
      <c r="AP536" s="3"/>
      <c r="AQ536" s="3"/>
      <c r="AR536" s="3"/>
      <c r="AS536" s="3"/>
      <c r="AT536" s="3"/>
      <c r="AU536" s="3"/>
      <c r="AV536" s="3"/>
      <c r="AW536" s="3"/>
      <c r="AX536" s="3"/>
      <c r="AY536" s="3"/>
      <c r="AZ536" s="3"/>
    </row>
    <row r="537" spans="1:52" ht="18" customHeight="1" x14ac:dyDescent="0.2">
      <c r="A537" s="3" t="str">
        <f t="shared" si="8"/>
        <v xml:space="preserve">                                                  </v>
      </c>
      <c r="B537" s="20" t="s">
        <v>174</v>
      </c>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c r="AC537" s="3"/>
      <c r="AD537" s="3"/>
      <c r="AE537" s="3"/>
      <c r="AF537" s="3"/>
      <c r="AG537" s="3"/>
      <c r="AH537" s="3"/>
      <c r="AI537" s="3"/>
      <c r="AJ537" s="3"/>
      <c r="AK537" s="3"/>
      <c r="AL537" s="3"/>
      <c r="AM537" s="3"/>
      <c r="AN537" s="3"/>
      <c r="AO537" s="3"/>
      <c r="AP537" s="3"/>
      <c r="AQ537" s="3"/>
      <c r="AR537" s="3"/>
      <c r="AS537" s="3"/>
      <c r="AT537" s="3"/>
      <c r="AU537" s="3"/>
      <c r="AV537" s="3"/>
      <c r="AW537" s="3"/>
      <c r="AX537" s="3"/>
      <c r="AY537" s="3"/>
      <c r="AZ537" s="3"/>
    </row>
    <row r="538" spans="1:52" ht="18" customHeight="1" x14ac:dyDescent="0.2">
      <c r="A538" s="3" t="str">
        <f t="shared" si="8"/>
        <v xml:space="preserve">                                                  </v>
      </c>
      <c r="B538" s="20" t="s">
        <v>174</v>
      </c>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row>
    <row r="539" spans="1:52" ht="18" customHeight="1" x14ac:dyDescent="0.2">
      <c r="A539" s="3" t="str">
        <f t="shared" si="8"/>
        <v xml:space="preserve">                                                  </v>
      </c>
      <c r="B539" s="20" t="s">
        <v>174</v>
      </c>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c r="AC539" s="3"/>
      <c r="AD539" s="3"/>
      <c r="AE539" s="3"/>
      <c r="AF539" s="3"/>
      <c r="AG539" s="3"/>
      <c r="AH539" s="3"/>
      <c r="AI539" s="3"/>
      <c r="AJ539" s="3"/>
      <c r="AK539" s="3"/>
      <c r="AL539" s="3"/>
      <c r="AM539" s="3"/>
      <c r="AN539" s="3"/>
      <c r="AO539" s="3"/>
      <c r="AP539" s="3"/>
      <c r="AQ539" s="3"/>
      <c r="AR539" s="3"/>
      <c r="AS539" s="3"/>
      <c r="AT539" s="3"/>
      <c r="AU539" s="3"/>
      <c r="AV539" s="3"/>
      <c r="AW539" s="3"/>
      <c r="AX539" s="3"/>
      <c r="AY539" s="3"/>
      <c r="AZ539" s="3"/>
    </row>
    <row r="540" spans="1:52" ht="18" customHeight="1" x14ac:dyDescent="0.2">
      <c r="A540" s="3" t="str">
        <f t="shared" si="8"/>
        <v xml:space="preserve">                                                  </v>
      </c>
      <c r="B540" s="20" t="s">
        <v>174</v>
      </c>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c r="AC540" s="3"/>
      <c r="AD540" s="3"/>
      <c r="AE540" s="3"/>
      <c r="AF540" s="3"/>
      <c r="AG540" s="3"/>
      <c r="AH540" s="3"/>
      <c r="AI540" s="3"/>
      <c r="AJ540" s="3"/>
      <c r="AK540" s="3"/>
      <c r="AL540" s="3"/>
      <c r="AM540" s="3"/>
      <c r="AN540" s="3"/>
      <c r="AO540" s="3"/>
      <c r="AP540" s="3"/>
      <c r="AQ540" s="3"/>
      <c r="AR540" s="3"/>
      <c r="AS540" s="3"/>
      <c r="AT540" s="3"/>
      <c r="AU540" s="3"/>
      <c r="AV540" s="3"/>
      <c r="AW540" s="3"/>
      <c r="AX540" s="3"/>
      <c r="AY540" s="3"/>
      <c r="AZ540" s="3"/>
    </row>
    <row r="541" spans="1:52" ht="18" customHeight="1" x14ac:dyDescent="0.2">
      <c r="A541" s="3" t="str">
        <f t="shared" si="8"/>
        <v xml:space="preserve">                                                  </v>
      </c>
      <c r="B541" s="20" t="s">
        <v>174</v>
      </c>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c r="AC541" s="3"/>
      <c r="AD541" s="3"/>
      <c r="AE541" s="3"/>
      <c r="AF541" s="3"/>
      <c r="AG541" s="3"/>
      <c r="AH541" s="3"/>
      <c r="AI541" s="3"/>
      <c r="AJ541" s="3"/>
      <c r="AK541" s="3"/>
      <c r="AL541" s="3"/>
      <c r="AM541" s="3"/>
      <c r="AN541" s="3"/>
      <c r="AO541" s="3"/>
      <c r="AP541" s="3"/>
      <c r="AQ541" s="3"/>
      <c r="AR541" s="3"/>
      <c r="AS541" s="3"/>
      <c r="AT541" s="3"/>
      <c r="AU541" s="3"/>
      <c r="AV541" s="3"/>
      <c r="AW541" s="3"/>
      <c r="AX541" s="3"/>
      <c r="AY541" s="3"/>
      <c r="AZ541" s="3"/>
    </row>
    <row r="542" spans="1:52" ht="18" customHeight="1" x14ac:dyDescent="0.2">
      <c r="A542" s="3" t="str">
        <f t="shared" si="8"/>
        <v xml:space="preserve">                                                  </v>
      </c>
      <c r="B542" s="20" t="s">
        <v>174</v>
      </c>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row>
    <row r="543" spans="1:52" ht="18" customHeight="1" x14ac:dyDescent="0.2">
      <c r="A543" s="3" t="str">
        <f t="shared" si="8"/>
        <v xml:space="preserve">                                                  </v>
      </c>
      <c r="B543" s="20" t="s">
        <v>174</v>
      </c>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c r="AC543" s="3"/>
      <c r="AD543" s="3"/>
      <c r="AE543" s="3"/>
      <c r="AF543" s="3"/>
      <c r="AG543" s="3"/>
      <c r="AH543" s="3"/>
      <c r="AI543" s="3"/>
      <c r="AJ543" s="3"/>
      <c r="AK543" s="3"/>
      <c r="AL543" s="3"/>
      <c r="AM543" s="3"/>
      <c r="AN543" s="3"/>
      <c r="AO543" s="3"/>
      <c r="AP543" s="3"/>
      <c r="AQ543" s="3"/>
      <c r="AR543" s="3"/>
      <c r="AS543" s="3"/>
      <c r="AT543" s="3"/>
      <c r="AU543" s="3"/>
      <c r="AV543" s="3"/>
      <c r="AW543" s="3"/>
      <c r="AX543" s="3"/>
      <c r="AY543" s="3"/>
      <c r="AZ543" s="3"/>
    </row>
    <row r="544" spans="1:52" ht="18" customHeight="1" x14ac:dyDescent="0.2">
      <c r="A544" s="3" t="str">
        <f t="shared" si="8"/>
        <v xml:space="preserve">                                                  </v>
      </c>
      <c r="B544" s="20" t="s">
        <v>174</v>
      </c>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c r="AC544" s="3"/>
      <c r="AD544" s="3"/>
      <c r="AE544" s="3"/>
      <c r="AF544" s="3"/>
      <c r="AG544" s="3"/>
      <c r="AH544" s="3"/>
      <c r="AI544" s="3"/>
      <c r="AJ544" s="3"/>
      <c r="AK544" s="3"/>
      <c r="AL544" s="3"/>
      <c r="AM544" s="3"/>
      <c r="AN544" s="3"/>
      <c r="AO544" s="3"/>
      <c r="AP544" s="3"/>
      <c r="AQ544" s="3"/>
      <c r="AR544" s="3"/>
      <c r="AS544" s="3"/>
      <c r="AT544" s="3"/>
      <c r="AU544" s="3"/>
      <c r="AV544" s="3"/>
      <c r="AW544" s="3"/>
      <c r="AX544" s="3"/>
      <c r="AY544" s="3"/>
      <c r="AZ544" s="3"/>
    </row>
    <row r="545" spans="1:52" ht="18" customHeight="1" x14ac:dyDescent="0.2">
      <c r="A545" s="3" t="str">
        <f t="shared" si="8"/>
        <v xml:space="preserve">                                                  </v>
      </c>
      <c r="B545" s="20" t="s">
        <v>174</v>
      </c>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c r="AC545" s="3"/>
      <c r="AD545" s="3"/>
      <c r="AE545" s="3"/>
      <c r="AF545" s="3"/>
      <c r="AG545" s="3"/>
      <c r="AH545" s="3"/>
      <c r="AI545" s="3"/>
      <c r="AJ545" s="3"/>
      <c r="AK545" s="3"/>
      <c r="AL545" s="3"/>
      <c r="AM545" s="3"/>
      <c r="AN545" s="3"/>
      <c r="AO545" s="3"/>
      <c r="AP545" s="3"/>
      <c r="AQ545" s="3"/>
      <c r="AR545" s="3"/>
      <c r="AS545" s="3"/>
      <c r="AT545" s="3"/>
      <c r="AU545" s="3"/>
      <c r="AV545" s="3"/>
      <c r="AW545" s="3"/>
      <c r="AX545" s="3"/>
      <c r="AY545" s="3"/>
      <c r="AZ545" s="3"/>
    </row>
    <row r="546" spans="1:52" ht="18" customHeight="1" x14ac:dyDescent="0.2">
      <c r="A546" s="3" t="str">
        <f t="shared" si="8"/>
        <v xml:space="preserve">                                                  </v>
      </c>
      <c r="B546" s="20" t="s">
        <v>174</v>
      </c>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row>
    <row r="547" spans="1:52" ht="18" customHeight="1" x14ac:dyDescent="0.2">
      <c r="A547" s="3" t="str">
        <f t="shared" si="8"/>
        <v xml:space="preserve">                                                  </v>
      </c>
      <c r="B547" s="20" t="s">
        <v>174</v>
      </c>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c r="AC547" s="3"/>
      <c r="AD547" s="3"/>
      <c r="AE547" s="3"/>
      <c r="AF547" s="3"/>
      <c r="AG547" s="3"/>
      <c r="AH547" s="3"/>
      <c r="AI547" s="3"/>
      <c r="AJ547" s="3"/>
      <c r="AK547" s="3"/>
      <c r="AL547" s="3"/>
      <c r="AM547" s="3"/>
      <c r="AN547" s="3"/>
      <c r="AO547" s="3"/>
      <c r="AP547" s="3"/>
      <c r="AQ547" s="3"/>
      <c r="AR547" s="3"/>
      <c r="AS547" s="3"/>
      <c r="AT547" s="3"/>
      <c r="AU547" s="3"/>
      <c r="AV547" s="3"/>
      <c r="AW547" s="3"/>
      <c r="AX547" s="3"/>
      <c r="AY547" s="3"/>
      <c r="AZ547" s="3"/>
    </row>
    <row r="548" spans="1:52" ht="18" customHeight="1" x14ac:dyDescent="0.2">
      <c r="A548" s="3" t="str">
        <f t="shared" si="8"/>
        <v xml:space="preserve">                                                  </v>
      </c>
      <c r="B548" s="20" t="s">
        <v>174</v>
      </c>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c r="AC548" s="3"/>
      <c r="AD548" s="3"/>
      <c r="AE548" s="3"/>
      <c r="AF548" s="3"/>
      <c r="AG548" s="3"/>
      <c r="AH548" s="3"/>
      <c r="AI548" s="3"/>
      <c r="AJ548" s="3"/>
      <c r="AK548" s="3"/>
      <c r="AL548" s="3"/>
      <c r="AM548" s="3"/>
      <c r="AN548" s="3"/>
      <c r="AO548" s="3"/>
      <c r="AP548" s="3"/>
      <c r="AQ548" s="3"/>
      <c r="AR548" s="3"/>
      <c r="AS548" s="3"/>
      <c r="AT548" s="3"/>
      <c r="AU548" s="3"/>
      <c r="AV548" s="3"/>
      <c r="AW548" s="3"/>
      <c r="AX548" s="3"/>
      <c r="AY548" s="3"/>
      <c r="AZ548" s="3"/>
    </row>
    <row r="549" spans="1:52" ht="18" customHeight="1" x14ac:dyDescent="0.2">
      <c r="A549" s="3" t="str">
        <f t="shared" si="8"/>
        <v xml:space="preserve">                                                  </v>
      </c>
      <c r="B549" s="20" t="s">
        <v>174</v>
      </c>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c r="AC549" s="3"/>
      <c r="AD549" s="3"/>
      <c r="AE549" s="3"/>
      <c r="AF549" s="3"/>
      <c r="AG549" s="3"/>
      <c r="AH549" s="3"/>
      <c r="AI549" s="3"/>
      <c r="AJ549" s="3"/>
      <c r="AK549" s="3"/>
      <c r="AL549" s="3"/>
      <c r="AM549" s="3"/>
      <c r="AN549" s="3"/>
      <c r="AO549" s="3"/>
      <c r="AP549" s="3"/>
      <c r="AQ549" s="3"/>
      <c r="AR549" s="3"/>
      <c r="AS549" s="3"/>
      <c r="AT549" s="3"/>
      <c r="AU549" s="3"/>
      <c r="AV549" s="3"/>
      <c r="AW549" s="3"/>
      <c r="AX549" s="3"/>
      <c r="AY549" s="3"/>
      <c r="AZ549" s="3"/>
    </row>
    <row r="550" spans="1:52" ht="18" customHeight="1" x14ac:dyDescent="0.2">
      <c r="A550" s="3" t="str">
        <f t="shared" si="8"/>
        <v xml:space="preserve">                                                  </v>
      </c>
      <c r="B550" s="20" t="s">
        <v>174</v>
      </c>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row>
    <row r="551" spans="1:52" ht="18" customHeight="1" x14ac:dyDescent="0.2">
      <c r="A551" s="3" t="str">
        <f t="shared" si="8"/>
        <v xml:space="preserve">                                                  </v>
      </c>
      <c r="B551" s="20" t="s">
        <v>174</v>
      </c>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c r="AC551" s="3"/>
      <c r="AD551" s="3"/>
      <c r="AE551" s="3"/>
      <c r="AF551" s="3"/>
      <c r="AG551" s="3"/>
      <c r="AH551" s="3"/>
      <c r="AI551" s="3"/>
      <c r="AJ551" s="3"/>
      <c r="AK551" s="3"/>
      <c r="AL551" s="3"/>
      <c r="AM551" s="3"/>
      <c r="AN551" s="3"/>
      <c r="AO551" s="3"/>
      <c r="AP551" s="3"/>
      <c r="AQ551" s="3"/>
      <c r="AR551" s="3"/>
      <c r="AS551" s="3"/>
      <c r="AT551" s="3"/>
      <c r="AU551" s="3"/>
      <c r="AV551" s="3"/>
      <c r="AW551" s="3"/>
      <c r="AX551" s="3"/>
      <c r="AY551" s="3"/>
      <c r="AZ551" s="3"/>
    </row>
    <row r="552" spans="1:52" ht="18" customHeight="1" x14ac:dyDescent="0.2">
      <c r="A552" s="3" t="str">
        <f t="shared" si="8"/>
        <v xml:space="preserve">                                                  </v>
      </c>
      <c r="B552" s="20" t="s">
        <v>174</v>
      </c>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c r="AC552" s="3"/>
      <c r="AD552" s="3"/>
      <c r="AE552" s="3"/>
      <c r="AF552" s="3"/>
      <c r="AG552" s="3"/>
      <c r="AH552" s="3"/>
      <c r="AI552" s="3"/>
      <c r="AJ552" s="3"/>
      <c r="AK552" s="3"/>
      <c r="AL552" s="3"/>
      <c r="AM552" s="3"/>
      <c r="AN552" s="3"/>
      <c r="AO552" s="3"/>
      <c r="AP552" s="3"/>
      <c r="AQ552" s="3"/>
      <c r="AR552" s="3"/>
      <c r="AS552" s="3"/>
      <c r="AT552" s="3"/>
      <c r="AU552" s="3"/>
      <c r="AV552" s="3"/>
      <c r="AW552" s="3"/>
      <c r="AX552" s="3"/>
      <c r="AY552" s="3"/>
      <c r="AZ552" s="3"/>
    </row>
    <row r="553" spans="1:52" ht="18" customHeight="1" x14ac:dyDescent="0.2">
      <c r="A553" s="3" t="str">
        <f t="shared" si="8"/>
        <v xml:space="preserve">                                                  </v>
      </c>
      <c r="B553" s="20" t="s">
        <v>174</v>
      </c>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c r="AC553" s="3"/>
      <c r="AD553" s="3"/>
      <c r="AE553" s="3"/>
      <c r="AF553" s="3"/>
      <c r="AG553" s="3"/>
      <c r="AH553" s="3"/>
      <c r="AI553" s="3"/>
      <c r="AJ553" s="3"/>
      <c r="AK553" s="3"/>
      <c r="AL553" s="3"/>
      <c r="AM553" s="3"/>
      <c r="AN553" s="3"/>
      <c r="AO553" s="3"/>
      <c r="AP553" s="3"/>
      <c r="AQ553" s="3"/>
      <c r="AR553" s="3"/>
      <c r="AS553" s="3"/>
      <c r="AT553" s="3"/>
      <c r="AU553" s="3"/>
      <c r="AV553" s="3"/>
      <c r="AW553" s="3"/>
      <c r="AX553" s="3"/>
      <c r="AY553" s="3"/>
      <c r="AZ553" s="3"/>
    </row>
    <row r="554" spans="1:52" ht="18" customHeight="1" x14ac:dyDescent="0.2">
      <c r="A554" s="3" t="str">
        <f t="shared" si="8"/>
        <v xml:space="preserve">                                                  </v>
      </c>
      <c r="B554" s="20" t="s">
        <v>174</v>
      </c>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row>
    <row r="555" spans="1:52" ht="18" customHeight="1" x14ac:dyDescent="0.2">
      <c r="A555" s="3" t="str">
        <f t="shared" si="8"/>
        <v xml:space="preserve">                                                  </v>
      </c>
      <c r="B555" s="20" t="s">
        <v>174</v>
      </c>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c r="AC555" s="3"/>
      <c r="AD555" s="3"/>
      <c r="AE555" s="3"/>
      <c r="AF555" s="3"/>
      <c r="AG555" s="3"/>
      <c r="AH555" s="3"/>
      <c r="AI555" s="3"/>
      <c r="AJ555" s="3"/>
      <c r="AK555" s="3"/>
      <c r="AL555" s="3"/>
      <c r="AM555" s="3"/>
      <c r="AN555" s="3"/>
      <c r="AO555" s="3"/>
      <c r="AP555" s="3"/>
      <c r="AQ555" s="3"/>
      <c r="AR555" s="3"/>
      <c r="AS555" s="3"/>
      <c r="AT555" s="3"/>
      <c r="AU555" s="3"/>
      <c r="AV555" s="3"/>
      <c r="AW555" s="3"/>
      <c r="AX555" s="3"/>
      <c r="AY555" s="3"/>
      <c r="AZ555" s="3"/>
    </row>
    <row r="556" spans="1:52" ht="18" customHeight="1" x14ac:dyDescent="0.2">
      <c r="A556" s="3" t="str">
        <f t="shared" si="8"/>
        <v xml:space="preserve">                                                  </v>
      </c>
      <c r="B556" s="20" t="s">
        <v>174</v>
      </c>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c r="AC556" s="3"/>
      <c r="AD556" s="3"/>
      <c r="AE556" s="3"/>
      <c r="AF556" s="3"/>
      <c r="AG556" s="3"/>
      <c r="AH556" s="3"/>
      <c r="AI556" s="3"/>
      <c r="AJ556" s="3"/>
      <c r="AK556" s="3"/>
      <c r="AL556" s="3"/>
      <c r="AM556" s="3"/>
      <c r="AN556" s="3"/>
      <c r="AO556" s="3"/>
      <c r="AP556" s="3"/>
      <c r="AQ556" s="3"/>
      <c r="AR556" s="3"/>
      <c r="AS556" s="3"/>
      <c r="AT556" s="3"/>
      <c r="AU556" s="3"/>
      <c r="AV556" s="3"/>
      <c r="AW556" s="3"/>
      <c r="AX556" s="3"/>
      <c r="AY556" s="3"/>
      <c r="AZ556" s="3"/>
    </row>
    <row r="557" spans="1:52" ht="18" customHeight="1" x14ac:dyDescent="0.2">
      <c r="A557" s="3" t="str">
        <f t="shared" si="8"/>
        <v xml:space="preserve">                                                  </v>
      </c>
      <c r="B557" s="20" t="s">
        <v>174</v>
      </c>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c r="AC557" s="3"/>
      <c r="AD557" s="3"/>
      <c r="AE557" s="3"/>
      <c r="AF557" s="3"/>
      <c r="AG557" s="3"/>
      <c r="AH557" s="3"/>
      <c r="AI557" s="3"/>
      <c r="AJ557" s="3"/>
      <c r="AK557" s="3"/>
      <c r="AL557" s="3"/>
      <c r="AM557" s="3"/>
      <c r="AN557" s="3"/>
      <c r="AO557" s="3"/>
      <c r="AP557" s="3"/>
      <c r="AQ557" s="3"/>
      <c r="AR557" s="3"/>
      <c r="AS557" s="3"/>
      <c r="AT557" s="3"/>
      <c r="AU557" s="3"/>
      <c r="AV557" s="3"/>
      <c r="AW557" s="3"/>
      <c r="AX557" s="3"/>
      <c r="AY557" s="3"/>
      <c r="AZ557" s="3"/>
    </row>
    <row r="558" spans="1:52" ht="18" customHeight="1" x14ac:dyDescent="0.2">
      <c r="A558" s="3" t="str">
        <f t="shared" si="8"/>
        <v xml:space="preserve">                                                  </v>
      </c>
      <c r="B558" s="20" t="s">
        <v>174</v>
      </c>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row>
    <row r="559" spans="1:52" ht="18" customHeight="1" x14ac:dyDescent="0.2">
      <c r="A559" s="3" t="str">
        <f t="shared" si="8"/>
        <v xml:space="preserve">                                                  </v>
      </c>
      <c r="B559" s="20" t="s">
        <v>174</v>
      </c>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c r="AC559" s="3"/>
      <c r="AD559" s="3"/>
      <c r="AE559" s="3"/>
      <c r="AF559" s="3"/>
      <c r="AG559" s="3"/>
      <c r="AH559" s="3"/>
      <c r="AI559" s="3"/>
      <c r="AJ559" s="3"/>
      <c r="AK559" s="3"/>
      <c r="AL559" s="3"/>
      <c r="AM559" s="3"/>
      <c r="AN559" s="3"/>
      <c r="AO559" s="3"/>
      <c r="AP559" s="3"/>
      <c r="AQ559" s="3"/>
      <c r="AR559" s="3"/>
      <c r="AS559" s="3"/>
      <c r="AT559" s="3"/>
      <c r="AU559" s="3"/>
      <c r="AV559" s="3"/>
      <c r="AW559" s="3"/>
      <c r="AX559" s="3"/>
      <c r="AY559" s="3"/>
      <c r="AZ559" s="3"/>
    </row>
    <row r="560" spans="1:52" ht="18" customHeight="1" x14ac:dyDescent="0.2">
      <c r="A560" s="3" t="str">
        <f t="shared" si="8"/>
        <v xml:space="preserve">                                                  </v>
      </c>
      <c r="B560" s="20" t="s">
        <v>174</v>
      </c>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c r="AC560" s="3"/>
      <c r="AD560" s="3"/>
      <c r="AE560" s="3"/>
      <c r="AF560" s="3"/>
      <c r="AG560" s="3"/>
      <c r="AH560" s="3"/>
      <c r="AI560" s="3"/>
      <c r="AJ560" s="3"/>
      <c r="AK560" s="3"/>
      <c r="AL560" s="3"/>
      <c r="AM560" s="3"/>
      <c r="AN560" s="3"/>
      <c r="AO560" s="3"/>
      <c r="AP560" s="3"/>
      <c r="AQ560" s="3"/>
      <c r="AR560" s="3"/>
      <c r="AS560" s="3"/>
      <c r="AT560" s="3"/>
      <c r="AU560" s="3"/>
      <c r="AV560" s="3"/>
      <c r="AW560" s="3"/>
      <c r="AX560" s="3"/>
      <c r="AY560" s="3"/>
      <c r="AZ560" s="3"/>
    </row>
    <row r="561" spans="1:52" ht="18" customHeight="1" x14ac:dyDescent="0.2">
      <c r="A561" s="3" t="str">
        <f t="shared" si="8"/>
        <v xml:space="preserve">                                                  </v>
      </c>
      <c r="B561" s="20" t="s">
        <v>174</v>
      </c>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c r="AC561" s="3"/>
      <c r="AD561" s="3"/>
      <c r="AE561" s="3"/>
      <c r="AF561" s="3"/>
      <c r="AG561" s="3"/>
      <c r="AH561" s="3"/>
      <c r="AI561" s="3"/>
      <c r="AJ561" s="3"/>
      <c r="AK561" s="3"/>
      <c r="AL561" s="3"/>
      <c r="AM561" s="3"/>
      <c r="AN561" s="3"/>
      <c r="AO561" s="3"/>
      <c r="AP561" s="3"/>
      <c r="AQ561" s="3"/>
      <c r="AR561" s="3"/>
      <c r="AS561" s="3"/>
      <c r="AT561" s="3"/>
      <c r="AU561" s="3"/>
      <c r="AV561" s="3"/>
      <c r="AW561" s="3"/>
      <c r="AX561" s="3"/>
      <c r="AY561" s="3"/>
      <c r="AZ561" s="3"/>
    </row>
    <row r="562" spans="1:52" ht="18" customHeight="1" x14ac:dyDescent="0.2">
      <c r="A562" s="3" t="str">
        <f t="shared" si="8"/>
        <v xml:space="preserve">                                                  </v>
      </c>
      <c r="B562" s="20" t="s">
        <v>174</v>
      </c>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row>
    <row r="563" spans="1:52" ht="18" customHeight="1" x14ac:dyDescent="0.2">
      <c r="A563" s="3" t="str">
        <f t="shared" si="8"/>
        <v xml:space="preserve">                                                  </v>
      </c>
      <c r="B563" s="20" t="s">
        <v>174</v>
      </c>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c r="AC563" s="3"/>
      <c r="AD563" s="3"/>
      <c r="AE563" s="3"/>
      <c r="AF563" s="3"/>
      <c r="AG563" s="3"/>
      <c r="AH563" s="3"/>
      <c r="AI563" s="3"/>
      <c r="AJ563" s="3"/>
      <c r="AK563" s="3"/>
      <c r="AL563" s="3"/>
      <c r="AM563" s="3"/>
      <c r="AN563" s="3"/>
      <c r="AO563" s="3"/>
      <c r="AP563" s="3"/>
      <c r="AQ563" s="3"/>
      <c r="AR563" s="3"/>
      <c r="AS563" s="3"/>
      <c r="AT563" s="3"/>
      <c r="AU563" s="3"/>
      <c r="AV563" s="3"/>
      <c r="AW563" s="3"/>
      <c r="AX563" s="3"/>
      <c r="AY563" s="3"/>
      <c r="AZ563" s="3"/>
    </row>
    <row r="564" spans="1:52" ht="18" customHeight="1" x14ac:dyDescent="0.2">
      <c r="A564" s="3" t="str">
        <f t="shared" si="8"/>
        <v xml:space="preserve">                                                  </v>
      </c>
      <c r="B564" s="20" t="s">
        <v>174</v>
      </c>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c r="AC564" s="3"/>
      <c r="AD564" s="3"/>
      <c r="AE564" s="3"/>
      <c r="AF564" s="3"/>
      <c r="AG564" s="3"/>
      <c r="AH564" s="3"/>
      <c r="AI564" s="3"/>
      <c r="AJ564" s="3"/>
      <c r="AK564" s="3"/>
      <c r="AL564" s="3"/>
      <c r="AM564" s="3"/>
      <c r="AN564" s="3"/>
      <c r="AO564" s="3"/>
      <c r="AP564" s="3"/>
      <c r="AQ564" s="3"/>
      <c r="AR564" s="3"/>
      <c r="AS564" s="3"/>
      <c r="AT564" s="3"/>
      <c r="AU564" s="3"/>
      <c r="AV564" s="3"/>
      <c r="AW564" s="3"/>
      <c r="AX564" s="3"/>
      <c r="AY564" s="3"/>
      <c r="AZ564" s="3"/>
    </row>
    <row r="565" spans="1:52" ht="18" customHeight="1" x14ac:dyDescent="0.2">
      <c r="A565" s="3" t="str">
        <f t="shared" si="8"/>
        <v xml:space="preserve">                                                  </v>
      </c>
      <c r="B565" s="20" t="s">
        <v>174</v>
      </c>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c r="AC565" s="3"/>
      <c r="AD565" s="3"/>
      <c r="AE565" s="3"/>
      <c r="AF565" s="3"/>
      <c r="AG565" s="3"/>
      <c r="AH565" s="3"/>
      <c r="AI565" s="3"/>
      <c r="AJ565" s="3"/>
      <c r="AK565" s="3"/>
      <c r="AL565" s="3"/>
      <c r="AM565" s="3"/>
      <c r="AN565" s="3"/>
      <c r="AO565" s="3"/>
      <c r="AP565" s="3"/>
      <c r="AQ565" s="3"/>
      <c r="AR565" s="3"/>
      <c r="AS565" s="3"/>
      <c r="AT565" s="3"/>
      <c r="AU565" s="3"/>
      <c r="AV565" s="3"/>
      <c r="AW565" s="3"/>
      <c r="AX565" s="3"/>
      <c r="AY565" s="3"/>
      <c r="AZ565" s="3"/>
    </row>
    <row r="566" spans="1:52" ht="18" customHeight="1" x14ac:dyDescent="0.2">
      <c r="A566" s="3" t="str">
        <f t="shared" si="8"/>
        <v xml:space="preserve">                                                  </v>
      </c>
      <c r="B566" s="20" t="s">
        <v>174</v>
      </c>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row>
    <row r="567" spans="1:52" ht="18" customHeight="1" x14ac:dyDescent="0.2">
      <c r="A567" s="3" t="str">
        <f t="shared" si="8"/>
        <v xml:space="preserve">                                                  </v>
      </c>
      <c r="B567" s="20" t="s">
        <v>174</v>
      </c>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c r="AC567" s="3"/>
      <c r="AD567" s="3"/>
      <c r="AE567" s="3"/>
      <c r="AF567" s="3"/>
      <c r="AG567" s="3"/>
      <c r="AH567" s="3"/>
      <c r="AI567" s="3"/>
      <c r="AJ567" s="3"/>
      <c r="AK567" s="3"/>
      <c r="AL567" s="3"/>
      <c r="AM567" s="3"/>
      <c r="AN567" s="3"/>
      <c r="AO567" s="3"/>
      <c r="AP567" s="3"/>
      <c r="AQ567" s="3"/>
      <c r="AR567" s="3"/>
      <c r="AS567" s="3"/>
      <c r="AT567" s="3"/>
      <c r="AU567" s="3"/>
      <c r="AV567" s="3"/>
      <c r="AW567" s="3"/>
      <c r="AX567" s="3"/>
      <c r="AY567" s="3"/>
      <c r="AZ567" s="3"/>
    </row>
    <row r="568" spans="1:52" ht="18" customHeight="1" x14ac:dyDescent="0.2">
      <c r="A568" s="3" t="str">
        <f t="shared" si="8"/>
        <v xml:space="preserve">                                                  </v>
      </c>
      <c r="B568" s="20" t="s">
        <v>174</v>
      </c>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c r="AC568" s="3"/>
      <c r="AD568" s="3"/>
      <c r="AE568" s="3"/>
      <c r="AF568" s="3"/>
      <c r="AG568" s="3"/>
      <c r="AH568" s="3"/>
      <c r="AI568" s="3"/>
      <c r="AJ568" s="3"/>
      <c r="AK568" s="3"/>
      <c r="AL568" s="3"/>
      <c r="AM568" s="3"/>
      <c r="AN568" s="3"/>
      <c r="AO568" s="3"/>
      <c r="AP568" s="3"/>
      <c r="AQ568" s="3"/>
      <c r="AR568" s="3"/>
      <c r="AS568" s="3"/>
      <c r="AT568" s="3"/>
      <c r="AU568" s="3"/>
      <c r="AV568" s="3"/>
      <c r="AW568" s="3"/>
      <c r="AX568" s="3"/>
      <c r="AY568" s="3"/>
      <c r="AZ568" s="3"/>
    </row>
    <row r="569" spans="1:52" ht="18" customHeight="1" x14ac:dyDescent="0.2">
      <c r="A569" s="3" t="str">
        <f t="shared" si="8"/>
        <v xml:space="preserve">                                                  </v>
      </c>
      <c r="B569" s="20" t="s">
        <v>174</v>
      </c>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c r="AC569" s="3"/>
      <c r="AD569" s="3"/>
      <c r="AE569" s="3"/>
      <c r="AF569" s="3"/>
      <c r="AG569" s="3"/>
      <c r="AH569" s="3"/>
      <c r="AI569" s="3"/>
      <c r="AJ569" s="3"/>
      <c r="AK569" s="3"/>
      <c r="AL569" s="3"/>
      <c r="AM569" s="3"/>
      <c r="AN569" s="3"/>
      <c r="AO569" s="3"/>
      <c r="AP569" s="3"/>
      <c r="AQ569" s="3"/>
      <c r="AR569" s="3"/>
      <c r="AS569" s="3"/>
      <c r="AT569" s="3"/>
      <c r="AU569" s="3"/>
      <c r="AV569" s="3"/>
      <c r="AW569" s="3"/>
      <c r="AX569" s="3"/>
      <c r="AY569" s="3"/>
      <c r="AZ569" s="3"/>
    </row>
    <row r="570" spans="1:52" ht="18" customHeight="1" x14ac:dyDescent="0.2">
      <c r="A570" s="3" t="str">
        <f t="shared" si="8"/>
        <v xml:space="preserve">                                                  </v>
      </c>
      <c r="B570" s="20" t="s">
        <v>174</v>
      </c>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row>
    <row r="571" spans="1:52" ht="18" customHeight="1" x14ac:dyDescent="0.2">
      <c r="A571" s="3" t="str">
        <f t="shared" si="8"/>
        <v xml:space="preserve">                                                  </v>
      </c>
      <c r="B571" s="20" t="s">
        <v>174</v>
      </c>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c r="AC571" s="3"/>
      <c r="AD571" s="3"/>
      <c r="AE571" s="3"/>
      <c r="AF571" s="3"/>
      <c r="AG571" s="3"/>
      <c r="AH571" s="3"/>
      <c r="AI571" s="3"/>
      <c r="AJ571" s="3"/>
      <c r="AK571" s="3"/>
      <c r="AL571" s="3"/>
      <c r="AM571" s="3"/>
      <c r="AN571" s="3"/>
      <c r="AO571" s="3"/>
      <c r="AP571" s="3"/>
      <c r="AQ571" s="3"/>
      <c r="AR571" s="3"/>
      <c r="AS571" s="3"/>
      <c r="AT571" s="3"/>
      <c r="AU571" s="3"/>
      <c r="AV571" s="3"/>
      <c r="AW571" s="3"/>
      <c r="AX571" s="3"/>
      <c r="AY571" s="3"/>
      <c r="AZ571" s="3"/>
    </row>
    <row r="572" spans="1:52" ht="18" customHeight="1" x14ac:dyDescent="0.2">
      <c r="A572" s="3" t="str">
        <f t="shared" si="8"/>
        <v xml:space="preserve">                                                  </v>
      </c>
      <c r="B572" s="20" t="s">
        <v>174</v>
      </c>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c r="AC572" s="3"/>
      <c r="AD572" s="3"/>
      <c r="AE572" s="3"/>
      <c r="AF572" s="3"/>
      <c r="AG572" s="3"/>
      <c r="AH572" s="3"/>
      <c r="AI572" s="3"/>
      <c r="AJ572" s="3"/>
      <c r="AK572" s="3"/>
      <c r="AL572" s="3"/>
      <c r="AM572" s="3"/>
      <c r="AN572" s="3"/>
      <c r="AO572" s="3"/>
      <c r="AP572" s="3"/>
      <c r="AQ572" s="3"/>
      <c r="AR572" s="3"/>
      <c r="AS572" s="3"/>
      <c r="AT572" s="3"/>
      <c r="AU572" s="3"/>
      <c r="AV572" s="3"/>
      <c r="AW572" s="3"/>
      <c r="AX572" s="3"/>
      <c r="AY572" s="3"/>
      <c r="AZ572" s="3"/>
    </row>
    <row r="573" spans="1:52" ht="18" customHeight="1" x14ac:dyDescent="0.2">
      <c r="A573" s="3" t="str">
        <f t="shared" si="8"/>
        <v xml:space="preserve">                                                  </v>
      </c>
      <c r="B573" s="20" t="s">
        <v>174</v>
      </c>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c r="AC573" s="3"/>
      <c r="AD573" s="3"/>
      <c r="AE573" s="3"/>
      <c r="AF573" s="3"/>
      <c r="AG573" s="3"/>
      <c r="AH573" s="3"/>
      <c r="AI573" s="3"/>
      <c r="AJ573" s="3"/>
      <c r="AK573" s="3"/>
      <c r="AL573" s="3"/>
      <c r="AM573" s="3"/>
      <c r="AN573" s="3"/>
      <c r="AO573" s="3"/>
      <c r="AP573" s="3"/>
      <c r="AQ573" s="3"/>
      <c r="AR573" s="3"/>
      <c r="AS573" s="3"/>
      <c r="AT573" s="3"/>
      <c r="AU573" s="3"/>
      <c r="AV573" s="3"/>
      <c r="AW573" s="3"/>
      <c r="AX573" s="3"/>
      <c r="AY573" s="3"/>
      <c r="AZ573" s="3"/>
    </row>
    <row r="574" spans="1:52" ht="18" customHeight="1" x14ac:dyDescent="0.2">
      <c r="A574" s="3" t="str">
        <f t="shared" si="8"/>
        <v xml:space="preserve">                                                  </v>
      </c>
      <c r="B574" s="20" t="s">
        <v>174</v>
      </c>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row>
    <row r="575" spans="1:52" ht="18" customHeight="1" x14ac:dyDescent="0.2">
      <c r="A575" s="3" t="str">
        <f t="shared" si="8"/>
        <v xml:space="preserve">                                                  </v>
      </c>
      <c r="B575" s="20" t="s">
        <v>174</v>
      </c>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c r="AC575" s="3"/>
      <c r="AD575" s="3"/>
      <c r="AE575" s="3"/>
      <c r="AF575" s="3"/>
      <c r="AG575" s="3"/>
      <c r="AH575" s="3"/>
      <c r="AI575" s="3"/>
      <c r="AJ575" s="3"/>
      <c r="AK575" s="3"/>
      <c r="AL575" s="3"/>
      <c r="AM575" s="3"/>
      <c r="AN575" s="3"/>
      <c r="AO575" s="3"/>
      <c r="AP575" s="3"/>
      <c r="AQ575" s="3"/>
      <c r="AR575" s="3"/>
      <c r="AS575" s="3"/>
      <c r="AT575" s="3"/>
      <c r="AU575" s="3"/>
      <c r="AV575" s="3"/>
      <c r="AW575" s="3"/>
      <c r="AX575" s="3"/>
      <c r="AY575" s="3"/>
      <c r="AZ575" s="3"/>
    </row>
    <row r="576" spans="1:52" ht="18" customHeight="1" x14ac:dyDescent="0.2">
      <c r="A576" s="3" t="str">
        <f t="shared" si="8"/>
        <v xml:space="preserve">                                                  </v>
      </c>
      <c r="B576" s="20" t="s">
        <v>174</v>
      </c>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c r="AC576" s="3"/>
      <c r="AD576" s="3"/>
      <c r="AE576" s="3"/>
      <c r="AF576" s="3"/>
      <c r="AG576" s="3"/>
      <c r="AH576" s="3"/>
      <c r="AI576" s="3"/>
      <c r="AJ576" s="3"/>
      <c r="AK576" s="3"/>
      <c r="AL576" s="3"/>
      <c r="AM576" s="3"/>
      <c r="AN576" s="3"/>
      <c r="AO576" s="3"/>
      <c r="AP576" s="3"/>
      <c r="AQ576" s="3"/>
      <c r="AR576" s="3"/>
      <c r="AS576" s="3"/>
      <c r="AT576" s="3"/>
      <c r="AU576" s="3"/>
      <c r="AV576" s="3"/>
      <c r="AW576" s="3"/>
      <c r="AX576" s="3"/>
      <c r="AY576" s="3"/>
      <c r="AZ576" s="3"/>
    </row>
    <row r="577" spans="1:52" ht="18" customHeight="1" x14ac:dyDescent="0.2">
      <c r="A577" s="3" t="str">
        <f t="shared" si="8"/>
        <v xml:space="preserve">                                                  </v>
      </c>
      <c r="B577" s="20" t="s">
        <v>174</v>
      </c>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c r="AC577" s="3"/>
      <c r="AD577" s="3"/>
      <c r="AE577" s="3"/>
      <c r="AF577" s="3"/>
      <c r="AG577" s="3"/>
      <c r="AH577" s="3"/>
      <c r="AI577" s="3"/>
      <c r="AJ577" s="3"/>
      <c r="AK577" s="3"/>
      <c r="AL577" s="3"/>
      <c r="AM577" s="3"/>
      <c r="AN577" s="3"/>
      <c r="AO577" s="3"/>
      <c r="AP577" s="3"/>
      <c r="AQ577" s="3"/>
      <c r="AR577" s="3"/>
      <c r="AS577" s="3"/>
      <c r="AT577" s="3"/>
      <c r="AU577" s="3"/>
      <c r="AV577" s="3"/>
      <c r="AW577" s="3"/>
      <c r="AX577" s="3"/>
      <c r="AY577" s="3"/>
      <c r="AZ577" s="3"/>
    </row>
    <row r="578" spans="1:52" ht="18" customHeight="1" x14ac:dyDescent="0.2">
      <c r="A578" s="3" t="str">
        <f t="shared" si="8"/>
        <v xml:space="preserve">                                                  </v>
      </c>
      <c r="B578" s="20" t="s">
        <v>174</v>
      </c>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row>
    <row r="579" spans="1:52" ht="18" customHeight="1" x14ac:dyDescent="0.2">
      <c r="A579" s="3" t="str">
        <f t="shared" si="8"/>
        <v xml:space="preserve">                                                  </v>
      </c>
      <c r="B579" s="20" t="s">
        <v>174</v>
      </c>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c r="AC579" s="3"/>
      <c r="AD579" s="3"/>
      <c r="AE579" s="3"/>
      <c r="AF579" s="3"/>
      <c r="AG579" s="3"/>
      <c r="AH579" s="3"/>
      <c r="AI579" s="3"/>
      <c r="AJ579" s="3"/>
      <c r="AK579" s="3"/>
      <c r="AL579" s="3"/>
      <c r="AM579" s="3"/>
      <c r="AN579" s="3"/>
      <c r="AO579" s="3"/>
      <c r="AP579" s="3"/>
      <c r="AQ579" s="3"/>
      <c r="AR579" s="3"/>
      <c r="AS579" s="3"/>
      <c r="AT579" s="3"/>
      <c r="AU579" s="3"/>
      <c r="AV579" s="3"/>
      <c r="AW579" s="3"/>
      <c r="AX579" s="3"/>
      <c r="AY579" s="3"/>
      <c r="AZ579" s="3"/>
    </row>
    <row r="580" spans="1:52" ht="18" customHeight="1" x14ac:dyDescent="0.2">
      <c r="A580" s="3" t="str">
        <f t="shared" ref="A580:A643" si="9">CONCATENATE(C580," ",D580," ",E580," ",F580," ",G580," ",H580," ",I580," ",J580," ",K580," ",L580," ",M580," ",N580," ",O580," ",P580," ",Q580," ",R580," ",S580," ",T580," ",U580," ",V580," ",W580," ",X580," ",Y580," ",Z580," ",AA580," ",AB580," ",AC580," ",AD580," ",AE580," ",AF580," ",AG580," ",AH580," ",AI580," ",AJ580," ",AK580," ",AL580," ",AM580," ",AN580," ",AO580," ",AP580," ",AQ580," ",AR580," ",AS580," ",AT580," ",AU580," ",AV580," ",AW580," ",AX580," ",AY580," ",AZ580," ",
)</f>
        <v xml:space="preserve">                                                  </v>
      </c>
      <c r="B580" s="20" t="s">
        <v>174</v>
      </c>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c r="AC580" s="3"/>
      <c r="AD580" s="3"/>
      <c r="AE580" s="3"/>
      <c r="AF580" s="3"/>
      <c r="AG580" s="3"/>
      <c r="AH580" s="3"/>
      <c r="AI580" s="3"/>
      <c r="AJ580" s="3"/>
      <c r="AK580" s="3"/>
      <c r="AL580" s="3"/>
      <c r="AM580" s="3"/>
      <c r="AN580" s="3"/>
      <c r="AO580" s="3"/>
      <c r="AP580" s="3"/>
      <c r="AQ580" s="3"/>
      <c r="AR580" s="3"/>
      <c r="AS580" s="3"/>
      <c r="AT580" s="3"/>
      <c r="AU580" s="3"/>
      <c r="AV580" s="3"/>
      <c r="AW580" s="3"/>
      <c r="AX580" s="3"/>
      <c r="AY580" s="3"/>
      <c r="AZ580" s="3"/>
    </row>
    <row r="581" spans="1:52" ht="18" customHeight="1" x14ac:dyDescent="0.2">
      <c r="A581" s="3" t="str">
        <f t="shared" si="9"/>
        <v xml:space="preserve">                                                  </v>
      </c>
      <c r="B581" s="20" t="s">
        <v>174</v>
      </c>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c r="AC581" s="3"/>
      <c r="AD581" s="3"/>
      <c r="AE581" s="3"/>
      <c r="AF581" s="3"/>
      <c r="AG581" s="3"/>
      <c r="AH581" s="3"/>
      <c r="AI581" s="3"/>
      <c r="AJ581" s="3"/>
      <c r="AK581" s="3"/>
      <c r="AL581" s="3"/>
      <c r="AM581" s="3"/>
      <c r="AN581" s="3"/>
      <c r="AO581" s="3"/>
      <c r="AP581" s="3"/>
      <c r="AQ581" s="3"/>
      <c r="AR581" s="3"/>
      <c r="AS581" s="3"/>
      <c r="AT581" s="3"/>
      <c r="AU581" s="3"/>
      <c r="AV581" s="3"/>
      <c r="AW581" s="3"/>
      <c r="AX581" s="3"/>
      <c r="AY581" s="3"/>
      <c r="AZ581" s="3"/>
    </row>
    <row r="582" spans="1:52" ht="18" customHeight="1" x14ac:dyDescent="0.2">
      <c r="A582" s="3" t="str">
        <f t="shared" si="9"/>
        <v xml:space="preserve">                                                  </v>
      </c>
      <c r="B582" s="20" t="s">
        <v>174</v>
      </c>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row>
    <row r="583" spans="1:52" ht="18" customHeight="1" x14ac:dyDescent="0.2">
      <c r="A583" s="3" t="str">
        <f t="shared" si="9"/>
        <v xml:space="preserve">                                                  </v>
      </c>
      <c r="B583" s="20" t="s">
        <v>174</v>
      </c>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c r="AC583" s="3"/>
      <c r="AD583" s="3"/>
      <c r="AE583" s="3"/>
      <c r="AF583" s="3"/>
      <c r="AG583" s="3"/>
      <c r="AH583" s="3"/>
      <c r="AI583" s="3"/>
      <c r="AJ583" s="3"/>
      <c r="AK583" s="3"/>
      <c r="AL583" s="3"/>
      <c r="AM583" s="3"/>
      <c r="AN583" s="3"/>
      <c r="AO583" s="3"/>
      <c r="AP583" s="3"/>
      <c r="AQ583" s="3"/>
      <c r="AR583" s="3"/>
      <c r="AS583" s="3"/>
      <c r="AT583" s="3"/>
      <c r="AU583" s="3"/>
      <c r="AV583" s="3"/>
      <c r="AW583" s="3"/>
      <c r="AX583" s="3"/>
      <c r="AY583" s="3"/>
      <c r="AZ583" s="3"/>
    </row>
    <row r="584" spans="1:52" ht="18" customHeight="1" x14ac:dyDescent="0.2">
      <c r="A584" s="3" t="str">
        <f t="shared" si="9"/>
        <v xml:space="preserve">                                                  </v>
      </c>
      <c r="B584" s="20" t="s">
        <v>174</v>
      </c>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c r="AC584" s="3"/>
      <c r="AD584" s="3"/>
      <c r="AE584" s="3"/>
      <c r="AF584" s="3"/>
      <c r="AG584" s="3"/>
      <c r="AH584" s="3"/>
      <c r="AI584" s="3"/>
      <c r="AJ584" s="3"/>
      <c r="AK584" s="3"/>
      <c r="AL584" s="3"/>
      <c r="AM584" s="3"/>
      <c r="AN584" s="3"/>
      <c r="AO584" s="3"/>
      <c r="AP584" s="3"/>
      <c r="AQ584" s="3"/>
      <c r="AR584" s="3"/>
      <c r="AS584" s="3"/>
      <c r="AT584" s="3"/>
      <c r="AU584" s="3"/>
      <c r="AV584" s="3"/>
      <c r="AW584" s="3"/>
      <c r="AX584" s="3"/>
      <c r="AY584" s="3"/>
      <c r="AZ584" s="3"/>
    </row>
    <row r="585" spans="1:52" ht="18" customHeight="1" x14ac:dyDescent="0.2">
      <c r="A585" s="3" t="str">
        <f t="shared" si="9"/>
        <v xml:space="preserve">                                                  </v>
      </c>
      <c r="B585" s="20" t="s">
        <v>174</v>
      </c>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c r="AC585" s="3"/>
      <c r="AD585" s="3"/>
      <c r="AE585" s="3"/>
      <c r="AF585" s="3"/>
      <c r="AG585" s="3"/>
      <c r="AH585" s="3"/>
      <c r="AI585" s="3"/>
      <c r="AJ585" s="3"/>
      <c r="AK585" s="3"/>
      <c r="AL585" s="3"/>
      <c r="AM585" s="3"/>
      <c r="AN585" s="3"/>
      <c r="AO585" s="3"/>
      <c r="AP585" s="3"/>
      <c r="AQ585" s="3"/>
      <c r="AR585" s="3"/>
      <c r="AS585" s="3"/>
      <c r="AT585" s="3"/>
      <c r="AU585" s="3"/>
      <c r="AV585" s="3"/>
      <c r="AW585" s="3"/>
      <c r="AX585" s="3"/>
      <c r="AY585" s="3"/>
      <c r="AZ585" s="3"/>
    </row>
    <row r="586" spans="1:52" ht="18" customHeight="1" x14ac:dyDescent="0.2">
      <c r="A586" s="3" t="str">
        <f t="shared" si="9"/>
        <v xml:space="preserve">                                                  </v>
      </c>
      <c r="B586" s="20" t="s">
        <v>174</v>
      </c>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row>
    <row r="587" spans="1:52" ht="18" customHeight="1" x14ac:dyDescent="0.2">
      <c r="A587" s="3" t="str">
        <f t="shared" si="9"/>
        <v xml:space="preserve">                                                  </v>
      </c>
      <c r="B587" s="20" t="s">
        <v>174</v>
      </c>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c r="AC587" s="3"/>
      <c r="AD587" s="3"/>
      <c r="AE587" s="3"/>
      <c r="AF587" s="3"/>
      <c r="AG587" s="3"/>
      <c r="AH587" s="3"/>
      <c r="AI587" s="3"/>
      <c r="AJ587" s="3"/>
      <c r="AK587" s="3"/>
      <c r="AL587" s="3"/>
      <c r="AM587" s="3"/>
      <c r="AN587" s="3"/>
      <c r="AO587" s="3"/>
      <c r="AP587" s="3"/>
      <c r="AQ587" s="3"/>
      <c r="AR587" s="3"/>
      <c r="AS587" s="3"/>
      <c r="AT587" s="3"/>
      <c r="AU587" s="3"/>
      <c r="AV587" s="3"/>
      <c r="AW587" s="3"/>
      <c r="AX587" s="3"/>
      <c r="AY587" s="3"/>
      <c r="AZ587" s="3"/>
    </row>
    <row r="588" spans="1:52" ht="18" customHeight="1" x14ac:dyDescent="0.2">
      <c r="A588" s="3" t="str">
        <f t="shared" si="9"/>
        <v xml:space="preserve">                                                  </v>
      </c>
      <c r="B588" s="20" t="s">
        <v>174</v>
      </c>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c r="AC588" s="3"/>
      <c r="AD588" s="3"/>
      <c r="AE588" s="3"/>
      <c r="AF588" s="3"/>
      <c r="AG588" s="3"/>
      <c r="AH588" s="3"/>
      <c r="AI588" s="3"/>
      <c r="AJ588" s="3"/>
      <c r="AK588" s="3"/>
      <c r="AL588" s="3"/>
      <c r="AM588" s="3"/>
      <c r="AN588" s="3"/>
      <c r="AO588" s="3"/>
      <c r="AP588" s="3"/>
      <c r="AQ588" s="3"/>
      <c r="AR588" s="3"/>
      <c r="AS588" s="3"/>
      <c r="AT588" s="3"/>
      <c r="AU588" s="3"/>
      <c r="AV588" s="3"/>
      <c r="AW588" s="3"/>
      <c r="AX588" s="3"/>
      <c r="AY588" s="3"/>
      <c r="AZ588" s="3"/>
    </row>
    <row r="589" spans="1:52" ht="18" customHeight="1" x14ac:dyDescent="0.2">
      <c r="A589" s="3" t="str">
        <f t="shared" si="9"/>
        <v xml:space="preserve">                                                  </v>
      </c>
      <c r="B589" s="20" t="s">
        <v>174</v>
      </c>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c r="AC589" s="3"/>
      <c r="AD589" s="3"/>
      <c r="AE589" s="3"/>
      <c r="AF589" s="3"/>
      <c r="AG589" s="3"/>
      <c r="AH589" s="3"/>
      <c r="AI589" s="3"/>
      <c r="AJ589" s="3"/>
      <c r="AK589" s="3"/>
      <c r="AL589" s="3"/>
      <c r="AM589" s="3"/>
      <c r="AN589" s="3"/>
      <c r="AO589" s="3"/>
      <c r="AP589" s="3"/>
      <c r="AQ589" s="3"/>
      <c r="AR589" s="3"/>
      <c r="AS589" s="3"/>
      <c r="AT589" s="3"/>
      <c r="AU589" s="3"/>
      <c r="AV589" s="3"/>
      <c r="AW589" s="3"/>
      <c r="AX589" s="3"/>
      <c r="AY589" s="3"/>
      <c r="AZ589" s="3"/>
    </row>
    <row r="590" spans="1:52" ht="18" customHeight="1" x14ac:dyDescent="0.2">
      <c r="A590" s="3" t="str">
        <f t="shared" si="9"/>
        <v xml:space="preserve">                                                  </v>
      </c>
      <c r="B590" s="20" t="s">
        <v>174</v>
      </c>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row>
    <row r="591" spans="1:52" ht="18" customHeight="1" x14ac:dyDescent="0.2">
      <c r="A591" s="3" t="str">
        <f t="shared" si="9"/>
        <v xml:space="preserve">                                                  </v>
      </c>
      <c r="B591" s="20" t="s">
        <v>174</v>
      </c>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c r="AC591" s="3"/>
      <c r="AD591" s="3"/>
      <c r="AE591" s="3"/>
      <c r="AF591" s="3"/>
      <c r="AG591" s="3"/>
      <c r="AH591" s="3"/>
      <c r="AI591" s="3"/>
      <c r="AJ591" s="3"/>
      <c r="AK591" s="3"/>
      <c r="AL591" s="3"/>
      <c r="AM591" s="3"/>
      <c r="AN591" s="3"/>
      <c r="AO591" s="3"/>
      <c r="AP591" s="3"/>
      <c r="AQ591" s="3"/>
      <c r="AR591" s="3"/>
      <c r="AS591" s="3"/>
      <c r="AT591" s="3"/>
      <c r="AU591" s="3"/>
      <c r="AV591" s="3"/>
      <c r="AW591" s="3"/>
      <c r="AX591" s="3"/>
      <c r="AY591" s="3"/>
      <c r="AZ591" s="3"/>
    </row>
    <row r="592" spans="1:52" ht="18" customHeight="1" x14ac:dyDescent="0.2">
      <c r="A592" s="3" t="str">
        <f t="shared" si="9"/>
        <v xml:space="preserve">                                                  </v>
      </c>
      <c r="B592" s="20" t="s">
        <v>174</v>
      </c>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c r="AC592" s="3"/>
      <c r="AD592" s="3"/>
      <c r="AE592" s="3"/>
      <c r="AF592" s="3"/>
      <c r="AG592" s="3"/>
      <c r="AH592" s="3"/>
      <c r="AI592" s="3"/>
      <c r="AJ592" s="3"/>
      <c r="AK592" s="3"/>
      <c r="AL592" s="3"/>
      <c r="AM592" s="3"/>
      <c r="AN592" s="3"/>
      <c r="AO592" s="3"/>
      <c r="AP592" s="3"/>
      <c r="AQ592" s="3"/>
      <c r="AR592" s="3"/>
      <c r="AS592" s="3"/>
      <c r="AT592" s="3"/>
      <c r="AU592" s="3"/>
      <c r="AV592" s="3"/>
      <c r="AW592" s="3"/>
      <c r="AX592" s="3"/>
      <c r="AY592" s="3"/>
      <c r="AZ592" s="3"/>
    </row>
    <row r="593" spans="1:52" ht="18" customHeight="1" x14ac:dyDescent="0.2">
      <c r="A593" s="3" t="str">
        <f t="shared" si="9"/>
        <v xml:space="preserve">                                                  </v>
      </c>
      <c r="B593" s="20" t="s">
        <v>174</v>
      </c>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c r="AC593" s="3"/>
      <c r="AD593" s="3"/>
      <c r="AE593" s="3"/>
      <c r="AF593" s="3"/>
      <c r="AG593" s="3"/>
      <c r="AH593" s="3"/>
      <c r="AI593" s="3"/>
      <c r="AJ593" s="3"/>
      <c r="AK593" s="3"/>
      <c r="AL593" s="3"/>
      <c r="AM593" s="3"/>
      <c r="AN593" s="3"/>
      <c r="AO593" s="3"/>
      <c r="AP593" s="3"/>
      <c r="AQ593" s="3"/>
      <c r="AR593" s="3"/>
      <c r="AS593" s="3"/>
      <c r="AT593" s="3"/>
      <c r="AU593" s="3"/>
      <c r="AV593" s="3"/>
      <c r="AW593" s="3"/>
      <c r="AX593" s="3"/>
      <c r="AY593" s="3"/>
      <c r="AZ593" s="3"/>
    </row>
    <row r="594" spans="1:52" ht="18" customHeight="1" x14ac:dyDescent="0.2">
      <c r="A594" s="3" t="str">
        <f t="shared" si="9"/>
        <v xml:space="preserve">                                                  </v>
      </c>
      <c r="B594" s="20" t="s">
        <v>174</v>
      </c>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row>
    <row r="595" spans="1:52" ht="18" customHeight="1" x14ac:dyDescent="0.2">
      <c r="A595" s="3" t="str">
        <f t="shared" si="9"/>
        <v xml:space="preserve">                                                  </v>
      </c>
      <c r="B595" s="20" t="s">
        <v>174</v>
      </c>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c r="AC595" s="3"/>
      <c r="AD595" s="3"/>
      <c r="AE595" s="3"/>
      <c r="AF595" s="3"/>
      <c r="AG595" s="3"/>
      <c r="AH595" s="3"/>
      <c r="AI595" s="3"/>
      <c r="AJ595" s="3"/>
      <c r="AK595" s="3"/>
      <c r="AL595" s="3"/>
      <c r="AM595" s="3"/>
      <c r="AN595" s="3"/>
      <c r="AO595" s="3"/>
      <c r="AP595" s="3"/>
      <c r="AQ595" s="3"/>
      <c r="AR595" s="3"/>
      <c r="AS595" s="3"/>
      <c r="AT595" s="3"/>
      <c r="AU595" s="3"/>
      <c r="AV595" s="3"/>
      <c r="AW595" s="3"/>
      <c r="AX595" s="3"/>
      <c r="AY595" s="3"/>
      <c r="AZ595" s="3"/>
    </row>
    <row r="596" spans="1:52" ht="18" customHeight="1" x14ac:dyDescent="0.2">
      <c r="A596" s="3" t="str">
        <f t="shared" si="9"/>
        <v xml:space="preserve">                                                  </v>
      </c>
      <c r="B596" s="20" t="s">
        <v>174</v>
      </c>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c r="AC596" s="3"/>
      <c r="AD596" s="3"/>
      <c r="AE596" s="3"/>
      <c r="AF596" s="3"/>
      <c r="AG596" s="3"/>
      <c r="AH596" s="3"/>
      <c r="AI596" s="3"/>
      <c r="AJ596" s="3"/>
      <c r="AK596" s="3"/>
      <c r="AL596" s="3"/>
      <c r="AM596" s="3"/>
      <c r="AN596" s="3"/>
      <c r="AO596" s="3"/>
      <c r="AP596" s="3"/>
      <c r="AQ596" s="3"/>
      <c r="AR596" s="3"/>
      <c r="AS596" s="3"/>
      <c r="AT596" s="3"/>
      <c r="AU596" s="3"/>
      <c r="AV596" s="3"/>
      <c r="AW596" s="3"/>
      <c r="AX596" s="3"/>
      <c r="AY596" s="3"/>
      <c r="AZ596" s="3"/>
    </row>
    <row r="597" spans="1:52" ht="18" customHeight="1" x14ac:dyDescent="0.2">
      <c r="A597" s="3" t="str">
        <f t="shared" si="9"/>
        <v xml:space="preserve">                                                  </v>
      </c>
      <c r="B597" s="20" t="s">
        <v>174</v>
      </c>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c r="AC597" s="3"/>
      <c r="AD597" s="3"/>
      <c r="AE597" s="3"/>
      <c r="AF597" s="3"/>
      <c r="AG597" s="3"/>
      <c r="AH597" s="3"/>
      <c r="AI597" s="3"/>
      <c r="AJ597" s="3"/>
      <c r="AK597" s="3"/>
      <c r="AL597" s="3"/>
      <c r="AM597" s="3"/>
      <c r="AN597" s="3"/>
      <c r="AO597" s="3"/>
      <c r="AP597" s="3"/>
      <c r="AQ597" s="3"/>
      <c r="AR597" s="3"/>
      <c r="AS597" s="3"/>
      <c r="AT597" s="3"/>
      <c r="AU597" s="3"/>
      <c r="AV597" s="3"/>
      <c r="AW597" s="3"/>
      <c r="AX597" s="3"/>
      <c r="AY597" s="3"/>
      <c r="AZ597" s="3"/>
    </row>
    <row r="598" spans="1:52" ht="18" customHeight="1" x14ac:dyDescent="0.2">
      <c r="A598" s="3" t="str">
        <f t="shared" si="9"/>
        <v xml:space="preserve">                                                  </v>
      </c>
      <c r="B598" s="20" t="s">
        <v>174</v>
      </c>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row>
    <row r="599" spans="1:52" ht="18" customHeight="1" x14ac:dyDescent="0.2">
      <c r="A599" s="3" t="str">
        <f t="shared" si="9"/>
        <v xml:space="preserve">                                                  </v>
      </c>
      <c r="B599" s="20" t="s">
        <v>174</v>
      </c>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c r="AC599" s="3"/>
      <c r="AD599" s="3"/>
      <c r="AE599" s="3"/>
      <c r="AF599" s="3"/>
      <c r="AG599" s="3"/>
      <c r="AH599" s="3"/>
      <c r="AI599" s="3"/>
      <c r="AJ599" s="3"/>
      <c r="AK599" s="3"/>
      <c r="AL599" s="3"/>
      <c r="AM599" s="3"/>
      <c r="AN599" s="3"/>
      <c r="AO599" s="3"/>
      <c r="AP599" s="3"/>
      <c r="AQ599" s="3"/>
      <c r="AR599" s="3"/>
      <c r="AS599" s="3"/>
      <c r="AT599" s="3"/>
      <c r="AU599" s="3"/>
      <c r="AV599" s="3"/>
      <c r="AW599" s="3"/>
      <c r="AX599" s="3"/>
      <c r="AY599" s="3"/>
      <c r="AZ599" s="3"/>
    </row>
    <row r="600" spans="1:52" ht="18" customHeight="1" x14ac:dyDescent="0.2">
      <c r="A600" s="3" t="str">
        <f t="shared" si="9"/>
        <v xml:space="preserve">                                                  </v>
      </c>
      <c r="B600" s="20" t="s">
        <v>174</v>
      </c>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c r="AC600" s="3"/>
      <c r="AD600" s="3"/>
      <c r="AE600" s="3"/>
      <c r="AF600" s="3"/>
      <c r="AG600" s="3"/>
      <c r="AH600" s="3"/>
      <c r="AI600" s="3"/>
      <c r="AJ600" s="3"/>
      <c r="AK600" s="3"/>
      <c r="AL600" s="3"/>
      <c r="AM600" s="3"/>
      <c r="AN600" s="3"/>
      <c r="AO600" s="3"/>
      <c r="AP600" s="3"/>
      <c r="AQ600" s="3"/>
      <c r="AR600" s="3"/>
      <c r="AS600" s="3"/>
      <c r="AT600" s="3"/>
      <c r="AU600" s="3"/>
      <c r="AV600" s="3"/>
      <c r="AW600" s="3"/>
      <c r="AX600" s="3"/>
      <c r="AY600" s="3"/>
      <c r="AZ600" s="3"/>
    </row>
    <row r="601" spans="1:52" ht="18" customHeight="1" x14ac:dyDescent="0.2">
      <c r="A601" s="3" t="str">
        <f t="shared" si="9"/>
        <v xml:space="preserve">                                                  </v>
      </c>
      <c r="B601" s="20" t="s">
        <v>174</v>
      </c>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c r="AC601" s="3"/>
      <c r="AD601" s="3"/>
      <c r="AE601" s="3"/>
      <c r="AF601" s="3"/>
      <c r="AG601" s="3"/>
      <c r="AH601" s="3"/>
      <c r="AI601" s="3"/>
      <c r="AJ601" s="3"/>
      <c r="AK601" s="3"/>
      <c r="AL601" s="3"/>
      <c r="AM601" s="3"/>
      <c r="AN601" s="3"/>
      <c r="AO601" s="3"/>
      <c r="AP601" s="3"/>
      <c r="AQ601" s="3"/>
      <c r="AR601" s="3"/>
      <c r="AS601" s="3"/>
      <c r="AT601" s="3"/>
      <c r="AU601" s="3"/>
      <c r="AV601" s="3"/>
      <c r="AW601" s="3"/>
      <c r="AX601" s="3"/>
      <c r="AY601" s="3"/>
      <c r="AZ601" s="3"/>
    </row>
    <row r="602" spans="1:52" ht="18" customHeight="1" x14ac:dyDescent="0.2">
      <c r="A602" s="3" t="str">
        <f t="shared" si="9"/>
        <v xml:space="preserve">                                                  </v>
      </c>
      <c r="B602" s="20" t="s">
        <v>174</v>
      </c>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row>
    <row r="603" spans="1:52" ht="18" customHeight="1" x14ac:dyDescent="0.2">
      <c r="A603" s="3" t="str">
        <f t="shared" si="9"/>
        <v xml:space="preserve">                                                  </v>
      </c>
      <c r="B603" s="20" t="s">
        <v>174</v>
      </c>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c r="AC603" s="3"/>
      <c r="AD603" s="3"/>
      <c r="AE603" s="3"/>
      <c r="AF603" s="3"/>
      <c r="AG603" s="3"/>
      <c r="AH603" s="3"/>
      <c r="AI603" s="3"/>
      <c r="AJ603" s="3"/>
      <c r="AK603" s="3"/>
      <c r="AL603" s="3"/>
      <c r="AM603" s="3"/>
      <c r="AN603" s="3"/>
      <c r="AO603" s="3"/>
      <c r="AP603" s="3"/>
      <c r="AQ603" s="3"/>
      <c r="AR603" s="3"/>
      <c r="AS603" s="3"/>
      <c r="AT603" s="3"/>
      <c r="AU603" s="3"/>
      <c r="AV603" s="3"/>
      <c r="AW603" s="3"/>
      <c r="AX603" s="3"/>
      <c r="AY603" s="3"/>
      <c r="AZ603" s="3"/>
    </row>
    <row r="604" spans="1:52" ht="18" customHeight="1" x14ac:dyDescent="0.2">
      <c r="A604" s="3" t="str">
        <f t="shared" si="9"/>
        <v xml:space="preserve">                                                  </v>
      </c>
      <c r="B604" s="20" t="s">
        <v>174</v>
      </c>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c r="AC604" s="3"/>
      <c r="AD604" s="3"/>
      <c r="AE604" s="3"/>
      <c r="AF604" s="3"/>
      <c r="AG604" s="3"/>
      <c r="AH604" s="3"/>
      <c r="AI604" s="3"/>
      <c r="AJ604" s="3"/>
      <c r="AK604" s="3"/>
      <c r="AL604" s="3"/>
      <c r="AM604" s="3"/>
      <c r="AN604" s="3"/>
      <c r="AO604" s="3"/>
      <c r="AP604" s="3"/>
      <c r="AQ604" s="3"/>
      <c r="AR604" s="3"/>
      <c r="AS604" s="3"/>
      <c r="AT604" s="3"/>
      <c r="AU604" s="3"/>
      <c r="AV604" s="3"/>
      <c r="AW604" s="3"/>
      <c r="AX604" s="3"/>
      <c r="AY604" s="3"/>
      <c r="AZ604" s="3"/>
    </row>
    <row r="605" spans="1:52" ht="18" customHeight="1" x14ac:dyDescent="0.2">
      <c r="A605" s="3" t="str">
        <f t="shared" si="9"/>
        <v xml:space="preserve">                                                  </v>
      </c>
      <c r="B605" s="20" t="s">
        <v>174</v>
      </c>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c r="AC605" s="3"/>
      <c r="AD605" s="3"/>
      <c r="AE605" s="3"/>
      <c r="AF605" s="3"/>
      <c r="AG605" s="3"/>
      <c r="AH605" s="3"/>
      <c r="AI605" s="3"/>
      <c r="AJ605" s="3"/>
      <c r="AK605" s="3"/>
      <c r="AL605" s="3"/>
      <c r="AM605" s="3"/>
      <c r="AN605" s="3"/>
      <c r="AO605" s="3"/>
      <c r="AP605" s="3"/>
      <c r="AQ605" s="3"/>
      <c r="AR605" s="3"/>
      <c r="AS605" s="3"/>
      <c r="AT605" s="3"/>
      <c r="AU605" s="3"/>
      <c r="AV605" s="3"/>
      <c r="AW605" s="3"/>
      <c r="AX605" s="3"/>
      <c r="AY605" s="3"/>
      <c r="AZ605" s="3"/>
    </row>
    <row r="606" spans="1:52" ht="18" customHeight="1" x14ac:dyDescent="0.2">
      <c r="A606" s="3" t="str">
        <f t="shared" si="9"/>
        <v xml:space="preserve">                                                  </v>
      </c>
      <c r="B606" s="20" t="s">
        <v>174</v>
      </c>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row>
    <row r="607" spans="1:52" ht="18" customHeight="1" x14ac:dyDescent="0.2">
      <c r="A607" s="3" t="str">
        <f t="shared" si="9"/>
        <v xml:space="preserve">                                                  </v>
      </c>
      <c r="B607" s="20" t="s">
        <v>174</v>
      </c>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c r="AC607" s="3"/>
      <c r="AD607" s="3"/>
      <c r="AE607" s="3"/>
      <c r="AF607" s="3"/>
      <c r="AG607" s="3"/>
      <c r="AH607" s="3"/>
      <c r="AI607" s="3"/>
      <c r="AJ607" s="3"/>
      <c r="AK607" s="3"/>
      <c r="AL607" s="3"/>
      <c r="AM607" s="3"/>
      <c r="AN607" s="3"/>
      <c r="AO607" s="3"/>
      <c r="AP607" s="3"/>
      <c r="AQ607" s="3"/>
      <c r="AR607" s="3"/>
      <c r="AS607" s="3"/>
      <c r="AT607" s="3"/>
      <c r="AU607" s="3"/>
      <c r="AV607" s="3"/>
      <c r="AW607" s="3"/>
      <c r="AX607" s="3"/>
      <c r="AY607" s="3"/>
      <c r="AZ607" s="3"/>
    </row>
    <row r="608" spans="1:52" ht="18" customHeight="1" x14ac:dyDescent="0.2">
      <c r="A608" s="3" t="str">
        <f t="shared" si="9"/>
        <v xml:space="preserve">                                                  </v>
      </c>
      <c r="B608" s="20" t="s">
        <v>174</v>
      </c>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c r="AC608" s="3"/>
      <c r="AD608" s="3"/>
      <c r="AE608" s="3"/>
      <c r="AF608" s="3"/>
      <c r="AG608" s="3"/>
      <c r="AH608" s="3"/>
      <c r="AI608" s="3"/>
      <c r="AJ608" s="3"/>
      <c r="AK608" s="3"/>
      <c r="AL608" s="3"/>
      <c r="AM608" s="3"/>
      <c r="AN608" s="3"/>
      <c r="AO608" s="3"/>
      <c r="AP608" s="3"/>
      <c r="AQ608" s="3"/>
      <c r="AR608" s="3"/>
      <c r="AS608" s="3"/>
      <c r="AT608" s="3"/>
      <c r="AU608" s="3"/>
      <c r="AV608" s="3"/>
      <c r="AW608" s="3"/>
      <c r="AX608" s="3"/>
      <c r="AY608" s="3"/>
      <c r="AZ608" s="3"/>
    </row>
    <row r="609" spans="1:52" ht="18" customHeight="1" x14ac:dyDescent="0.2">
      <c r="A609" s="3" t="str">
        <f t="shared" si="9"/>
        <v xml:space="preserve">                                                  </v>
      </c>
      <c r="B609" s="20" t="s">
        <v>174</v>
      </c>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c r="AC609" s="3"/>
      <c r="AD609" s="3"/>
      <c r="AE609" s="3"/>
      <c r="AF609" s="3"/>
      <c r="AG609" s="3"/>
      <c r="AH609" s="3"/>
      <c r="AI609" s="3"/>
      <c r="AJ609" s="3"/>
      <c r="AK609" s="3"/>
      <c r="AL609" s="3"/>
      <c r="AM609" s="3"/>
      <c r="AN609" s="3"/>
      <c r="AO609" s="3"/>
      <c r="AP609" s="3"/>
      <c r="AQ609" s="3"/>
      <c r="AR609" s="3"/>
      <c r="AS609" s="3"/>
      <c r="AT609" s="3"/>
      <c r="AU609" s="3"/>
      <c r="AV609" s="3"/>
      <c r="AW609" s="3"/>
      <c r="AX609" s="3"/>
      <c r="AY609" s="3"/>
      <c r="AZ609" s="3"/>
    </row>
    <row r="610" spans="1:52" ht="18" customHeight="1" x14ac:dyDescent="0.2">
      <c r="A610" s="3" t="str">
        <f t="shared" si="9"/>
        <v xml:space="preserve">                                                  </v>
      </c>
      <c r="B610" s="20" t="s">
        <v>174</v>
      </c>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row>
    <row r="611" spans="1:52" ht="18" customHeight="1" x14ac:dyDescent="0.2">
      <c r="A611" s="3" t="str">
        <f t="shared" si="9"/>
        <v xml:space="preserve">                                                  </v>
      </c>
      <c r="B611" s="20" t="s">
        <v>174</v>
      </c>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c r="AC611" s="3"/>
      <c r="AD611" s="3"/>
      <c r="AE611" s="3"/>
      <c r="AF611" s="3"/>
      <c r="AG611" s="3"/>
      <c r="AH611" s="3"/>
      <c r="AI611" s="3"/>
      <c r="AJ611" s="3"/>
      <c r="AK611" s="3"/>
      <c r="AL611" s="3"/>
      <c r="AM611" s="3"/>
      <c r="AN611" s="3"/>
      <c r="AO611" s="3"/>
      <c r="AP611" s="3"/>
      <c r="AQ611" s="3"/>
      <c r="AR611" s="3"/>
      <c r="AS611" s="3"/>
      <c r="AT611" s="3"/>
      <c r="AU611" s="3"/>
      <c r="AV611" s="3"/>
      <c r="AW611" s="3"/>
      <c r="AX611" s="3"/>
      <c r="AY611" s="3"/>
      <c r="AZ611" s="3"/>
    </row>
    <row r="612" spans="1:52" ht="18" customHeight="1" x14ac:dyDescent="0.2">
      <c r="A612" s="3" t="str">
        <f t="shared" si="9"/>
        <v xml:space="preserve">                                                  </v>
      </c>
      <c r="B612" s="20" t="s">
        <v>174</v>
      </c>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c r="AC612" s="3"/>
      <c r="AD612" s="3"/>
      <c r="AE612" s="3"/>
      <c r="AF612" s="3"/>
      <c r="AG612" s="3"/>
      <c r="AH612" s="3"/>
      <c r="AI612" s="3"/>
      <c r="AJ612" s="3"/>
      <c r="AK612" s="3"/>
      <c r="AL612" s="3"/>
      <c r="AM612" s="3"/>
      <c r="AN612" s="3"/>
      <c r="AO612" s="3"/>
      <c r="AP612" s="3"/>
      <c r="AQ612" s="3"/>
      <c r="AR612" s="3"/>
      <c r="AS612" s="3"/>
      <c r="AT612" s="3"/>
      <c r="AU612" s="3"/>
      <c r="AV612" s="3"/>
      <c r="AW612" s="3"/>
      <c r="AX612" s="3"/>
      <c r="AY612" s="3"/>
      <c r="AZ612" s="3"/>
    </row>
    <row r="613" spans="1:52" ht="18" customHeight="1" x14ac:dyDescent="0.2">
      <c r="A613" s="3" t="str">
        <f t="shared" si="9"/>
        <v xml:space="preserve">                                                  </v>
      </c>
      <c r="B613" s="20" t="s">
        <v>174</v>
      </c>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c r="AC613" s="3"/>
      <c r="AD613" s="3"/>
      <c r="AE613" s="3"/>
      <c r="AF613" s="3"/>
      <c r="AG613" s="3"/>
      <c r="AH613" s="3"/>
      <c r="AI613" s="3"/>
      <c r="AJ613" s="3"/>
      <c r="AK613" s="3"/>
      <c r="AL613" s="3"/>
      <c r="AM613" s="3"/>
      <c r="AN613" s="3"/>
      <c r="AO613" s="3"/>
      <c r="AP613" s="3"/>
      <c r="AQ613" s="3"/>
      <c r="AR613" s="3"/>
      <c r="AS613" s="3"/>
      <c r="AT613" s="3"/>
      <c r="AU613" s="3"/>
      <c r="AV613" s="3"/>
      <c r="AW613" s="3"/>
      <c r="AX613" s="3"/>
      <c r="AY613" s="3"/>
      <c r="AZ613" s="3"/>
    </row>
    <row r="614" spans="1:52" ht="18" customHeight="1" x14ac:dyDescent="0.2">
      <c r="A614" s="3" t="str">
        <f t="shared" si="9"/>
        <v xml:space="preserve">                                                  </v>
      </c>
      <c r="B614" s="20" t="s">
        <v>174</v>
      </c>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row>
    <row r="615" spans="1:52" ht="18" customHeight="1" x14ac:dyDescent="0.2">
      <c r="A615" s="3" t="str">
        <f t="shared" si="9"/>
        <v xml:space="preserve">                                                  </v>
      </c>
      <c r="B615" s="20" t="s">
        <v>174</v>
      </c>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c r="AC615" s="3"/>
      <c r="AD615" s="3"/>
      <c r="AE615" s="3"/>
      <c r="AF615" s="3"/>
      <c r="AG615" s="3"/>
      <c r="AH615" s="3"/>
      <c r="AI615" s="3"/>
      <c r="AJ615" s="3"/>
      <c r="AK615" s="3"/>
      <c r="AL615" s="3"/>
      <c r="AM615" s="3"/>
      <c r="AN615" s="3"/>
      <c r="AO615" s="3"/>
      <c r="AP615" s="3"/>
      <c r="AQ615" s="3"/>
      <c r="AR615" s="3"/>
      <c r="AS615" s="3"/>
      <c r="AT615" s="3"/>
      <c r="AU615" s="3"/>
      <c r="AV615" s="3"/>
      <c r="AW615" s="3"/>
      <c r="AX615" s="3"/>
      <c r="AY615" s="3"/>
      <c r="AZ615" s="3"/>
    </row>
    <row r="616" spans="1:52" ht="18" customHeight="1" x14ac:dyDescent="0.2">
      <c r="A616" s="3" t="str">
        <f t="shared" si="9"/>
        <v xml:space="preserve">                                                  </v>
      </c>
      <c r="B616" s="20" t="s">
        <v>174</v>
      </c>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c r="AH616" s="3"/>
      <c r="AI616" s="3"/>
      <c r="AJ616" s="3"/>
      <c r="AK616" s="3"/>
      <c r="AL616" s="3"/>
      <c r="AM616" s="3"/>
      <c r="AN616" s="3"/>
      <c r="AO616" s="3"/>
      <c r="AP616" s="3"/>
      <c r="AQ616" s="3"/>
      <c r="AR616" s="3"/>
      <c r="AS616" s="3"/>
      <c r="AT616" s="3"/>
      <c r="AU616" s="3"/>
      <c r="AV616" s="3"/>
      <c r="AW616" s="3"/>
      <c r="AX616" s="3"/>
      <c r="AY616" s="3"/>
      <c r="AZ616" s="3"/>
    </row>
    <row r="617" spans="1:52" ht="18" customHeight="1" x14ac:dyDescent="0.2">
      <c r="A617" s="3" t="str">
        <f t="shared" si="9"/>
        <v xml:space="preserve">                                                  </v>
      </c>
      <c r="B617" s="20" t="s">
        <v>174</v>
      </c>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c r="AC617" s="3"/>
      <c r="AD617" s="3"/>
      <c r="AE617" s="3"/>
      <c r="AF617" s="3"/>
      <c r="AG617" s="3"/>
      <c r="AH617" s="3"/>
      <c r="AI617" s="3"/>
      <c r="AJ617" s="3"/>
      <c r="AK617" s="3"/>
      <c r="AL617" s="3"/>
      <c r="AM617" s="3"/>
      <c r="AN617" s="3"/>
      <c r="AO617" s="3"/>
      <c r="AP617" s="3"/>
      <c r="AQ617" s="3"/>
      <c r="AR617" s="3"/>
      <c r="AS617" s="3"/>
      <c r="AT617" s="3"/>
      <c r="AU617" s="3"/>
      <c r="AV617" s="3"/>
      <c r="AW617" s="3"/>
      <c r="AX617" s="3"/>
      <c r="AY617" s="3"/>
      <c r="AZ617" s="3"/>
    </row>
    <row r="618" spans="1:52" ht="18" customHeight="1" x14ac:dyDescent="0.2">
      <c r="A618" s="3" t="str">
        <f t="shared" si="9"/>
        <v xml:space="preserve">                                                  </v>
      </c>
      <c r="B618" s="20" t="s">
        <v>174</v>
      </c>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c r="AC618" s="3"/>
      <c r="AD618" s="3"/>
      <c r="AE618" s="3"/>
      <c r="AF618" s="3"/>
      <c r="AG618" s="3"/>
      <c r="AH618" s="3"/>
      <c r="AI618" s="3"/>
      <c r="AJ618" s="3"/>
      <c r="AK618" s="3"/>
      <c r="AL618" s="3"/>
      <c r="AM618" s="3"/>
      <c r="AN618" s="3"/>
      <c r="AO618" s="3"/>
      <c r="AP618" s="3"/>
      <c r="AQ618" s="3"/>
      <c r="AR618" s="3"/>
      <c r="AS618" s="3"/>
      <c r="AT618" s="3"/>
      <c r="AU618" s="3"/>
      <c r="AV618" s="3"/>
      <c r="AW618" s="3"/>
      <c r="AX618" s="3"/>
      <c r="AY618" s="3"/>
      <c r="AZ618" s="3"/>
    </row>
    <row r="619" spans="1:52" ht="18" customHeight="1" x14ac:dyDescent="0.2">
      <c r="A619" s="3" t="str">
        <f t="shared" si="9"/>
        <v xml:space="preserve">                                                  </v>
      </c>
      <c r="B619" s="20" t="s">
        <v>174</v>
      </c>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c r="AC619" s="3"/>
      <c r="AD619" s="3"/>
      <c r="AE619" s="3"/>
      <c r="AF619" s="3"/>
      <c r="AG619" s="3"/>
      <c r="AH619" s="3"/>
      <c r="AI619" s="3"/>
      <c r="AJ619" s="3"/>
      <c r="AK619" s="3"/>
      <c r="AL619" s="3"/>
      <c r="AM619" s="3"/>
      <c r="AN619" s="3"/>
      <c r="AO619" s="3"/>
      <c r="AP619" s="3"/>
      <c r="AQ619" s="3"/>
      <c r="AR619" s="3"/>
      <c r="AS619" s="3"/>
      <c r="AT619" s="3"/>
      <c r="AU619" s="3"/>
      <c r="AV619" s="3"/>
      <c r="AW619" s="3"/>
      <c r="AX619" s="3"/>
      <c r="AY619" s="3"/>
      <c r="AZ619" s="3"/>
    </row>
    <row r="620" spans="1:52" ht="18" customHeight="1" x14ac:dyDescent="0.2">
      <c r="A620" s="3" t="str">
        <f t="shared" si="9"/>
        <v xml:space="preserve">                                                  </v>
      </c>
      <c r="B620" s="20" t="s">
        <v>174</v>
      </c>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c r="AC620" s="3"/>
      <c r="AD620" s="3"/>
      <c r="AE620" s="3"/>
      <c r="AF620" s="3"/>
      <c r="AG620" s="3"/>
      <c r="AH620" s="3"/>
      <c r="AI620" s="3"/>
      <c r="AJ620" s="3"/>
      <c r="AK620" s="3"/>
      <c r="AL620" s="3"/>
      <c r="AM620" s="3"/>
      <c r="AN620" s="3"/>
      <c r="AO620" s="3"/>
      <c r="AP620" s="3"/>
      <c r="AQ620" s="3"/>
      <c r="AR620" s="3"/>
      <c r="AS620" s="3"/>
      <c r="AT620" s="3"/>
      <c r="AU620" s="3"/>
      <c r="AV620" s="3"/>
      <c r="AW620" s="3"/>
      <c r="AX620" s="3"/>
      <c r="AY620" s="3"/>
      <c r="AZ620" s="3"/>
    </row>
    <row r="621" spans="1:52" ht="18" customHeight="1" x14ac:dyDescent="0.2">
      <c r="A621" s="3" t="str">
        <f t="shared" si="9"/>
        <v xml:space="preserve">                                                  </v>
      </c>
      <c r="B621" s="20" t="s">
        <v>174</v>
      </c>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c r="AC621" s="3"/>
      <c r="AD621" s="3"/>
      <c r="AE621" s="3"/>
      <c r="AF621" s="3"/>
      <c r="AG621" s="3"/>
      <c r="AH621" s="3"/>
      <c r="AI621" s="3"/>
      <c r="AJ621" s="3"/>
      <c r="AK621" s="3"/>
      <c r="AL621" s="3"/>
      <c r="AM621" s="3"/>
      <c r="AN621" s="3"/>
      <c r="AO621" s="3"/>
      <c r="AP621" s="3"/>
      <c r="AQ621" s="3"/>
      <c r="AR621" s="3"/>
      <c r="AS621" s="3"/>
      <c r="AT621" s="3"/>
      <c r="AU621" s="3"/>
      <c r="AV621" s="3"/>
      <c r="AW621" s="3"/>
      <c r="AX621" s="3"/>
      <c r="AY621" s="3"/>
      <c r="AZ621" s="3"/>
    </row>
    <row r="622" spans="1:52" ht="18" customHeight="1" x14ac:dyDescent="0.2">
      <c r="A622" s="3" t="str">
        <f t="shared" si="9"/>
        <v xml:space="preserve">                                                  </v>
      </c>
      <c r="B622" s="20" t="s">
        <v>174</v>
      </c>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c r="AC622" s="3"/>
      <c r="AD622" s="3"/>
      <c r="AE622" s="3"/>
      <c r="AF622" s="3"/>
      <c r="AG622" s="3"/>
      <c r="AH622" s="3"/>
      <c r="AI622" s="3"/>
      <c r="AJ622" s="3"/>
      <c r="AK622" s="3"/>
      <c r="AL622" s="3"/>
      <c r="AM622" s="3"/>
      <c r="AN622" s="3"/>
      <c r="AO622" s="3"/>
      <c r="AP622" s="3"/>
      <c r="AQ622" s="3"/>
      <c r="AR622" s="3"/>
      <c r="AS622" s="3"/>
      <c r="AT622" s="3"/>
      <c r="AU622" s="3"/>
      <c r="AV622" s="3"/>
      <c r="AW622" s="3"/>
      <c r="AX622" s="3"/>
      <c r="AY622" s="3"/>
      <c r="AZ622" s="3"/>
    </row>
    <row r="623" spans="1:52" ht="18" customHeight="1" x14ac:dyDescent="0.2">
      <c r="A623" s="3" t="str">
        <f t="shared" si="9"/>
        <v xml:space="preserve">                                                  </v>
      </c>
      <c r="B623" s="20" t="s">
        <v>174</v>
      </c>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c r="AC623" s="3"/>
      <c r="AD623" s="3"/>
      <c r="AE623" s="3"/>
      <c r="AF623" s="3"/>
      <c r="AG623" s="3"/>
      <c r="AH623" s="3"/>
      <c r="AI623" s="3"/>
      <c r="AJ623" s="3"/>
      <c r="AK623" s="3"/>
      <c r="AL623" s="3"/>
      <c r="AM623" s="3"/>
      <c r="AN623" s="3"/>
      <c r="AO623" s="3"/>
      <c r="AP623" s="3"/>
      <c r="AQ623" s="3"/>
      <c r="AR623" s="3"/>
      <c r="AS623" s="3"/>
      <c r="AT623" s="3"/>
      <c r="AU623" s="3"/>
      <c r="AV623" s="3"/>
      <c r="AW623" s="3"/>
      <c r="AX623" s="3"/>
      <c r="AY623" s="3"/>
      <c r="AZ623" s="3"/>
    </row>
    <row r="624" spans="1:52" ht="18" customHeight="1" x14ac:dyDescent="0.2">
      <c r="A624" s="3" t="str">
        <f t="shared" si="9"/>
        <v xml:space="preserve">                                                  </v>
      </c>
      <c r="B624" s="20" t="s">
        <v>174</v>
      </c>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c r="AC624" s="3"/>
      <c r="AD624" s="3"/>
      <c r="AE624" s="3"/>
      <c r="AF624" s="3"/>
      <c r="AG624" s="3"/>
      <c r="AH624" s="3"/>
      <c r="AI624" s="3"/>
      <c r="AJ624" s="3"/>
      <c r="AK624" s="3"/>
      <c r="AL624" s="3"/>
      <c r="AM624" s="3"/>
      <c r="AN624" s="3"/>
      <c r="AO624" s="3"/>
      <c r="AP624" s="3"/>
      <c r="AQ624" s="3"/>
      <c r="AR624" s="3"/>
      <c r="AS624" s="3"/>
      <c r="AT624" s="3"/>
      <c r="AU624" s="3"/>
      <c r="AV624" s="3"/>
      <c r="AW624" s="3"/>
      <c r="AX624" s="3"/>
      <c r="AY624" s="3"/>
      <c r="AZ624" s="3"/>
    </row>
    <row r="625" spans="1:52" ht="18" customHeight="1" x14ac:dyDescent="0.2">
      <c r="A625" s="3" t="str">
        <f t="shared" si="9"/>
        <v xml:space="preserve">                                                  </v>
      </c>
      <c r="B625" s="20" t="s">
        <v>174</v>
      </c>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c r="AC625" s="3"/>
      <c r="AD625" s="3"/>
      <c r="AE625" s="3"/>
      <c r="AF625" s="3"/>
      <c r="AG625" s="3"/>
      <c r="AH625" s="3"/>
      <c r="AI625" s="3"/>
      <c r="AJ625" s="3"/>
      <c r="AK625" s="3"/>
      <c r="AL625" s="3"/>
      <c r="AM625" s="3"/>
      <c r="AN625" s="3"/>
      <c r="AO625" s="3"/>
      <c r="AP625" s="3"/>
      <c r="AQ625" s="3"/>
      <c r="AR625" s="3"/>
      <c r="AS625" s="3"/>
      <c r="AT625" s="3"/>
      <c r="AU625" s="3"/>
      <c r="AV625" s="3"/>
      <c r="AW625" s="3"/>
      <c r="AX625" s="3"/>
      <c r="AY625" s="3"/>
      <c r="AZ625" s="3"/>
    </row>
    <row r="626" spans="1:52" ht="18" customHeight="1" x14ac:dyDescent="0.2">
      <c r="A626" s="3" t="str">
        <f t="shared" si="9"/>
        <v xml:space="preserve">                                                  </v>
      </c>
      <c r="B626" s="20" t="s">
        <v>174</v>
      </c>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c r="AC626" s="3"/>
      <c r="AD626" s="3"/>
      <c r="AE626" s="3"/>
      <c r="AF626" s="3"/>
      <c r="AG626" s="3"/>
      <c r="AH626" s="3"/>
      <c r="AI626" s="3"/>
      <c r="AJ626" s="3"/>
      <c r="AK626" s="3"/>
      <c r="AL626" s="3"/>
      <c r="AM626" s="3"/>
      <c r="AN626" s="3"/>
      <c r="AO626" s="3"/>
      <c r="AP626" s="3"/>
      <c r="AQ626" s="3"/>
      <c r="AR626" s="3"/>
      <c r="AS626" s="3"/>
      <c r="AT626" s="3"/>
      <c r="AU626" s="3"/>
      <c r="AV626" s="3"/>
      <c r="AW626" s="3"/>
      <c r="AX626" s="3"/>
      <c r="AY626" s="3"/>
      <c r="AZ626" s="3"/>
    </row>
    <row r="627" spans="1:52" ht="18" customHeight="1" x14ac:dyDescent="0.2">
      <c r="A627" s="3" t="str">
        <f t="shared" si="9"/>
        <v xml:space="preserve">                                                  </v>
      </c>
      <c r="B627" s="20" t="s">
        <v>174</v>
      </c>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c r="AC627" s="3"/>
      <c r="AD627" s="3"/>
      <c r="AE627" s="3"/>
      <c r="AF627" s="3"/>
      <c r="AG627" s="3"/>
      <c r="AH627" s="3"/>
      <c r="AI627" s="3"/>
      <c r="AJ627" s="3"/>
      <c r="AK627" s="3"/>
      <c r="AL627" s="3"/>
      <c r="AM627" s="3"/>
      <c r="AN627" s="3"/>
      <c r="AO627" s="3"/>
      <c r="AP627" s="3"/>
      <c r="AQ627" s="3"/>
      <c r="AR627" s="3"/>
      <c r="AS627" s="3"/>
      <c r="AT627" s="3"/>
      <c r="AU627" s="3"/>
      <c r="AV627" s="3"/>
      <c r="AW627" s="3"/>
      <c r="AX627" s="3"/>
      <c r="AY627" s="3"/>
      <c r="AZ627" s="3"/>
    </row>
    <row r="628" spans="1:52" ht="18" customHeight="1" x14ac:dyDescent="0.2">
      <c r="A628" s="3" t="str">
        <f t="shared" si="9"/>
        <v xml:space="preserve">                                                  </v>
      </c>
      <c r="B628" s="20" t="s">
        <v>174</v>
      </c>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c r="AC628" s="3"/>
      <c r="AD628" s="3"/>
      <c r="AE628" s="3"/>
      <c r="AF628" s="3"/>
      <c r="AG628" s="3"/>
      <c r="AH628" s="3"/>
      <c r="AI628" s="3"/>
      <c r="AJ628" s="3"/>
      <c r="AK628" s="3"/>
      <c r="AL628" s="3"/>
      <c r="AM628" s="3"/>
      <c r="AN628" s="3"/>
      <c r="AO628" s="3"/>
      <c r="AP628" s="3"/>
      <c r="AQ628" s="3"/>
      <c r="AR628" s="3"/>
      <c r="AS628" s="3"/>
      <c r="AT628" s="3"/>
      <c r="AU628" s="3"/>
      <c r="AV628" s="3"/>
      <c r="AW628" s="3"/>
      <c r="AX628" s="3"/>
      <c r="AY628" s="3"/>
      <c r="AZ628" s="3"/>
    </row>
    <row r="629" spans="1:52" ht="18" customHeight="1" x14ac:dyDescent="0.2">
      <c r="A629" s="3" t="str">
        <f t="shared" si="9"/>
        <v xml:space="preserve">                                                  </v>
      </c>
      <c r="B629" s="20" t="s">
        <v>174</v>
      </c>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c r="AC629" s="3"/>
      <c r="AD629" s="3"/>
      <c r="AE629" s="3"/>
      <c r="AF629" s="3"/>
      <c r="AG629" s="3"/>
      <c r="AH629" s="3"/>
      <c r="AI629" s="3"/>
      <c r="AJ629" s="3"/>
      <c r="AK629" s="3"/>
      <c r="AL629" s="3"/>
      <c r="AM629" s="3"/>
      <c r="AN629" s="3"/>
      <c r="AO629" s="3"/>
      <c r="AP629" s="3"/>
      <c r="AQ629" s="3"/>
      <c r="AR629" s="3"/>
      <c r="AS629" s="3"/>
      <c r="AT629" s="3"/>
      <c r="AU629" s="3"/>
      <c r="AV629" s="3"/>
      <c r="AW629" s="3"/>
      <c r="AX629" s="3"/>
      <c r="AY629" s="3"/>
      <c r="AZ629" s="3"/>
    </row>
    <row r="630" spans="1:52" ht="18" customHeight="1" x14ac:dyDescent="0.2">
      <c r="A630" s="3" t="str">
        <f t="shared" si="9"/>
        <v xml:space="preserve">                                                  </v>
      </c>
      <c r="B630" s="20" t="s">
        <v>174</v>
      </c>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c r="AC630" s="3"/>
      <c r="AD630" s="3"/>
      <c r="AE630" s="3"/>
      <c r="AF630" s="3"/>
      <c r="AG630" s="3"/>
      <c r="AH630" s="3"/>
      <c r="AI630" s="3"/>
      <c r="AJ630" s="3"/>
      <c r="AK630" s="3"/>
      <c r="AL630" s="3"/>
      <c r="AM630" s="3"/>
      <c r="AN630" s="3"/>
      <c r="AO630" s="3"/>
      <c r="AP630" s="3"/>
      <c r="AQ630" s="3"/>
      <c r="AR630" s="3"/>
      <c r="AS630" s="3"/>
      <c r="AT630" s="3"/>
      <c r="AU630" s="3"/>
      <c r="AV630" s="3"/>
      <c r="AW630" s="3"/>
      <c r="AX630" s="3"/>
      <c r="AY630" s="3"/>
      <c r="AZ630" s="3"/>
    </row>
    <row r="631" spans="1:52" ht="18" customHeight="1" x14ac:dyDescent="0.2">
      <c r="A631" s="3" t="str">
        <f t="shared" si="9"/>
        <v xml:space="preserve">                                                  </v>
      </c>
      <c r="B631" s="20" t="s">
        <v>174</v>
      </c>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c r="AC631" s="3"/>
      <c r="AD631" s="3"/>
      <c r="AE631" s="3"/>
      <c r="AF631" s="3"/>
      <c r="AG631" s="3"/>
      <c r="AH631" s="3"/>
      <c r="AI631" s="3"/>
      <c r="AJ631" s="3"/>
      <c r="AK631" s="3"/>
      <c r="AL631" s="3"/>
      <c r="AM631" s="3"/>
      <c r="AN631" s="3"/>
      <c r="AO631" s="3"/>
      <c r="AP631" s="3"/>
      <c r="AQ631" s="3"/>
      <c r="AR631" s="3"/>
      <c r="AS631" s="3"/>
      <c r="AT631" s="3"/>
      <c r="AU631" s="3"/>
      <c r="AV631" s="3"/>
      <c r="AW631" s="3"/>
      <c r="AX631" s="3"/>
      <c r="AY631" s="3"/>
      <c r="AZ631" s="3"/>
    </row>
    <row r="632" spans="1:52" ht="18" customHeight="1" x14ac:dyDescent="0.2">
      <c r="A632" s="3" t="str">
        <f t="shared" si="9"/>
        <v xml:space="preserve">                                                  </v>
      </c>
      <c r="B632" s="20" t="s">
        <v>174</v>
      </c>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c r="AC632" s="3"/>
      <c r="AD632" s="3"/>
      <c r="AE632" s="3"/>
      <c r="AF632" s="3"/>
      <c r="AG632" s="3"/>
      <c r="AH632" s="3"/>
      <c r="AI632" s="3"/>
      <c r="AJ632" s="3"/>
      <c r="AK632" s="3"/>
      <c r="AL632" s="3"/>
      <c r="AM632" s="3"/>
      <c r="AN632" s="3"/>
      <c r="AO632" s="3"/>
      <c r="AP632" s="3"/>
      <c r="AQ632" s="3"/>
      <c r="AR632" s="3"/>
      <c r="AS632" s="3"/>
      <c r="AT632" s="3"/>
      <c r="AU632" s="3"/>
      <c r="AV632" s="3"/>
      <c r="AW632" s="3"/>
      <c r="AX632" s="3"/>
      <c r="AY632" s="3"/>
      <c r="AZ632" s="3"/>
    </row>
    <row r="633" spans="1:52" ht="18" customHeight="1" x14ac:dyDescent="0.2">
      <c r="A633" s="3" t="str">
        <f t="shared" si="9"/>
        <v xml:space="preserve">                                                  </v>
      </c>
      <c r="B633" s="20" t="s">
        <v>174</v>
      </c>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c r="AC633" s="3"/>
      <c r="AD633" s="3"/>
      <c r="AE633" s="3"/>
      <c r="AF633" s="3"/>
      <c r="AG633" s="3"/>
      <c r="AH633" s="3"/>
      <c r="AI633" s="3"/>
      <c r="AJ633" s="3"/>
      <c r="AK633" s="3"/>
      <c r="AL633" s="3"/>
      <c r="AM633" s="3"/>
      <c r="AN633" s="3"/>
      <c r="AO633" s="3"/>
      <c r="AP633" s="3"/>
      <c r="AQ633" s="3"/>
      <c r="AR633" s="3"/>
      <c r="AS633" s="3"/>
      <c r="AT633" s="3"/>
      <c r="AU633" s="3"/>
      <c r="AV633" s="3"/>
      <c r="AW633" s="3"/>
      <c r="AX633" s="3"/>
      <c r="AY633" s="3"/>
      <c r="AZ633" s="3"/>
    </row>
    <row r="634" spans="1:52" ht="18" customHeight="1" x14ac:dyDescent="0.2">
      <c r="A634" s="3" t="str">
        <f t="shared" si="9"/>
        <v xml:space="preserve">                                                  </v>
      </c>
      <c r="B634" s="20" t="s">
        <v>174</v>
      </c>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c r="AC634" s="3"/>
      <c r="AD634" s="3"/>
      <c r="AE634" s="3"/>
      <c r="AF634" s="3"/>
      <c r="AG634" s="3"/>
      <c r="AH634" s="3"/>
      <c r="AI634" s="3"/>
      <c r="AJ634" s="3"/>
      <c r="AK634" s="3"/>
      <c r="AL634" s="3"/>
      <c r="AM634" s="3"/>
      <c r="AN634" s="3"/>
      <c r="AO634" s="3"/>
      <c r="AP634" s="3"/>
      <c r="AQ634" s="3"/>
      <c r="AR634" s="3"/>
      <c r="AS634" s="3"/>
      <c r="AT634" s="3"/>
      <c r="AU634" s="3"/>
      <c r="AV634" s="3"/>
      <c r="AW634" s="3"/>
      <c r="AX634" s="3"/>
      <c r="AY634" s="3"/>
      <c r="AZ634" s="3"/>
    </row>
    <row r="635" spans="1:52" ht="18" customHeight="1" x14ac:dyDescent="0.2">
      <c r="A635" s="3" t="str">
        <f t="shared" si="9"/>
        <v xml:space="preserve">                                                  </v>
      </c>
      <c r="B635" s="20" t="s">
        <v>174</v>
      </c>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c r="AC635" s="3"/>
      <c r="AD635" s="3"/>
      <c r="AE635" s="3"/>
      <c r="AF635" s="3"/>
      <c r="AG635" s="3"/>
      <c r="AH635" s="3"/>
      <c r="AI635" s="3"/>
      <c r="AJ635" s="3"/>
      <c r="AK635" s="3"/>
      <c r="AL635" s="3"/>
      <c r="AM635" s="3"/>
      <c r="AN635" s="3"/>
      <c r="AO635" s="3"/>
      <c r="AP635" s="3"/>
      <c r="AQ635" s="3"/>
      <c r="AR635" s="3"/>
      <c r="AS635" s="3"/>
      <c r="AT635" s="3"/>
      <c r="AU635" s="3"/>
      <c r="AV635" s="3"/>
      <c r="AW635" s="3"/>
      <c r="AX635" s="3"/>
      <c r="AY635" s="3"/>
      <c r="AZ635" s="3"/>
    </row>
    <row r="636" spans="1:52" ht="18" customHeight="1" x14ac:dyDescent="0.2">
      <c r="A636" s="3" t="str">
        <f t="shared" si="9"/>
        <v xml:space="preserve">                                                  </v>
      </c>
      <c r="B636" s="20" t="s">
        <v>174</v>
      </c>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c r="AC636" s="3"/>
      <c r="AD636" s="3"/>
      <c r="AE636" s="3"/>
      <c r="AF636" s="3"/>
      <c r="AG636" s="3"/>
      <c r="AH636" s="3"/>
      <c r="AI636" s="3"/>
      <c r="AJ636" s="3"/>
      <c r="AK636" s="3"/>
      <c r="AL636" s="3"/>
      <c r="AM636" s="3"/>
      <c r="AN636" s="3"/>
      <c r="AO636" s="3"/>
      <c r="AP636" s="3"/>
      <c r="AQ636" s="3"/>
      <c r="AR636" s="3"/>
      <c r="AS636" s="3"/>
      <c r="AT636" s="3"/>
      <c r="AU636" s="3"/>
      <c r="AV636" s="3"/>
      <c r="AW636" s="3"/>
      <c r="AX636" s="3"/>
      <c r="AY636" s="3"/>
      <c r="AZ636" s="3"/>
    </row>
    <row r="637" spans="1:52" ht="18" customHeight="1" x14ac:dyDescent="0.2">
      <c r="A637" s="3" t="str">
        <f t="shared" si="9"/>
        <v xml:space="preserve">                                                  </v>
      </c>
      <c r="B637" s="20" t="s">
        <v>174</v>
      </c>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c r="AC637" s="3"/>
      <c r="AD637" s="3"/>
      <c r="AE637" s="3"/>
      <c r="AF637" s="3"/>
      <c r="AG637" s="3"/>
      <c r="AH637" s="3"/>
      <c r="AI637" s="3"/>
      <c r="AJ637" s="3"/>
      <c r="AK637" s="3"/>
      <c r="AL637" s="3"/>
      <c r="AM637" s="3"/>
      <c r="AN637" s="3"/>
      <c r="AO637" s="3"/>
      <c r="AP637" s="3"/>
      <c r="AQ637" s="3"/>
      <c r="AR637" s="3"/>
      <c r="AS637" s="3"/>
      <c r="AT637" s="3"/>
      <c r="AU637" s="3"/>
      <c r="AV637" s="3"/>
      <c r="AW637" s="3"/>
      <c r="AX637" s="3"/>
      <c r="AY637" s="3"/>
      <c r="AZ637" s="3"/>
    </row>
    <row r="638" spans="1:52" ht="18" customHeight="1" x14ac:dyDescent="0.2">
      <c r="A638" s="3" t="str">
        <f t="shared" si="9"/>
        <v xml:space="preserve">                                                  </v>
      </c>
      <c r="B638" s="20" t="s">
        <v>174</v>
      </c>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c r="AC638" s="3"/>
      <c r="AD638" s="3"/>
      <c r="AE638" s="3"/>
      <c r="AF638" s="3"/>
      <c r="AG638" s="3"/>
      <c r="AH638" s="3"/>
      <c r="AI638" s="3"/>
      <c r="AJ638" s="3"/>
      <c r="AK638" s="3"/>
      <c r="AL638" s="3"/>
      <c r="AM638" s="3"/>
      <c r="AN638" s="3"/>
      <c r="AO638" s="3"/>
      <c r="AP638" s="3"/>
      <c r="AQ638" s="3"/>
      <c r="AR638" s="3"/>
      <c r="AS638" s="3"/>
      <c r="AT638" s="3"/>
      <c r="AU638" s="3"/>
      <c r="AV638" s="3"/>
      <c r="AW638" s="3"/>
      <c r="AX638" s="3"/>
      <c r="AY638" s="3"/>
      <c r="AZ638" s="3"/>
    </row>
    <row r="639" spans="1:52" ht="18" customHeight="1" x14ac:dyDescent="0.2">
      <c r="A639" s="3" t="str">
        <f t="shared" si="9"/>
        <v xml:space="preserve">                                                  </v>
      </c>
      <c r="B639" s="20" t="s">
        <v>174</v>
      </c>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c r="AC639" s="3"/>
      <c r="AD639" s="3"/>
      <c r="AE639" s="3"/>
      <c r="AF639" s="3"/>
      <c r="AG639" s="3"/>
      <c r="AH639" s="3"/>
      <c r="AI639" s="3"/>
      <c r="AJ639" s="3"/>
      <c r="AK639" s="3"/>
      <c r="AL639" s="3"/>
      <c r="AM639" s="3"/>
      <c r="AN639" s="3"/>
      <c r="AO639" s="3"/>
      <c r="AP639" s="3"/>
      <c r="AQ639" s="3"/>
      <c r="AR639" s="3"/>
      <c r="AS639" s="3"/>
      <c r="AT639" s="3"/>
      <c r="AU639" s="3"/>
      <c r="AV639" s="3"/>
      <c r="AW639" s="3"/>
      <c r="AX639" s="3"/>
      <c r="AY639" s="3"/>
      <c r="AZ639" s="3"/>
    </row>
    <row r="640" spans="1:52" ht="18" customHeight="1" x14ac:dyDescent="0.2">
      <c r="A640" s="3" t="str">
        <f t="shared" si="9"/>
        <v xml:space="preserve">                                                  </v>
      </c>
      <c r="B640" s="20" t="s">
        <v>174</v>
      </c>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c r="AC640" s="3"/>
      <c r="AD640" s="3"/>
      <c r="AE640" s="3"/>
      <c r="AF640" s="3"/>
      <c r="AG640" s="3"/>
      <c r="AH640" s="3"/>
      <c r="AI640" s="3"/>
      <c r="AJ640" s="3"/>
      <c r="AK640" s="3"/>
      <c r="AL640" s="3"/>
      <c r="AM640" s="3"/>
      <c r="AN640" s="3"/>
      <c r="AO640" s="3"/>
      <c r="AP640" s="3"/>
      <c r="AQ640" s="3"/>
      <c r="AR640" s="3"/>
      <c r="AS640" s="3"/>
      <c r="AT640" s="3"/>
      <c r="AU640" s="3"/>
      <c r="AV640" s="3"/>
      <c r="AW640" s="3"/>
      <c r="AX640" s="3"/>
      <c r="AY640" s="3"/>
      <c r="AZ640" s="3"/>
    </row>
    <row r="641" spans="1:52" ht="18" customHeight="1" x14ac:dyDescent="0.2">
      <c r="A641" s="3" t="str">
        <f t="shared" si="9"/>
        <v xml:space="preserve">                                                  </v>
      </c>
      <c r="B641" s="20" t="s">
        <v>174</v>
      </c>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c r="AC641" s="3"/>
      <c r="AD641" s="3"/>
      <c r="AE641" s="3"/>
      <c r="AF641" s="3"/>
      <c r="AG641" s="3"/>
      <c r="AH641" s="3"/>
      <c r="AI641" s="3"/>
      <c r="AJ641" s="3"/>
      <c r="AK641" s="3"/>
      <c r="AL641" s="3"/>
      <c r="AM641" s="3"/>
      <c r="AN641" s="3"/>
      <c r="AO641" s="3"/>
      <c r="AP641" s="3"/>
      <c r="AQ641" s="3"/>
      <c r="AR641" s="3"/>
      <c r="AS641" s="3"/>
      <c r="AT641" s="3"/>
      <c r="AU641" s="3"/>
      <c r="AV641" s="3"/>
      <c r="AW641" s="3"/>
      <c r="AX641" s="3"/>
      <c r="AY641" s="3"/>
      <c r="AZ641" s="3"/>
    </row>
    <row r="642" spans="1:52" ht="18" customHeight="1" x14ac:dyDescent="0.2">
      <c r="A642" s="3" t="str">
        <f t="shared" si="9"/>
        <v xml:space="preserve">                                                  </v>
      </c>
      <c r="B642" s="20" t="s">
        <v>174</v>
      </c>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c r="AC642" s="3"/>
      <c r="AD642" s="3"/>
      <c r="AE642" s="3"/>
      <c r="AF642" s="3"/>
      <c r="AG642" s="3"/>
      <c r="AH642" s="3"/>
      <c r="AI642" s="3"/>
      <c r="AJ642" s="3"/>
      <c r="AK642" s="3"/>
      <c r="AL642" s="3"/>
      <c r="AM642" s="3"/>
      <c r="AN642" s="3"/>
      <c r="AO642" s="3"/>
      <c r="AP642" s="3"/>
      <c r="AQ642" s="3"/>
      <c r="AR642" s="3"/>
      <c r="AS642" s="3"/>
      <c r="AT642" s="3"/>
      <c r="AU642" s="3"/>
      <c r="AV642" s="3"/>
      <c r="AW642" s="3"/>
      <c r="AX642" s="3"/>
      <c r="AY642" s="3"/>
      <c r="AZ642" s="3"/>
    </row>
    <row r="643" spans="1:52" ht="18" customHeight="1" x14ac:dyDescent="0.2">
      <c r="A643" s="3" t="str">
        <f t="shared" si="9"/>
        <v xml:space="preserve">                                                  </v>
      </c>
      <c r="B643" s="20" t="s">
        <v>174</v>
      </c>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c r="AJ643" s="3"/>
      <c r="AK643" s="3"/>
      <c r="AL643" s="3"/>
      <c r="AM643" s="3"/>
      <c r="AN643" s="3"/>
      <c r="AO643" s="3"/>
      <c r="AP643" s="3"/>
      <c r="AQ643" s="3"/>
      <c r="AR643" s="3"/>
      <c r="AS643" s="3"/>
      <c r="AT643" s="3"/>
      <c r="AU643" s="3"/>
      <c r="AV643" s="3"/>
      <c r="AW643" s="3"/>
      <c r="AX643" s="3"/>
      <c r="AY643" s="3"/>
      <c r="AZ643" s="3"/>
    </row>
    <row r="644" spans="1:52" ht="18" customHeight="1" x14ac:dyDescent="0.2">
      <c r="A644" s="3" t="str">
        <f t="shared" ref="A644:A707" si="10">CONCATENATE(C644," ",D644," ",E644," ",F644," ",G644," ",H644," ",I644," ",J644," ",K644," ",L644," ",M644," ",N644," ",O644," ",P644," ",Q644," ",R644," ",S644," ",T644," ",U644," ",V644," ",W644," ",X644," ",Y644," ",Z644," ",AA644," ",AB644," ",AC644," ",AD644," ",AE644," ",AF644," ",AG644," ",AH644," ",AI644," ",AJ644," ",AK644," ",AL644," ",AM644," ",AN644," ",AO644," ",AP644," ",AQ644," ",AR644," ",AS644," ",AT644," ",AU644," ",AV644," ",AW644," ",AX644," ",AY644," ",AZ644," ",
)</f>
        <v xml:space="preserve">                                                  </v>
      </c>
      <c r="B644" s="20" t="s">
        <v>174</v>
      </c>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c r="AC644" s="3"/>
      <c r="AD644" s="3"/>
      <c r="AE644" s="3"/>
      <c r="AF644" s="3"/>
      <c r="AG644" s="3"/>
      <c r="AH644" s="3"/>
      <c r="AI644" s="3"/>
      <c r="AJ644" s="3"/>
      <c r="AK644" s="3"/>
      <c r="AL644" s="3"/>
      <c r="AM644" s="3"/>
      <c r="AN644" s="3"/>
      <c r="AO644" s="3"/>
      <c r="AP644" s="3"/>
      <c r="AQ644" s="3"/>
      <c r="AR644" s="3"/>
      <c r="AS644" s="3"/>
      <c r="AT644" s="3"/>
      <c r="AU644" s="3"/>
      <c r="AV644" s="3"/>
      <c r="AW644" s="3"/>
      <c r="AX644" s="3"/>
      <c r="AY644" s="3"/>
      <c r="AZ644" s="3"/>
    </row>
    <row r="645" spans="1:52" ht="18" customHeight="1" x14ac:dyDescent="0.2">
      <c r="A645" s="3" t="str">
        <f t="shared" si="10"/>
        <v xml:space="preserve">                                                  </v>
      </c>
      <c r="B645" s="20" t="s">
        <v>174</v>
      </c>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c r="AC645" s="3"/>
      <c r="AD645" s="3"/>
      <c r="AE645" s="3"/>
      <c r="AF645" s="3"/>
      <c r="AG645" s="3"/>
      <c r="AH645" s="3"/>
      <c r="AI645" s="3"/>
      <c r="AJ645" s="3"/>
      <c r="AK645" s="3"/>
      <c r="AL645" s="3"/>
      <c r="AM645" s="3"/>
      <c r="AN645" s="3"/>
      <c r="AO645" s="3"/>
      <c r="AP645" s="3"/>
      <c r="AQ645" s="3"/>
      <c r="AR645" s="3"/>
      <c r="AS645" s="3"/>
      <c r="AT645" s="3"/>
      <c r="AU645" s="3"/>
      <c r="AV645" s="3"/>
      <c r="AW645" s="3"/>
      <c r="AX645" s="3"/>
      <c r="AY645" s="3"/>
      <c r="AZ645" s="3"/>
    </row>
    <row r="646" spans="1:52" ht="18" customHeight="1" x14ac:dyDescent="0.2">
      <c r="A646" s="3" t="str">
        <f t="shared" si="10"/>
        <v xml:space="preserve">                                                  </v>
      </c>
      <c r="B646" s="20" t="s">
        <v>174</v>
      </c>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c r="AC646" s="3"/>
      <c r="AD646" s="3"/>
      <c r="AE646" s="3"/>
      <c r="AF646" s="3"/>
      <c r="AG646" s="3"/>
      <c r="AH646" s="3"/>
      <c r="AI646" s="3"/>
      <c r="AJ646" s="3"/>
      <c r="AK646" s="3"/>
      <c r="AL646" s="3"/>
      <c r="AM646" s="3"/>
      <c r="AN646" s="3"/>
      <c r="AO646" s="3"/>
      <c r="AP646" s="3"/>
      <c r="AQ646" s="3"/>
      <c r="AR646" s="3"/>
      <c r="AS646" s="3"/>
      <c r="AT646" s="3"/>
      <c r="AU646" s="3"/>
      <c r="AV646" s="3"/>
      <c r="AW646" s="3"/>
      <c r="AX646" s="3"/>
      <c r="AY646" s="3"/>
      <c r="AZ646" s="3"/>
    </row>
    <row r="647" spans="1:52" ht="18" customHeight="1" x14ac:dyDescent="0.2">
      <c r="A647" s="3" t="str">
        <f t="shared" si="10"/>
        <v xml:space="preserve">                                                  </v>
      </c>
      <c r="B647" s="20" t="s">
        <v>174</v>
      </c>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c r="AC647" s="3"/>
      <c r="AD647" s="3"/>
      <c r="AE647" s="3"/>
      <c r="AF647" s="3"/>
      <c r="AG647" s="3"/>
      <c r="AH647" s="3"/>
      <c r="AI647" s="3"/>
      <c r="AJ647" s="3"/>
      <c r="AK647" s="3"/>
      <c r="AL647" s="3"/>
      <c r="AM647" s="3"/>
      <c r="AN647" s="3"/>
      <c r="AO647" s="3"/>
      <c r="AP647" s="3"/>
      <c r="AQ647" s="3"/>
      <c r="AR647" s="3"/>
      <c r="AS647" s="3"/>
      <c r="AT647" s="3"/>
      <c r="AU647" s="3"/>
      <c r="AV647" s="3"/>
      <c r="AW647" s="3"/>
      <c r="AX647" s="3"/>
      <c r="AY647" s="3"/>
      <c r="AZ647" s="3"/>
    </row>
    <row r="648" spans="1:52" ht="18" customHeight="1" x14ac:dyDescent="0.2">
      <c r="A648" s="3" t="str">
        <f t="shared" si="10"/>
        <v xml:space="preserve">                                                  </v>
      </c>
      <c r="B648" s="20" t="s">
        <v>174</v>
      </c>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c r="AC648" s="3"/>
      <c r="AD648" s="3"/>
      <c r="AE648" s="3"/>
      <c r="AF648" s="3"/>
      <c r="AG648" s="3"/>
      <c r="AH648" s="3"/>
      <c r="AI648" s="3"/>
      <c r="AJ648" s="3"/>
      <c r="AK648" s="3"/>
      <c r="AL648" s="3"/>
      <c r="AM648" s="3"/>
      <c r="AN648" s="3"/>
      <c r="AO648" s="3"/>
      <c r="AP648" s="3"/>
      <c r="AQ648" s="3"/>
      <c r="AR648" s="3"/>
      <c r="AS648" s="3"/>
      <c r="AT648" s="3"/>
      <c r="AU648" s="3"/>
      <c r="AV648" s="3"/>
      <c r="AW648" s="3"/>
      <c r="AX648" s="3"/>
      <c r="AY648" s="3"/>
      <c r="AZ648" s="3"/>
    </row>
    <row r="649" spans="1:52" ht="18" customHeight="1" x14ac:dyDescent="0.2">
      <c r="A649" s="3" t="str">
        <f t="shared" si="10"/>
        <v xml:space="preserve">                                                  </v>
      </c>
      <c r="B649" s="20" t="s">
        <v>174</v>
      </c>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c r="AC649" s="3"/>
      <c r="AD649" s="3"/>
      <c r="AE649" s="3"/>
      <c r="AF649" s="3"/>
      <c r="AG649" s="3"/>
      <c r="AH649" s="3"/>
      <c r="AI649" s="3"/>
      <c r="AJ649" s="3"/>
      <c r="AK649" s="3"/>
      <c r="AL649" s="3"/>
      <c r="AM649" s="3"/>
      <c r="AN649" s="3"/>
      <c r="AO649" s="3"/>
      <c r="AP649" s="3"/>
      <c r="AQ649" s="3"/>
      <c r="AR649" s="3"/>
      <c r="AS649" s="3"/>
      <c r="AT649" s="3"/>
      <c r="AU649" s="3"/>
      <c r="AV649" s="3"/>
      <c r="AW649" s="3"/>
      <c r="AX649" s="3"/>
      <c r="AY649" s="3"/>
      <c r="AZ649" s="3"/>
    </row>
    <row r="650" spans="1:52" ht="18" customHeight="1" x14ac:dyDescent="0.2">
      <c r="A650" s="3" t="str">
        <f t="shared" si="10"/>
        <v xml:space="preserve">                                                  </v>
      </c>
      <c r="B650" s="20" t="s">
        <v>174</v>
      </c>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c r="AC650" s="3"/>
      <c r="AD650" s="3"/>
      <c r="AE650" s="3"/>
      <c r="AF650" s="3"/>
      <c r="AG650" s="3"/>
      <c r="AH650" s="3"/>
      <c r="AI650" s="3"/>
      <c r="AJ650" s="3"/>
      <c r="AK650" s="3"/>
      <c r="AL650" s="3"/>
      <c r="AM650" s="3"/>
      <c r="AN650" s="3"/>
      <c r="AO650" s="3"/>
      <c r="AP650" s="3"/>
      <c r="AQ650" s="3"/>
      <c r="AR650" s="3"/>
      <c r="AS650" s="3"/>
      <c r="AT650" s="3"/>
      <c r="AU650" s="3"/>
      <c r="AV650" s="3"/>
      <c r="AW650" s="3"/>
      <c r="AX650" s="3"/>
      <c r="AY650" s="3"/>
      <c r="AZ650" s="3"/>
    </row>
    <row r="651" spans="1:52" ht="18" customHeight="1" x14ac:dyDescent="0.2">
      <c r="A651" s="3" t="str">
        <f t="shared" si="10"/>
        <v xml:space="preserve">                                                  </v>
      </c>
      <c r="B651" s="20" t="s">
        <v>174</v>
      </c>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c r="AC651" s="3"/>
      <c r="AD651" s="3"/>
      <c r="AE651" s="3"/>
      <c r="AF651" s="3"/>
      <c r="AG651" s="3"/>
      <c r="AH651" s="3"/>
      <c r="AI651" s="3"/>
      <c r="AJ651" s="3"/>
      <c r="AK651" s="3"/>
      <c r="AL651" s="3"/>
      <c r="AM651" s="3"/>
      <c r="AN651" s="3"/>
      <c r="AO651" s="3"/>
      <c r="AP651" s="3"/>
      <c r="AQ651" s="3"/>
      <c r="AR651" s="3"/>
      <c r="AS651" s="3"/>
      <c r="AT651" s="3"/>
      <c r="AU651" s="3"/>
      <c r="AV651" s="3"/>
      <c r="AW651" s="3"/>
      <c r="AX651" s="3"/>
      <c r="AY651" s="3"/>
      <c r="AZ651" s="3"/>
    </row>
    <row r="652" spans="1:52" ht="18" customHeight="1" x14ac:dyDescent="0.2">
      <c r="A652" s="3" t="str">
        <f t="shared" si="10"/>
        <v xml:space="preserve">                                                  </v>
      </c>
      <c r="B652" s="20" t="s">
        <v>174</v>
      </c>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c r="AC652" s="3"/>
      <c r="AD652" s="3"/>
      <c r="AE652" s="3"/>
      <c r="AF652" s="3"/>
      <c r="AG652" s="3"/>
      <c r="AH652" s="3"/>
      <c r="AI652" s="3"/>
      <c r="AJ652" s="3"/>
      <c r="AK652" s="3"/>
      <c r="AL652" s="3"/>
      <c r="AM652" s="3"/>
      <c r="AN652" s="3"/>
      <c r="AO652" s="3"/>
      <c r="AP652" s="3"/>
      <c r="AQ652" s="3"/>
      <c r="AR652" s="3"/>
      <c r="AS652" s="3"/>
      <c r="AT652" s="3"/>
      <c r="AU652" s="3"/>
      <c r="AV652" s="3"/>
      <c r="AW652" s="3"/>
      <c r="AX652" s="3"/>
      <c r="AY652" s="3"/>
      <c r="AZ652" s="3"/>
    </row>
    <row r="653" spans="1:52" ht="18" customHeight="1" x14ac:dyDescent="0.2">
      <c r="A653" s="3" t="str">
        <f t="shared" si="10"/>
        <v xml:space="preserve">                                                  </v>
      </c>
      <c r="B653" s="20" t="s">
        <v>174</v>
      </c>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c r="AC653" s="3"/>
      <c r="AD653" s="3"/>
      <c r="AE653" s="3"/>
      <c r="AF653" s="3"/>
      <c r="AG653" s="3"/>
      <c r="AH653" s="3"/>
      <c r="AI653" s="3"/>
      <c r="AJ653" s="3"/>
      <c r="AK653" s="3"/>
      <c r="AL653" s="3"/>
      <c r="AM653" s="3"/>
      <c r="AN653" s="3"/>
      <c r="AO653" s="3"/>
      <c r="AP653" s="3"/>
      <c r="AQ653" s="3"/>
      <c r="AR653" s="3"/>
      <c r="AS653" s="3"/>
      <c r="AT653" s="3"/>
      <c r="AU653" s="3"/>
      <c r="AV653" s="3"/>
      <c r="AW653" s="3"/>
      <c r="AX653" s="3"/>
      <c r="AY653" s="3"/>
      <c r="AZ653" s="3"/>
    </row>
    <row r="654" spans="1:52" ht="18" customHeight="1" x14ac:dyDescent="0.2">
      <c r="A654" s="3" t="str">
        <f t="shared" si="10"/>
        <v xml:space="preserve">                                                  </v>
      </c>
      <c r="B654" s="20" t="s">
        <v>174</v>
      </c>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c r="AC654" s="3"/>
      <c r="AD654" s="3"/>
      <c r="AE654" s="3"/>
      <c r="AF654" s="3"/>
      <c r="AG654" s="3"/>
      <c r="AH654" s="3"/>
      <c r="AI654" s="3"/>
      <c r="AJ654" s="3"/>
      <c r="AK654" s="3"/>
      <c r="AL654" s="3"/>
      <c r="AM654" s="3"/>
      <c r="AN654" s="3"/>
      <c r="AO654" s="3"/>
      <c r="AP654" s="3"/>
      <c r="AQ654" s="3"/>
      <c r="AR654" s="3"/>
      <c r="AS654" s="3"/>
      <c r="AT654" s="3"/>
      <c r="AU654" s="3"/>
      <c r="AV654" s="3"/>
      <c r="AW654" s="3"/>
      <c r="AX654" s="3"/>
      <c r="AY654" s="3"/>
      <c r="AZ654" s="3"/>
    </row>
    <row r="655" spans="1:52" ht="18" customHeight="1" x14ac:dyDescent="0.2">
      <c r="A655" s="3" t="str">
        <f t="shared" si="10"/>
        <v xml:space="preserve">                                                  </v>
      </c>
      <c r="B655" s="20" t="s">
        <v>174</v>
      </c>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c r="AC655" s="3"/>
      <c r="AD655" s="3"/>
      <c r="AE655" s="3"/>
      <c r="AF655" s="3"/>
      <c r="AG655" s="3"/>
      <c r="AH655" s="3"/>
      <c r="AI655" s="3"/>
      <c r="AJ655" s="3"/>
      <c r="AK655" s="3"/>
      <c r="AL655" s="3"/>
      <c r="AM655" s="3"/>
      <c r="AN655" s="3"/>
      <c r="AO655" s="3"/>
      <c r="AP655" s="3"/>
      <c r="AQ655" s="3"/>
      <c r="AR655" s="3"/>
      <c r="AS655" s="3"/>
      <c r="AT655" s="3"/>
      <c r="AU655" s="3"/>
      <c r="AV655" s="3"/>
      <c r="AW655" s="3"/>
      <c r="AX655" s="3"/>
      <c r="AY655" s="3"/>
      <c r="AZ655" s="3"/>
    </row>
    <row r="656" spans="1:52" ht="18" customHeight="1" x14ac:dyDescent="0.2">
      <c r="A656" s="3" t="str">
        <f t="shared" si="10"/>
        <v xml:space="preserve">                                                  </v>
      </c>
      <c r="B656" s="20" t="s">
        <v>174</v>
      </c>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c r="AC656" s="3"/>
      <c r="AD656" s="3"/>
      <c r="AE656" s="3"/>
      <c r="AF656" s="3"/>
      <c r="AG656" s="3"/>
      <c r="AH656" s="3"/>
      <c r="AI656" s="3"/>
      <c r="AJ656" s="3"/>
      <c r="AK656" s="3"/>
      <c r="AL656" s="3"/>
      <c r="AM656" s="3"/>
      <c r="AN656" s="3"/>
      <c r="AO656" s="3"/>
      <c r="AP656" s="3"/>
      <c r="AQ656" s="3"/>
      <c r="AR656" s="3"/>
      <c r="AS656" s="3"/>
      <c r="AT656" s="3"/>
      <c r="AU656" s="3"/>
      <c r="AV656" s="3"/>
      <c r="AW656" s="3"/>
      <c r="AX656" s="3"/>
      <c r="AY656" s="3"/>
      <c r="AZ656" s="3"/>
    </row>
    <row r="657" spans="1:52" ht="18" customHeight="1" x14ac:dyDescent="0.2">
      <c r="A657" s="3" t="str">
        <f t="shared" si="10"/>
        <v xml:space="preserve">                                                  </v>
      </c>
      <c r="B657" s="20" t="s">
        <v>174</v>
      </c>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c r="AC657" s="3"/>
      <c r="AD657" s="3"/>
      <c r="AE657" s="3"/>
      <c r="AF657" s="3"/>
      <c r="AG657" s="3"/>
      <c r="AH657" s="3"/>
      <c r="AI657" s="3"/>
      <c r="AJ657" s="3"/>
      <c r="AK657" s="3"/>
      <c r="AL657" s="3"/>
      <c r="AM657" s="3"/>
      <c r="AN657" s="3"/>
      <c r="AO657" s="3"/>
      <c r="AP657" s="3"/>
      <c r="AQ657" s="3"/>
      <c r="AR657" s="3"/>
      <c r="AS657" s="3"/>
      <c r="AT657" s="3"/>
      <c r="AU657" s="3"/>
      <c r="AV657" s="3"/>
      <c r="AW657" s="3"/>
      <c r="AX657" s="3"/>
      <c r="AY657" s="3"/>
      <c r="AZ657" s="3"/>
    </row>
    <row r="658" spans="1:52" ht="18" customHeight="1" x14ac:dyDescent="0.2">
      <c r="A658" s="3" t="str">
        <f t="shared" si="10"/>
        <v xml:space="preserve">                                                  </v>
      </c>
      <c r="B658" s="20" t="s">
        <v>174</v>
      </c>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c r="AC658" s="3"/>
      <c r="AD658" s="3"/>
      <c r="AE658" s="3"/>
      <c r="AF658" s="3"/>
      <c r="AG658" s="3"/>
      <c r="AH658" s="3"/>
      <c r="AI658" s="3"/>
      <c r="AJ658" s="3"/>
      <c r="AK658" s="3"/>
      <c r="AL658" s="3"/>
      <c r="AM658" s="3"/>
      <c r="AN658" s="3"/>
      <c r="AO658" s="3"/>
      <c r="AP658" s="3"/>
      <c r="AQ658" s="3"/>
      <c r="AR658" s="3"/>
      <c r="AS658" s="3"/>
      <c r="AT658" s="3"/>
      <c r="AU658" s="3"/>
      <c r="AV658" s="3"/>
      <c r="AW658" s="3"/>
      <c r="AX658" s="3"/>
      <c r="AY658" s="3"/>
      <c r="AZ658" s="3"/>
    </row>
    <row r="659" spans="1:52" ht="18" customHeight="1" x14ac:dyDescent="0.2">
      <c r="A659" s="3" t="str">
        <f t="shared" si="10"/>
        <v xml:space="preserve">                                                  </v>
      </c>
      <c r="B659" s="20" t="s">
        <v>174</v>
      </c>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c r="AC659" s="3"/>
      <c r="AD659" s="3"/>
      <c r="AE659" s="3"/>
      <c r="AF659" s="3"/>
      <c r="AG659" s="3"/>
      <c r="AH659" s="3"/>
      <c r="AI659" s="3"/>
      <c r="AJ659" s="3"/>
      <c r="AK659" s="3"/>
      <c r="AL659" s="3"/>
      <c r="AM659" s="3"/>
      <c r="AN659" s="3"/>
      <c r="AO659" s="3"/>
      <c r="AP659" s="3"/>
      <c r="AQ659" s="3"/>
      <c r="AR659" s="3"/>
      <c r="AS659" s="3"/>
      <c r="AT659" s="3"/>
      <c r="AU659" s="3"/>
      <c r="AV659" s="3"/>
      <c r="AW659" s="3"/>
      <c r="AX659" s="3"/>
      <c r="AY659" s="3"/>
      <c r="AZ659" s="3"/>
    </row>
    <row r="660" spans="1:52" ht="18" customHeight="1" x14ac:dyDescent="0.2">
      <c r="A660" s="3" t="str">
        <f t="shared" si="10"/>
        <v xml:space="preserve">                                                  </v>
      </c>
      <c r="B660" s="20" t="s">
        <v>174</v>
      </c>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c r="AC660" s="3"/>
      <c r="AD660" s="3"/>
      <c r="AE660" s="3"/>
      <c r="AF660" s="3"/>
      <c r="AG660" s="3"/>
      <c r="AH660" s="3"/>
      <c r="AI660" s="3"/>
      <c r="AJ660" s="3"/>
      <c r="AK660" s="3"/>
      <c r="AL660" s="3"/>
      <c r="AM660" s="3"/>
      <c r="AN660" s="3"/>
      <c r="AO660" s="3"/>
      <c r="AP660" s="3"/>
      <c r="AQ660" s="3"/>
      <c r="AR660" s="3"/>
      <c r="AS660" s="3"/>
      <c r="AT660" s="3"/>
      <c r="AU660" s="3"/>
      <c r="AV660" s="3"/>
      <c r="AW660" s="3"/>
      <c r="AX660" s="3"/>
      <c r="AY660" s="3"/>
      <c r="AZ660" s="3"/>
    </row>
    <row r="661" spans="1:52" ht="18" customHeight="1" x14ac:dyDescent="0.2">
      <c r="A661" s="3" t="str">
        <f t="shared" si="10"/>
        <v xml:space="preserve">                                                  </v>
      </c>
      <c r="B661" s="20" t="s">
        <v>174</v>
      </c>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c r="AC661" s="3"/>
      <c r="AD661" s="3"/>
      <c r="AE661" s="3"/>
      <c r="AF661" s="3"/>
      <c r="AG661" s="3"/>
      <c r="AH661" s="3"/>
      <c r="AI661" s="3"/>
      <c r="AJ661" s="3"/>
      <c r="AK661" s="3"/>
      <c r="AL661" s="3"/>
      <c r="AM661" s="3"/>
      <c r="AN661" s="3"/>
      <c r="AO661" s="3"/>
      <c r="AP661" s="3"/>
      <c r="AQ661" s="3"/>
      <c r="AR661" s="3"/>
      <c r="AS661" s="3"/>
      <c r="AT661" s="3"/>
      <c r="AU661" s="3"/>
      <c r="AV661" s="3"/>
      <c r="AW661" s="3"/>
      <c r="AX661" s="3"/>
      <c r="AY661" s="3"/>
      <c r="AZ661" s="3"/>
    </row>
    <row r="662" spans="1:52" ht="18" customHeight="1" x14ac:dyDescent="0.2">
      <c r="A662" s="3" t="str">
        <f t="shared" si="10"/>
        <v xml:space="preserve">                                                  </v>
      </c>
      <c r="B662" s="20" t="s">
        <v>174</v>
      </c>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c r="AC662" s="3"/>
      <c r="AD662" s="3"/>
      <c r="AE662" s="3"/>
      <c r="AF662" s="3"/>
      <c r="AG662" s="3"/>
      <c r="AH662" s="3"/>
      <c r="AI662" s="3"/>
      <c r="AJ662" s="3"/>
      <c r="AK662" s="3"/>
      <c r="AL662" s="3"/>
      <c r="AM662" s="3"/>
      <c r="AN662" s="3"/>
      <c r="AO662" s="3"/>
      <c r="AP662" s="3"/>
      <c r="AQ662" s="3"/>
      <c r="AR662" s="3"/>
      <c r="AS662" s="3"/>
      <c r="AT662" s="3"/>
      <c r="AU662" s="3"/>
      <c r="AV662" s="3"/>
      <c r="AW662" s="3"/>
      <c r="AX662" s="3"/>
      <c r="AY662" s="3"/>
      <c r="AZ662" s="3"/>
    </row>
    <row r="663" spans="1:52" ht="18" customHeight="1" x14ac:dyDescent="0.2">
      <c r="A663" s="3" t="str">
        <f t="shared" si="10"/>
        <v xml:space="preserve">                                                  </v>
      </c>
      <c r="B663" s="20" t="s">
        <v>174</v>
      </c>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c r="AC663" s="3"/>
      <c r="AD663" s="3"/>
      <c r="AE663" s="3"/>
      <c r="AF663" s="3"/>
      <c r="AG663" s="3"/>
      <c r="AH663" s="3"/>
      <c r="AI663" s="3"/>
      <c r="AJ663" s="3"/>
      <c r="AK663" s="3"/>
      <c r="AL663" s="3"/>
      <c r="AM663" s="3"/>
      <c r="AN663" s="3"/>
      <c r="AO663" s="3"/>
      <c r="AP663" s="3"/>
      <c r="AQ663" s="3"/>
      <c r="AR663" s="3"/>
      <c r="AS663" s="3"/>
      <c r="AT663" s="3"/>
      <c r="AU663" s="3"/>
      <c r="AV663" s="3"/>
      <c r="AW663" s="3"/>
      <c r="AX663" s="3"/>
      <c r="AY663" s="3"/>
      <c r="AZ663" s="3"/>
    </row>
    <row r="664" spans="1:52" ht="18" customHeight="1" x14ac:dyDescent="0.2">
      <c r="A664" s="3" t="str">
        <f t="shared" si="10"/>
        <v xml:space="preserve">                                                  </v>
      </c>
      <c r="B664" s="20" t="s">
        <v>174</v>
      </c>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c r="AJ664" s="3"/>
      <c r="AK664" s="3"/>
      <c r="AL664" s="3"/>
      <c r="AM664" s="3"/>
      <c r="AN664" s="3"/>
      <c r="AO664" s="3"/>
      <c r="AP664" s="3"/>
      <c r="AQ664" s="3"/>
      <c r="AR664" s="3"/>
      <c r="AS664" s="3"/>
      <c r="AT664" s="3"/>
      <c r="AU664" s="3"/>
      <c r="AV664" s="3"/>
      <c r="AW664" s="3"/>
      <c r="AX664" s="3"/>
      <c r="AY664" s="3"/>
      <c r="AZ664" s="3"/>
    </row>
    <row r="665" spans="1:52" ht="18" customHeight="1" x14ac:dyDescent="0.2">
      <c r="A665" s="3" t="str">
        <f t="shared" si="10"/>
        <v xml:space="preserve">                                                  </v>
      </c>
      <c r="B665" s="20" t="s">
        <v>174</v>
      </c>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c r="AC665" s="3"/>
      <c r="AD665" s="3"/>
      <c r="AE665" s="3"/>
      <c r="AF665" s="3"/>
      <c r="AG665" s="3"/>
      <c r="AH665" s="3"/>
      <c r="AI665" s="3"/>
      <c r="AJ665" s="3"/>
      <c r="AK665" s="3"/>
      <c r="AL665" s="3"/>
      <c r="AM665" s="3"/>
      <c r="AN665" s="3"/>
      <c r="AO665" s="3"/>
      <c r="AP665" s="3"/>
      <c r="AQ665" s="3"/>
      <c r="AR665" s="3"/>
      <c r="AS665" s="3"/>
      <c r="AT665" s="3"/>
      <c r="AU665" s="3"/>
      <c r="AV665" s="3"/>
      <c r="AW665" s="3"/>
      <c r="AX665" s="3"/>
      <c r="AY665" s="3"/>
      <c r="AZ665" s="3"/>
    </row>
    <row r="666" spans="1:52" ht="18" customHeight="1" x14ac:dyDescent="0.2">
      <c r="A666" s="3" t="str">
        <f t="shared" si="10"/>
        <v xml:space="preserve">                                                  </v>
      </c>
      <c r="B666" s="20" t="s">
        <v>174</v>
      </c>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c r="AC666" s="3"/>
      <c r="AD666" s="3"/>
      <c r="AE666" s="3"/>
      <c r="AF666" s="3"/>
      <c r="AG666" s="3"/>
      <c r="AH666" s="3"/>
      <c r="AI666" s="3"/>
      <c r="AJ666" s="3"/>
      <c r="AK666" s="3"/>
      <c r="AL666" s="3"/>
      <c r="AM666" s="3"/>
      <c r="AN666" s="3"/>
      <c r="AO666" s="3"/>
      <c r="AP666" s="3"/>
      <c r="AQ666" s="3"/>
      <c r="AR666" s="3"/>
      <c r="AS666" s="3"/>
      <c r="AT666" s="3"/>
      <c r="AU666" s="3"/>
      <c r="AV666" s="3"/>
      <c r="AW666" s="3"/>
      <c r="AX666" s="3"/>
      <c r="AY666" s="3"/>
      <c r="AZ666" s="3"/>
    </row>
    <row r="667" spans="1:52" ht="18" customHeight="1" x14ac:dyDescent="0.2">
      <c r="A667" s="3" t="str">
        <f t="shared" si="10"/>
        <v xml:space="preserve">                                                  </v>
      </c>
      <c r="B667" s="20" t="s">
        <v>174</v>
      </c>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c r="AC667" s="3"/>
      <c r="AD667" s="3"/>
      <c r="AE667" s="3"/>
      <c r="AF667" s="3"/>
      <c r="AG667" s="3"/>
      <c r="AH667" s="3"/>
      <c r="AI667" s="3"/>
      <c r="AJ667" s="3"/>
      <c r="AK667" s="3"/>
      <c r="AL667" s="3"/>
      <c r="AM667" s="3"/>
      <c r="AN667" s="3"/>
      <c r="AO667" s="3"/>
      <c r="AP667" s="3"/>
      <c r="AQ667" s="3"/>
      <c r="AR667" s="3"/>
      <c r="AS667" s="3"/>
      <c r="AT667" s="3"/>
      <c r="AU667" s="3"/>
      <c r="AV667" s="3"/>
      <c r="AW667" s="3"/>
      <c r="AX667" s="3"/>
      <c r="AY667" s="3"/>
      <c r="AZ667" s="3"/>
    </row>
    <row r="668" spans="1:52" ht="18" customHeight="1" x14ac:dyDescent="0.2">
      <c r="A668" s="3" t="str">
        <f t="shared" si="10"/>
        <v xml:space="preserve">                                                  </v>
      </c>
      <c r="B668" s="20" t="s">
        <v>174</v>
      </c>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c r="AC668" s="3"/>
      <c r="AD668" s="3"/>
      <c r="AE668" s="3"/>
      <c r="AF668" s="3"/>
      <c r="AG668" s="3"/>
      <c r="AH668" s="3"/>
      <c r="AI668" s="3"/>
      <c r="AJ668" s="3"/>
      <c r="AK668" s="3"/>
      <c r="AL668" s="3"/>
      <c r="AM668" s="3"/>
      <c r="AN668" s="3"/>
      <c r="AO668" s="3"/>
      <c r="AP668" s="3"/>
      <c r="AQ668" s="3"/>
      <c r="AR668" s="3"/>
      <c r="AS668" s="3"/>
      <c r="AT668" s="3"/>
      <c r="AU668" s="3"/>
      <c r="AV668" s="3"/>
      <c r="AW668" s="3"/>
      <c r="AX668" s="3"/>
      <c r="AY668" s="3"/>
      <c r="AZ668" s="3"/>
    </row>
    <row r="669" spans="1:52" ht="18" customHeight="1" x14ac:dyDescent="0.2">
      <c r="A669" s="3" t="str">
        <f t="shared" si="10"/>
        <v xml:space="preserve">                                                  </v>
      </c>
      <c r="B669" s="20" t="s">
        <v>174</v>
      </c>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c r="AC669" s="3"/>
      <c r="AD669" s="3"/>
      <c r="AE669" s="3"/>
      <c r="AF669" s="3"/>
      <c r="AG669" s="3"/>
      <c r="AH669" s="3"/>
      <c r="AI669" s="3"/>
      <c r="AJ669" s="3"/>
      <c r="AK669" s="3"/>
      <c r="AL669" s="3"/>
      <c r="AM669" s="3"/>
      <c r="AN669" s="3"/>
      <c r="AO669" s="3"/>
      <c r="AP669" s="3"/>
      <c r="AQ669" s="3"/>
      <c r="AR669" s="3"/>
      <c r="AS669" s="3"/>
      <c r="AT669" s="3"/>
      <c r="AU669" s="3"/>
      <c r="AV669" s="3"/>
      <c r="AW669" s="3"/>
      <c r="AX669" s="3"/>
      <c r="AY669" s="3"/>
      <c r="AZ669" s="3"/>
    </row>
    <row r="670" spans="1:52" ht="18" customHeight="1" x14ac:dyDescent="0.2">
      <c r="A670" s="3" t="str">
        <f t="shared" si="10"/>
        <v xml:space="preserve">                                                  </v>
      </c>
      <c r="B670" s="20" t="s">
        <v>174</v>
      </c>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c r="AC670" s="3"/>
      <c r="AD670" s="3"/>
      <c r="AE670" s="3"/>
      <c r="AF670" s="3"/>
      <c r="AG670" s="3"/>
      <c r="AH670" s="3"/>
      <c r="AI670" s="3"/>
      <c r="AJ670" s="3"/>
      <c r="AK670" s="3"/>
      <c r="AL670" s="3"/>
      <c r="AM670" s="3"/>
      <c r="AN670" s="3"/>
      <c r="AO670" s="3"/>
      <c r="AP670" s="3"/>
      <c r="AQ670" s="3"/>
      <c r="AR670" s="3"/>
      <c r="AS670" s="3"/>
      <c r="AT670" s="3"/>
      <c r="AU670" s="3"/>
      <c r="AV670" s="3"/>
      <c r="AW670" s="3"/>
      <c r="AX670" s="3"/>
      <c r="AY670" s="3"/>
      <c r="AZ670" s="3"/>
    </row>
    <row r="671" spans="1:52" ht="18" customHeight="1" x14ac:dyDescent="0.2">
      <c r="A671" s="3" t="str">
        <f t="shared" si="10"/>
        <v xml:space="preserve">                                                  </v>
      </c>
      <c r="B671" s="20" t="s">
        <v>174</v>
      </c>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c r="AC671" s="3"/>
      <c r="AD671" s="3"/>
      <c r="AE671" s="3"/>
      <c r="AF671" s="3"/>
      <c r="AG671" s="3"/>
      <c r="AH671" s="3"/>
      <c r="AI671" s="3"/>
      <c r="AJ671" s="3"/>
      <c r="AK671" s="3"/>
      <c r="AL671" s="3"/>
      <c r="AM671" s="3"/>
      <c r="AN671" s="3"/>
      <c r="AO671" s="3"/>
      <c r="AP671" s="3"/>
      <c r="AQ671" s="3"/>
      <c r="AR671" s="3"/>
      <c r="AS671" s="3"/>
      <c r="AT671" s="3"/>
      <c r="AU671" s="3"/>
      <c r="AV671" s="3"/>
      <c r="AW671" s="3"/>
      <c r="AX671" s="3"/>
      <c r="AY671" s="3"/>
      <c r="AZ671" s="3"/>
    </row>
    <row r="672" spans="1:52" ht="18" customHeight="1" x14ac:dyDescent="0.2">
      <c r="A672" s="3" t="str">
        <f t="shared" si="10"/>
        <v xml:space="preserve">                                                  </v>
      </c>
      <c r="B672" s="20" t="s">
        <v>174</v>
      </c>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c r="AC672" s="3"/>
      <c r="AD672" s="3"/>
      <c r="AE672" s="3"/>
      <c r="AF672" s="3"/>
      <c r="AG672" s="3"/>
      <c r="AH672" s="3"/>
      <c r="AI672" s="3"/>
      <c r="AJ672" s="3"/>
      <c r="AK672" s="3"/>
      <c r="AL672" s="3"/>
      <c r="AM672" s="3"/>
      <c r="AN672" s="3"/>
      <c r="AO672" s="3"/>
      <c r="AP672" s="3"/>
      <c r="AQ672" s="3"/>
      <c r="AR672" s="3"/>
      <c r="AS672" s="3"/>
      <c r="AT672" s="3"/>
      <c r="AU672" s="3"/>
      <c r="AV672" s="3"/>
      <c r="AW672" s="3"/>
      <c r="AX672" s="3"/>
      <c r="AY672" s="3"/>
      <c r="AZ672" s="3"/>
    </row>
    <row r="673" spans="1:52" ht="18" customHeight="1" x14ac:dyDescent="0.2">
      <c r="A673" s="3" t="str">
        <f t="shared" si="10"/>
        <v xml:space="preserve">                                                  </v>
      </c>
      <c r="B673" s="20" t="s">
        <v>174</v>
      </c>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c r="AC673" s="3"/>
      <c r="AD673" s="3"/>
      <c r="AE673" s="3"/>
      <c r="AF673" s="3"/>
      <c r="AG673" s="3"/>
      <c r="AH673" s="3"/>
      <c r="AI673" s="3"/>
      <c r="AJ673" s="3"/>
      <c r="AK673" s="3"/>
      <c r="AL673" s="3"/>
      <c r="AM673" s="3"/>
      <c r="AN673" s="3"/>
      <c r="AO673" s="3"/>
      <c r="AP673" s="3"/>
      <c r="AQ673" s="3"/>
      <c r="AR673" s="3"/>
      <c r="AS673" s="3"/>
      <c r="AT673" s="3"/>
      <c r="AU673" s="3"/>
      <c r="AV673" s="3"/>
      <c r="AW673" s="3"/>
      <c r="AX673" s="3"/>
      <c r="AY673" s="3"/>
      <c r="AZ673" s="3"/>
    </row>
    <row r="674" spans="1:52" ht="18" customHeight="1" x14ac:dyDescent="0.2">
      <c r="A674" s="3" t="str">
        <f t="shared" si="10"/>
        <v xml:space="preserve">                                                  </v>
      </c>
      <c r="B674" s="20" t="s">
        <v>174</v>
      </c>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c r="AC674" s="3"/>
      <c r="AD674" s="3"/>
      <c r="AE674" s="3"/>
      <c r="AF674" s="3"/>
      <c r="AG674" s="3"/>
      <c r="AH674" s="3"/>
      <c r="AI674" s="3"/>
      <c r="AJ674" s="3"/>
      <c r="AK674" s="3"/>
      <c r="AL674" s="3"/>
      <c r="AM674" s="3"/>
      <c r="AN674" s="3"/>
      <c r="AO674" s="3"/>
      <c r="AP674" s="3"/>
      <c r="AQ674" s="3"/>
      <c r="AR674" s="3"/>
      <c r="AS674" s="3"/>
      <c r="AT674" s="3"/>
      <c r="AU674" s="3"/>
      <c r="AV674" s="3"/>
      <c r="AW674" s="3"/>
      <c r="AX674" s="3"/>
      <c r="AY674" s="3"/>
      <c r="AZ674" s="3"/>
    </row>
    <row r="675" spans="1:52" ht="18" customHeight="1" x14ac:dyDescent="0.2">
      <c r="A675" s="3" t="str">
        <f t="shared" si="10"/>
        <v xml:space="preserve">                                                  </v>
      </c>
      <c r="B675" s="20" t="s">
        <v>174</v>
      </c>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c r="AC675" s="3"/>
      <c r="AD675" s="3"/>
      <c r="AE675" s="3"/>
      <c r="AF675" s="3"/>
      <c r="AG675" s="3"/>
      <c r="AH675" s="3"/>
      <c r="AI675" s="3"/>
      <c r="AJ675" s="3"/>
      <c r="AK675" s="3"/>
      <c r="AL675" s="3"/>
      <c r="AM675" s="3"/>
      <c r="AN675" s="3"/>
      <c r="AO675" s="3"/>
      <c r="AP675" s="3"/>
      <c r="AQ675" s="3"/>
      <c r="AR675" s="3"/>
      <c r="AS675" s="3"/>
      <c r="AT675" s="3"/>
      <c r="AU675" s="3"/>
      <c r="AV675" s="3"/>
      <c r="AW675" s="3"/>
      <c r="AX675" s="3"/>
      <c r="AY675" s="3"/>
      <c r="AZ675" s="3"/>
    </row>
    <row r="676" spans="1:52" ht="18" customHeight="1" x14ac:dyDescent="0.2">
      <c r="A676" s="3" t="str">
        <f t="shared" si="10"/>
        <v xml:space="preserve">                                                  </v>
      </c>
      <c r="B676" s="20" t="s">
        <v>174</v>
      </c>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c r="AC676" s="3"/>
      <c r="AD676" s="3"/>
      <c r="AE676" s="3"/>
      <c r="AF676" s="3"/>
      <c r="AG676" s="3"/>
      <c r="AH676" s="3"/>
      <c r="AI676" s="3"/>
      <c r="AJ676" s="3"/>
      <c r="AK676" s="3"/>
      <c r="AL676" s="3"/>
      <c r="AM676" s="3"/>
      <c r="AN676" s="3"/>
      <c r="AO676" s="3"/>
      <c r="AP676" s="3"/>
      <c r="AQ676" s="3"/>
      <c r="AR676" s="3"/>
      <c r="AS676" s="3"/>
      <c r="AT676" s="3"/>
      <c r="AU676" s="3"/>
      <c r="AV676" s="3"/>
      <c r="AW676" s="3"/>
      <c r="AX676" s="3"/>
      <c r="AY676" s="3"/>
      <c r="AZ676" s="3"/>
    </row>
    <row r="677" spans="1:52" ht="18" customHeight="1" x14ac:dyDescent="0.2">
      <c r="A677" s="3" t="str">
        <f t="shared" si="10"/>
        <v xml:space="preserve">                                                  </v>
      </c>
      <c r="B677" s="20" t="s">
        <v>174</v>
      </c>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c r="AC677" s="3"/>
      <c r="AD677" s="3"/>
      <c r="AE677" s="3"/>
      <c r="AF677" s="3"/>
      <c r="AG677" s="3"/>
      <c r="AH677" s="3"/>
      <c r="AI677" s="3"/>
      <c r="AJ677" s="3"/>
      <c r="AK677" s="3"/>
      <c r="AL677" s="3"/>
      <c r="AM677" s="3"/>
      <c r="AN677" s="3"/>
      <c r="AO677" s="3"/>
      <c r="AP677" s="3"/>
      <c r="AQ677" s="3"/>
      <c r="AR677" s="3"/>
      <c r="AS677" s="3"/>
      <c r="AT677" s="3"/>
      <c r="AU677" s="3"/>
      <c r="AV677" s="3"/>
      <c r="AW677" s="3"/>
      <c r="AX677" s="3"/>
      <c r="AY677" s="3"/>
      <c r="AZ677" s="3"/>
    </row>
    <row r="678" spans="1:52" ht="18" customHeight="1" x14ac:dyDescent="0.2">
      <c r="A678" s="3" t="str">
        <f t="shared" si="10"/>
        <v xml:space="preserve">                                                  </v>
      </c>
      <c r="B678" s="20" t="s">
        <v>174</v>
      </c>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c r="AC678" s="3"/>
      <c r="AD678" s="3"/>
      <c r="AE678" s="3"/>
      <c r="AF678" s="3"/>
      <c r="AG678" s="3"/>
      <c r="AH678" s="3"/>
      <c r="AI678" s="3"/>
      <c r="AJ678" s="3"/>
      <c r="AK678" s="3"/>
      <c r="AL678" s="3"/>
      <c r="AM678" s="3"/>
      <c r="AN678" s="3"/>
      <c r="AO678" s="3"/>
      <c r="AP678" s="3"/>
      <c r="AQ678" s="3"/>
      <c r="AR678" s="3"/>
      <c r="AS678" s="3"/>
      <c r="AT678" s="3"/>
      <c r="AU678" s="3"/>
      <c r="AV678" s="3"/>
      <c r="AW678" s="3"/>
      <c r="AX678" s="3"/>
      <c r="AY678" s="3"/>
      <c r="AZ678" s="3"/>
    </row>
    <row r="679" spans="1:52" ht="18" customHeight="1" x14ac:dyDescent="0.2">
      <c r="A679" s="3" t="str">
        <f t="shared" si="10"/>
        <v xml:space="preserve">                                                  </v>
      </c>
      <c r="B679" s="20" t="s">
        <v>174</v>
      </c>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c r="AC679" s="3"/>
      <c r="AD679" s="3"/>
      <c r="AE679" s="3"/>
      <c r="AF679" s="3"/>
      <c r="AG679" s="3"/>
      <c r="AH679" s="3"/>
      <c r="AI679" s="3"/>
      <c r="AJ679" s="3"/>
      <c r="AK679" s="3"/>
      <c r="AL679" s="3"/>
      <c r="AM679" s="3"/>
      <c r="AN679" s="3"/>
      <c r="AO679" s="3"/>
      <c r="AP679" s="3"/>
      <c r="AQ679" s="3"/>
      <c r="AR679" s="3"/>
      <c r="AS679" s="3"/>
      <c r="AT679" s="3"/>
      <c r="AU679" s="3"/>
      <c r="AV679" s="3"/>
      <c r="AW679" s="3"/>
      <c r="AX679" s="3"/>
      <c r="AY679" s="3"/>
      <c r="AZ679" s="3"/>
    </row>
    <row r="680" spans="1:52" ht="18" customHeight="1" x14ac:dyDescent="0.2">
      <c r="A680" s="3" t="str">
        <f t="shared" si="10"/>
        <v xml:space="preserve">                                                  </v>
      </c>
      <c r="B680" s="20" t="s">
        <v>174</v>
      </c>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c r="AC680" s="3"/>
      <c r="AD680" s="3"/>
      <c r="AE680" s="3"/>
      <c r="AF680" s="3"/>
      <c r="AG680" s="3"/>
      <c r="AH680" s="3"/>
      <c r="AI680" s="3"/>
      <c r="AJ680" s="3"/>
      <c r="AK680" s="3"/>
      <c r="AL680" s="3"/>
      <c r="AM680" s="3"/>
      <c r="AN680" s="3"/>
      <c r="AO680" s="3"/>
      <c r="AP680" s="3"/>
      <c r="AQ680" s="3"/>
      <c r="AR680" s="3"/>
      <c r="AS680" s="3"/>
      <c r="AT680" s="3"/>
      <c r="AU680" s="3"/>
      <c r="AV680" s="3"/>
      <c r="AW680" s="3"/>
      <c r="AX680" s="3"/>
      <c r="AY680" s="3"/>
      <c r="AZ680" s="3"/>
    </row>
    <row r="681" spans="1:52" ht="18" customHeight="1" x14ac:dyDescent="0.2">
      <c r="A681" s="3" t="str">
        <f t="shared" si="10"/>
        <v xml:space="preserve">                                                  </v>
      </c>
      <c r="B681" s="20" t="s">
        <v>174</v>
      </c>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c r="AC681" s="3"/>
      <c r="AD681" s="3"/>
      <c r="AE681" s="3"/>
      <c r="AF681" s="3"/>
      <c r="AG681" s="3"/>
      <c r="AH681" s="3"/>
      <c r="AI681" s="3"/>
      <c r="AJ681" s="3"/>
      <c r="AK681" s="3"/>
      <c r="AL681" s="3"/>
      <c r="AM681" s="3"/>
      <c r="AN681" s="3"/>
      <c r="AO681" s="3"/>
      <c r="AP681" s="3"/>
      <c r="AQ681" s="3"/>
      <c r="AR681" s="3"/>
      <c r="AS681" s="3"/>
      <c r="AT681" s="3"/>
      <c r="AU681" s="3"/>
      <c r="AV681" s="3"/>
      <c r="AW681" s="3"/>
      <c r="AX681" s="3"/>
      <c r="AY681" s="3"/>
      <c r="AZ681" s="3"/>
    </row>
    <row r="682" spans="1:52" ht="18" customHeight="1" x14ac:dyDescent="0.2">
      <c r="A682" s="3" t="str">
        <f t="shared" si="10"/>
        <v xml:space="preserve">                                                  </v>
      </c>
      <c r="B682" s="20" t="s">
        <v>174</v>
      </c>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c r="AC682" s="3"/>
      <c r="AD682" s="3"/>
      <c r="AE682" s="3"/>
      <c r="AF682" s="3"/>
      <c r="AG682" s="3"/>
      <c r="AH682" s="3"/>
      <c r="AI682" s="3"/>
      <c r="AJ682" s="3"/>
      <c r="AK682" s="3"/>
      <c r="AL682" s="3"/>
      <c r="AM682" s="3"/>
      <c r="AN682" s="3"/>
      <c r="AO682" s="3"/>
      <c r="AP682" s="3"/>
      <c r="AQ682" s="3"/>
      <c r="AR682" s="3"/>
      <c r="AS682" s="3"/>
      <c r="AT682" s="3"/>
      <c r="AU682" s="3"/>
      <c r="AV682" s="3"/>
      <c r="AW682" s="3"/>
      <c r="AX682" s="3"/>
      <c r="AY682" s="3"/>
      <c r="AZ682" s="3"/>
    </row>
    <row r="683" spans="1:52" ht="18" customHeight="1" x14ac:dyDescent="0.2">
      <c r="A683" s="3" t="str">
        <f t="shared" si="10"/>
        <v xml:space="preserve">                                                  </v>
      </c>
      <c r="B683" s="20" t="s">
        <v>174</v>
      </c>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c r="AC683" s="3"/>
      <c r="AD683" s="3"/>
      <c r="AE683" s="3"/>
      <c r="AF683" s="3"/>
      <c r="AG683" s="3"/>
      <c r="AH683" s="3"/>
      <c r="AI683" s="3"/>
      <c r="AJ683" s="3"/>
      <c r="AK683" s="3"/>
      <c r="AL683" s="3"/>
      <c r="AM683" s="3"/>
      <c r="AN683" s="3"/>
      <c r="AO683" s="3"/>
      <c r="AP683" s="3"/>
      <c r="AQ683" s="3"/>
      <c r="AR683" s="3"/>
      <c r="AS683" s="3"/>
      <c r="AT683" s="3"/>
      <c r="AU683" s="3"/>
      <c r="AV683" s="3"/>
      <c r="AW683" s="3"/>
      <c r="AX683" s="3"/>
      <c r="AY683" s="3"/>
      <c r="AZ683" s="3"/>
    </row>
    <row r="684" spans="1:52" ht="18" customHeight="1" x14ac:dyDescent="0.2">
      <c r="A684" s="3" t="str">
        <f t="shared" si="10"/>
        <v xml:space="preserve">                                                  </v>
      </c>
      <c r="B684" s="20" t="s">
        <v>174</v>
      </c>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c r="AJ684" s="3"/>
      <c r="AK684" s="3"/>
      <c r="AL684" s="3"/>
      <c r="AM684" s="3"/>
      <c r="AN684" s="3"/>
      <c r="AO684" s="3"/>
      <c r="AP684" s="3"/>
      <c r="AQ684" s="3"/>
      <c r="AR684" s="3"/>
      <c r="AS684" s="3"/>
      <c r="AT684" s="3"/>
      <c r="AU684" s="3"/>
      <c r="AV684" s="3"/>
      <c r="AW684" s="3"/>
      <c r="AX684" s="3"/>
      <c r="AY684" s="3"/>
      <c r="AZ684" s="3"/>
    </row>
    <row r="685" spans="1:52" ht="18" customHeight="1" x14ac:dyDescent="0.2">
      <c r="A685" s="3" t="str">
        <f t="shared" si="10"/>
        <v xml:space="preserve">                                                  </v>
      </c>
      <c r="B685" s="20" t="s">
        <v>174</v>
      </c>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c r="AC685" s="3"/>
      <c r="AD685" s="3"/>
      <c r="AE685" s="3"/>
      <c r="AF685" s="3"/>
      <c r="AG685" s="3"/>
      <c r="AH685" s="3"/>
      <c r="AI685" s="3"/>
      <c r="AJ685" s="3"/>
      <c r="AK685" s="3"/>
      <c r="AL685" s="3"/>
      <c r="AM685" s="3"/>
      <c r="AN685" s="3"/>
      <c r="AO685" s="3"/>
      <c r="AP685" s="3"/>
      <c r="AQ685" s="3"/>
      <c r="AR685" s="3"/>
      <c r="AS685" s="3"/>
      <c r="AT685" s="3"/>
      <c r="AU685" s="3"/>
      <c r="AV685" s="3"/>
      <c r="AW685" s="3"/>
      <c r="AX685" s="3"/>
      <c r="AY685" s="3"/>
      <c r="AZ685" s="3"/>
    </row>
    <row r="686" spans="1:52" ht="18" customHeight="1" x14ac:dyDescent="0.2">
      <c r="A686" s="3" t="str">
        <f t="shared" si="10"/>
        <v xml:space="preserve">                                                  </v>
      </c>
      <c r="B686" s="20" t="s">
        <v>174</v>
      </c>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c r="AC686" s="3"/>
      <c r="AD686" s="3"/>
      <c r="AE686" s="3"/>
      <c r="AF686" s="3"/>
      <c r="AG686" s="3"/>
      <c r="AH686" s="3"/>
      <c r="AI686" s="3"/>
      <c r="AJ686" s="3"/>
      <c r="AK686" s="3"/>
      <c r="AL686" s="3"/>
      <c r="AM686" s="3"/>
      <c r="AN686" s="3"/>
      <c r="AO686" s="3"/>
      <c r="AP686" s="3"/>
      <c r="AQ686" s="3"/>
      <c r="AR686" s="3"/>
      <c r="AS686" s="3"/>
      <c r="AT686" s="3"/>
      <c r="AU686" s="3"/>
      <c r="AV686" s="3"/>
      <c r="AW686" s="3"/>
      <c r="AX686" s="3"/>
      <c r="AY686" s="3"/>
      <c r="AZ686" s="3"/>
    </row>
    <row r="687" spans="1:52" ht="18" customHeight="1" x14ac:dyDescent="0.2">
      <c r="A687" s="3" t="str">
        <f t="shared" si="10"/>
        <v xml:space="preserve">                                                  </v>
      </c>
      <c r="B687" s="20" t="s">
        <v>174</v>
      </c>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c r="AC687" s="3"/>
      <c r="AD687" s="3"/>
      <c r="AE687" s="3"/>
      <c r="AF687" s="3"/>
      <c r="AG687" s="3"/>
      <c r="AH687" s="3"/>
      <c r="AI687" s="3"/>
      <c r="AJ687" s="3"/>
      <c r="AK687" s="3"/>
      <c r="AL687" s="3"/>
      <c r="AM687" s="3"/>
      <c r="AN687" s="3"/>
      <c r="AO687" s="3"/>
      <c r="AP687" s="3"/>
      <c r="AQ687" s="3"/>
      <c r="AR687" s="3"/>
      <c r="AS687" s="3"/>
      <c r="AT687" s="3"/>
      <c r="AU687" s="3"/>
      <c r="AV687" s="3"/>
      <c r="AW687" s="3"/>
      <c r="AX687" s="3"/>
      <c r="AY687" s="3"/>
      <c r="AZ687" s="3"/>
    </row>
    <row r="688" spans="1:52" ht="18" customHeight="1" x14ac:dyDescent="0.2">
      <c r="A688" s="3" t="str">
        <f t="shared" si="10"/>
        <v xml:space="preserve">                                                  </v>
      </c>
      <c r="B688" s="20" t="s">
        <v>174</v>
      </c>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c r="AC688" s="3"/>
      <c r="AD688" s="3"/>
      <c r="AE688" s="3"/>
      <c r="AF688" s="3"/>
      <c r="AG688" s="3"/>
      <c r="AH688" s="3"/>
      <c r="AI688" s="3"/>
      <c r="AJ688" s="3"/>
      <c r="AK688" s="3"/>
      <c r="AL688" s="3"/>
      <c r="AM688" s="3"/>
      <c r="AN688" s="3"/>
      <c r="AO688" s="3"/>
      <c r="AP688" s="3"/>
      <c r="AQ688" s="3"/>
      <c r="AR688" s="3"/>
      <c r="AS688" s="3"/>
      <c r="AT688" s="3"/>
      <c r="AU688" s="3"/>
      <c r="AV688" s="3"/>
      <c r="AW688" s="3"/>
      <c r="AX688" s="3"/>
      <c r="AY688" s="3"/>
      <c r="AZ688" s="3"/>
    </row>
    <row r="689" spans="1:52" ht="18" customHeight="1" x14ac:dyDescent="0.2">
      <c r="A689" s="3" t="str">
        <f t="shared" si="10"/>
        <v xml:space="preserve">                                                  </v>
      </c>
      <c r="B689" s="20" t="s">
        <v>174</v>
      </c>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c r="AC689" s="3"/>
      <c r="AD689" s="3"/>
      <c r="AE689" s="3"/>
      <c r="AF689" s="3"/>
      <c r="AG689" s="3"/>
      <c r="AH689" s="3"/>
      <c r="AI689" s="3"/>
      <c r="AJ689" s="3"/>
      <c r="AK689" s="3"/>
      <c r="AL689" s="3"/>
      <c r="AM689" s="3"/>
      <c r="AN689" s="3"/>
      <c r="AO689" s="3"/>
      <c r="AP689" s="3"/>
      <c r="AQ689" s="3"/>
      <c r="AR689" s="3"/>
      <c r="AS689" s="3"/>
      <c r="AT689" s="3"/>
      <c r="AU689" s="3"/>
      <c r="AV689" s="3"/>
      <c r="AW689" s="3"/>
      <c r="AX689" s="3"/>
      <c r="AY689" s="3"/>
      <c r="AZ689" s="3"/>
    </row>
    <row r="690" spans="1:52" ht="18" customHeight="1" x14ac:dyDescent="0.2">
      <c r="A690" s="3" t="str">
        <f t="shared" si="10"/>
        <v xml:space="preserve">                                                  </v>
      </c>
      <c r="B690" s="20" t="s">
        <v>174</v>
      </c>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c r="AC690" s="3"/>
      <c r="AD690" s="3"/>
      <c r="AE690" s="3"/>
      <c r="AF690" s="3"/>
      <c r="AG690" s="3"/>
      <c r="AH690" s="3"/>
      <c r="AI690" s="3"/>
      <c r="AJ690" s="3"/>
      <c r="AK690" s="3"/>
      <c r="AL690" s="3"/>
      <c r="AM690" s="3"/>
      <c r="AN690" s="3"/>
      <c r="AO690" s="3"/>
      <c r="AP690" s="3"/>
      <c r="AQ690" s="3"/>
      <c r="AR690" s="3"/>
      <c r="AS690" s="3"/>
      <c r="AT690" s="3"/>
      <c r="AU690" s="3"/>
      <c r="AV690" s="3"/>
      <c r="AW690" s="3"/>
      <c r="AX690" s="3"/>
      <c r="AY690" s="3"/>
      <c r="AZ690" s="3"/>
    </row>
    <row r="691" spans="1:52" ht="18" customHeight="1" x14ac:dyDescent="0.2">
      <c r="A691" s="3" t="str">
        <f t="shared" si="10"/>
        <v xml:space="preserve">                                                  </v>
      </c>
      <c r="B691" s="20" t="s">
        <v>174</v>
      </c>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c r="AC691" s="3"/>
      <c r="AD691" s="3"/>
      <c r="AE691" s="3"/>
      <c r="AF691" s="3"/>
      <c r="AG691" s="3"/>
      <c r="AH691" s="3"/>
      <c r="AI691" s="3"/>
      <c r="AJ691" s="3"/>
      <c r="AK691" s="3"/>
      <c r="AL691" s="3"/>
      <c r="AM691" s="3"/>
      <c r="AN691" s="3"/>
      <c r="AO691" s="3"/>
      <c r="AP691" s="3"/>
      <c r="AQ691" s="3"/>
      <c r="AR691" s="3"/>
      <c r="AS691" s="3"/>
      <c r="AT691" s="3"/>
      <c r="AU691" s="3"/>
      <c r="AV691" s="3"/>
      <c r="AW691" s="3"/>
      <c r="AX691" s="3"/>
      <c r="AY691" s="3"/>
      <c r="AZ691" s="3"/>
    </row>
    <row r="692" spans="1:52" ht="18" customHeight="1" x14ac:dyDescent="0.2">
      <c r="A692" s="3" t="str">
        <f t="shared" si="10"/>
        <v xml:space="preserve">                                                  </v>
      </c>
      <c r="B692" s="20" t="s">
        <v>174</v>
      </c>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c r="AC692" s="3"/>
      <c r="AD692" s="3"/>
      <c r="AE692" s="3"/>
      <c r="AF692" s="3"/>
      <c r="AG692" s="3"/>
      <c r="AH692" s="3"/>
      <c r="AI692" s="3"/>
      <c r="AJ692" s="3"/>
      <c r="AK692" s="3"/>
      <c r="AL692" s="3"/>
      <c r="AM692" s="3"/>
      <c r="AN692" s="3"/>
      <c r="AO692" s="3"/>
      <c r="AP692" s="3"/>
      <c r="AQ692" s="3"/>
      <c r="AR692" s="3"/>
      <c r="AS692" s="3"/>
      <c r="AT692" s="3"/>
      <c r="AU692" s="3"/>
      <c r="AV692" s="3"/>
      <c r="AW692" s="3"/>
      <c r="AX692" s="3"/>
      <c r="AY692" s="3"/>
      <c r="AZ692" s="3"/>
    </row>
    <row r="693" spans="1:52" ht="18" customHeight="1" x14ac:dyDescent="0.2">
      <c r="A693" s="3" t="str">
        <f t="shared" si="10"/>
        <v xml:space="preserve">                                                  </v>
      </c>
      <c r="B693" s="20" t="s">
        <v>174</v>
      </c>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c r="AC693" s="3"/>
      <c r="AD693" s="3"/>
      <c r="AE693" s="3"/>
      <c r="AF693" s="3"/>
      <c r="AG693" s="3"/>
      <c r="AH693" s="3"/>
      <c r="AI693" s="3"/>
      <c r="AJ693" s="3"/>
      <c r="AK693" s="3"/>
      <c r="AL693" s="3"/>
      <c r="AM693" s="3"/>
      <c r="AN693" s="3"/>
      <c r="AO693" s="3"/>
      <c r="AP693" s="3"/>
      <c r="AQ693" s="3"/>
      <c r="AR693" s="3"/>
      <c r="AS693" s="3"/>
      <c r="AT693" s="3"/>
      <c r="AU693" s="3"/>
      <c r="AV693" s="3"/>
      <c r="AW693" s="3"/>
      <c r="AX693" s="3"/>
      <c r="AY693" s="3"/>
      <c r="AZ693" s="3"/>
    </row>
    <row r="694" spans="1:52" ht="18" customHeight="1" x14ac:dyDescent="0.2">
      <c r="A694" s="3" t="str">
        <f t="shared" si="10"/>
        <v xml:space="preserve">                                                  </v>
      </c>
      <c r="B694" s="20" t="s">
        <v>174</v>
      </c>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c r="AC694" s="3"/>
      <c r="AD694" s="3"/>
      <c r="AE694" s="3"/>
      <c r="AF694" s="3"/>
      <c r="AG694" s="3"/>
      <c r="AH694" s="3"/>
      <c r="AI694" s="3"/>
      <c r="AJ694" s="3"/>
      <c r="AK694" s="3"/>
      <c r="AL694" s="3"/>
      <c r="AM694" s="3"/>
      <c r="AN694" s="3"/>
      <c r="AO694" s="3"/>
      <c r="AP694" s="3"/>
      <c r="AQ694" s="3"/>
      <c r="AR694" s="3"/>
      <c r="AS694" s="3"/>
      <c r="AT694" s="3"/>
      <c r="AU694" s="3"/>
      <c r="AV694" s="3"/>
      <c r="AW694" s="3"/>
      <c r="AX694" s="3"/>
      <c r="AY694" s="3"/>
      <c r="AZ694" s="3"/>
    </row>
    <row r="695" spans="1:52" ht="18" customHeight="1" x14ac:dyDescent="0.2">
      <c r="A695" s="3" t="str">
        <f t="shared" si="10"/>
        <v xml:space="preserve">                                                  </v>
      </c>
      <c r="B695" s="20" t="s">
        <v>174</v>
      </c>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c r="AC695" s="3"/>
      <c r="AD695" s="3"/>
      <c r="AE695" s="3"/>
      <c r="AF695" s="3"/>
      <c r="AG695" s="3"/>
      <c r="AH695" s="3"/>
      <c r="AI695" s="3"/>
      <c r="AJ695" s="3"/>
      <c r="AK695" s="3"/>
      <c r="AL695" s="3"/>
      <c r="AM695" s="3"/>
      <c r="AN695" s="3"/>
      <c r="AO695" s="3"/>
      <c r="AP695" s="3"/>
      <c r="AQ695" s="3"/>
      <c r="AR695" s="3"/>
      <c r="AS695" s="3"/>
      <c r="AT695" s="3"/>
      <c r="AU695" s="3"/>
      <c r="AV695" s="3"/>
      <c r="AW695" s="3"/>
      <c r="AX695" s="3"/>
      <c r="AY695" s="3"/>
      <c r="AZ695" s="3"/>
    </row>
    <row r="696" spans="1:52" ht="18" customHeight="1" x14ac:dyDescent="0.2">
      <c r="A696" s="3" t="str">
        <f t="shared" si="10"/>
        <v xml:space="preserve">                                                  </v>
      </c>
      <c r="B696" s="20" t="s">
        <v>174</v>
      </c>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c r="AC696" s="3"/>
      <c r="AD696" s="3"/>
      <c r="AE696" s="3"/>
      <c r="AF696" s="3"/>
      <c r="AG696" s="3"/>
      <c r="AH696" s="3"/>
      <c r="AI696" s="3"/>
      <c r="AJ696" s="3"/>
      <c r="AK696" s="3"/>
      <c r="AL696" s="3"/>
      <c r="AM696" s="3"/>
      <c r="AN696" s="3"/>
      <c r="AO696" s="3"/>
      <c r="AP696" s="3"/>
      <c r="AQ696" s="3"/>
      <c r="AR696" s="3"/>
      <c r="AS696" s="3"/>
      <c r="AT696" s="3"/>
      <c r="AU696" s="3"/>
      <c r="AV696" s="3"/>
      <c r="AW696" s="3"/>
      <c r="AX696" s="3"/>
      <c r="AY696" s="3"/>
      <c r="AZ696" s="3"/>
    </row>
    <row r="697" spans="1:52" ht="18" customHeight="1" x14ac:dyDescent="0.2">
      <c r="A697" s="3" t="str">
        <f t="shared" si="10"/>
        <v xml:space="preserve">                                                  </v>
      </c>
      <c r="B697" s="20" t="s">
        <v>174</v>
      </c>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c r="AC697" s="3"/>
      <c r="AD697" s="3"/>
      <c r="AE697" s="3"/>
      <c r="AF697" s="3"/>
      <c r="AG697" s="3"/>
      <c r="AH697" s="3"/>
      <c r="AI697" s="3"/>
      <c r="AJ697" s="3"/>
      <c r="AK697" s="3"/>
      <c r="AL697" s="3"/>
      <c r="AM697" s="3"/>
      <c r="AN697" s="3"/>
      <c r="AO697" s="3"/>
      <c r="AP697" s="3"/>
      <c r="AQ697" s="3"/>
      <c r="AR697" s="3"/>
      <c r="AS697" s="3"/>
      <c r="AT697" s="3"/>
      <c r="AU697" s="3"/>
      <c r="AV697" s="3"/>
      <c r="AW697" s="3"/>
      <c r="AX697" s="3"/>
      <c r="AY697" s="3"/>
      <c r="AZ697" s="3"/>
    </row>
    <row r="698" spans="1:52" ht="18" customHeight="1" x14ac:dyDescent="0.2">
      <c r="A698" s="3" t="str">
        <f t="shared" si="10"/>
        <v xml:space="preserve">                                                  </v>
      </c>
      <c r="B698" s="20" t="s">
        <v>174</v>
      </c>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c r="AC698" s="3"/>
      <c r="AD698" s="3"/>
      <c r="AE698" s="3"/>
      <c r="AF698" s="3"/>
      <c r="AG698" s="3"/>
      <c r="AH698" s="3"/>
      <c r="AI698" s="3"/>
      <c r="AJ698" s="3"/>
      <c r="AK698" s="3"/>
      <c r="AL698" s="3"/>
      <c r="AM698" s="3"/>
      <c r="AN698" s="3"/>
      <c r="AO698" s="3"/>
      <c r="AP698" s="3"/>
      <c r="AQ698" s="3"/>
      <c r="AR698" s="3"/>
      <c r="AS698" s="3"/>
      <c r="AT698" s="3"/>
      <c r="AU698" s="3"/>
      <c r="AV698" s="3"/>
      <c r="AW698" s="3"/>
      <c r="AX698" s="3"/>
      <c r="AY698" s="3"/>
      <c r="AZ698" s="3"/>
    </row>
    <row r="699" spans="1:52" ht="18" customHeight="1" x14ac:dyDescent="0.2">
      <c r="A699" s="3" t="str">
        <f t="shared" si="10"/>
        <v xml:space="preserve">                                                  </v>
      </c>
      <c r="B699" s="20" t="s">
        <v>174</v>
      </c>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c r="AC699" s="3"/>
      <c r="AD699" s="3"/>
      <c r="AE699" s="3"/>
      <c r="AF699" s="3"/>
      <c r="AG699" s="3"/>
      <c r="AH699" s="3"/>
      <c r="AI699" s="3"/>
      <c r="AJ699" s="3"/>
      <c r="AK699" s="3"/>
      <c r="AL699" s="3"/>
      <c r="AM699" s="3"/>
      <c r="AN699" s="3"/>
      <c r="AO699" s="3"/>
      <c r="AP699" s="3"/>
      <c r="AQ699" s="3"/>
      <c r="AR699" s="3"/>
      <c r="AS699" s="3"/>
      <c r="AT699" s="3"/>
      <c r="AU699" s="3"/>
      <c r="AV699" s="3"/>
      <c r="AW699" s="3"/>
      <c r="AX699" s="3"/>
      <c r="AY699" s="3"/>
      <c r="AZ699" s="3"/>
    </row>
    <row r="700" spans="1:52" ht="18" customHeight="1" x14ac:dyDescent="0.2">
      <c r="A700" s="3" t="str">
        <f t="shared" si="10"/>
        <v xml:space="preserve">                                                  </v>
      </c>
      <c r="B700" s="20" t="s">
        <v>174</v>
      </c>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c r="AC700" s="3"/>
      <c r="AD700" s="3"/>
      <c r="AE700" s="3"/>
      <c r="AF700" s="3"/>
      <c r="AG700" s="3"/>
      <c r="AH700" s="3"/>
      <c r="AI700" s="3"/>
      <c r="AJ700" s="3"/>
      <c r="AK700" s="3"/>
      <c r="AL700" s="3"/>
      <c r="AM700" s="3"/>
      <c r="AN700" s="3"/>
      <c r="AO700" s="3"/>
      <c r="AP700" s="3"/>
      <c r="AQ700" s="3"/>
      <c r="AR700" s="3"/>
      <c r="AS700" s="3"/>
      <c r="AT700" s="3"/>
      <c r="AU700" s="3"/>
      <c r="AV700" s="3"/>
      <c r="AW700" s="3"/>
      <c r="AX700" s="3"/>
      <c r="AY700" s="3"/>
      <c r="AZ700" s="3"/>
    </row>
    <row r="701" spans="1:52" ht="18" customHeight="1" x14ac:dyDescent="0.2">
      <c r="A701" s="3" t="str">
        <f t="shared" si="10"/>
        <v xml:space="preserve">                                                  </v>
      </c>
      <c r="B701" s="20" t="s">
        <v>174</v>
      </c>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c r="AC701" s="3"/>
      <c r="AD701" s="3"/>
      <c r="AE701" s="3"/>
      <c r="AF701" s="3"/>
      <c r="AG701" s="3"/>
      <c r="AH701" s="3"/>
      <c r="AI701" s="3"/>
      <c r="AJ701" s="3"/>
      <c r="AK701" s="3"/>
      <c r="AL701" s="3"/>
      <c r="AM701" s="3"/>
      <c r="AN701" s="3"/>
      <c r="AO701" s="3"/>
      <c r="AP701" s="3"/>
      <c r="AQ701" s="3"/>
      <c r="AR701" s="3"/>
      <c r="AS701" s="3"/>
      <c r="AT701" s="3"/>
      <c r="AU701" s="3"/>
      <c r="AV701" s="3"/>
      <c r="AW701" s="3"/>
      <c r="AX701" s="3"/>
      <c r="AY701" s="3"/>
      <c r="AZ701" s="3"/>
    </row>
    <row r="702" spans="1:52" ht="18" customHeight="1" x14ac:dyDescent="0.2">
      <c r="A702" s="3" t="str">
        <f t="shared" si="10"/>
        <v xml:space="preserve">                                                  </v>
      </c>
      <c r="B702" s="20" t="s">
        <v>174</v>
      </c>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c r="AC702" s="3"/>
      <c r="AD702" s="3"/>
      <c r="AE702" s="3"/>
      <c r="AF702" s="3"/>
      <c r="AG702" s="3"/>
      <c r="AH702" s="3"/>
      <c r="AI702" s="3"/>
      <c r="AJ702" s="3"/>
      <c r="AK702" s="3"/>
      <c r="AL702" s="3"/>
      <c r="AM702" s="3"/>
      <c r="AN702" s="3"/>
      <c r="AO702" s="3"/>
      <c r="AP702" s="3"/>
      <c r="AQ702" s="3"/>
      <c r="AR702" s="3"/>
      <c r="AS702" s="3"/>
      <c r="AT702" s="3"/>
      <c r="AU702" s="3"/>
      <c r="AV702" s="3"/>
      <c r="AW702" s="3"/>
      <c r="AX702" s="3"/>
      <c r="AY702" s="3"/>
      <c r="AZ702" s="3"/>
    </row>
    <row r="703" spans="1:52" ht="18" customHeight="1" x14ac:dyDescent="0.2">
      <c r="A703" s="3" t="str">
        <f t="shared" si="10"/>
        <v xml:space="preserve">                                                  </v>
      </c>
      <c r="B703" s="20" t="s">
        <v>174</v>
      </c>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c r="AC703" s="3"/>
      <c r="AD703" s="3"/>
      <c r="AE703" s="3"/>
      <c r="AF703" s="3"/>
      <c r="AG703" s="3"/>
      <c r="AH703" s="3"/>
      <c r="AI703" s="3"/>
      <c r="AJ703" s="3"/>
      <c r="AK703" s="3"/>
      <c r="AL703" s="3"/>
      <c r="AM703" s="3"/>
      <c r="AN703" s="3"/>
      <c r="AO703" s="3"/>
      <c r="AP703" s="3"/>
      <c r="AQ703" s="3"/>
      <c r="AR703" s="3"/>
      <c r="AS703" s="3"/>
      <c r="AT703" s="3"/>
      <c r="AU703" s="3"/>
      <c r="AV703" s="3"/>
      <c r="AW703" s="3"/>
      <c r="AX703" s="3"/>
      <c r="AY703" s="3"/>
      <c r="AZ703" s="3"/>
    </row>
    <row r="704" spans="1:52" ht="18" customHeight="1" x14ac:dyDescent="0.2">
      <c r="A704" s="3" t="str">
        <f t="shared" si="10"/>
        <v xml:space="preserve">                                                  </v>
      </c>
      <c r="B704" s="20" t="s">
        <v>174</v>
      </c>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c r="AC704" s="3"/>
      <c r="AD704" s="3"/>
      <c r="AE704" s="3"/>
      <c r="AF704" s="3"/>
      <c r="AG704" s="3"/>
      <c r="AH704" s="3"/>
      <c r="AI704" s="3"/>
      <c r="AJ704" s="3"/>
      <c r="AK704" s="3"/>
      <c r="AL704" s="3"/>
      <c r="AM704" s="3"/>
      <c r="AN704" s="3"/>
      <c r="AO704" s="3"/>
      <c r="AP704" s="3"/>
      <c r="AQ704" s="3"/>
      <c r="AR704" s="3"/>
      <c r="AS704" s="3"/>
      <c r="AT704" s="3"/>
      <c r="AU704" s="3"/>
      <c r="AV704" s="3"/>
      <c r="AW704" s="3"/>
      <c r="AX704" s="3"/>
      <c r="AY704" s="3"/>
      <c r="AZ704" s="3"/>
    </row>
    <row r="705" spans="1:52" ht="18" customHeight="1" x14ac:dyDescent="0.2">
      <c r="A705" s="3" t="str">
        <f t="shared" si="10"/>
        <v xml:space="preserve">                                                  </v>
      </c>
      <c r="B705" s="20" t="s">
        <v>174</v>
      </c>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c r="AC705" s="3"/>
      <c r="AD705" s="3"/>
      <c r="AE705" s="3"/>
      <c r="AF705" s="3"/>
      <c r="AG705" s="3"/>
      <c r="AH705" s="3"/>
      <c r="AI705" s="3"/>
      <c r="AJ705" s="3"/>
      <c r="AK705" s="3"/>
      <c r="AL705" s="3"/>
      <c r="AM705" s="3"/>
      <c r="AN705" s="3"/>
      <c r="AO705" s="3"/>
      <c r="AP705" s="3"/>
      <c r="AQ705" s="3"/>
      <c r="AR705" s="3"/>
      <c r="AS705" s="3"/>
      <c r="AT705" s="3"/>
      <c r="AU705" s="3"/>
      <c r="AV705" s="3"/>
      <c r="AW705" s="3"/>
      <c r="AX705" s="3"/>
      <c r="AY705" s="3"/>
      <c r="AZ705" s="3"/>
    </row>
    <row r="706" spans="1:52" ht="18" customHeight="1" x14ac:dyDescent="0.2">
      <c r="A706" s="3" t="str">
        <f t="shared" si="10"/>
        <v xml:space="preserve">                                                  </v>
      </c>
      <c r="B706" s="20" t="s">
        <v>174</v>
      </c>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c r="AC706" s="3"/>
      <c r="AD706" s="3"/>
      <c r="AE706" s="3"/>
      <c r="AF706" s="3"/>
      <c r="AG706" s="3"/>
      <c r="AH706" s="3"/>
      <c r="AI706" s="3"/>
      <c r="AJ706" s="3"/>
      <c r="AK706" s="3"/>
      <c r="AL706" s="3"/>
      <c r="AM706" s="3"/>
      <c r="AN706" s="3"/>
      <c r="AO706" s="3"/>
      <c r="AP706" s="3"/>
      <c r="AQ706" s="3"/>
      <c r="AR706" s="3"/>
      <c r="AS706" s="3"/>
      <c r="AT706" s="3"/>
      <c r="AU706" s="3"/>
      <c r="AV706" s="3"/>
      <c r="AW706" s="3"/>
      <c r="AX706" s="3"/>
      <c r="AY706" s="3"/>
      <c r="AZ706" s="3"/>
    </row>
    <row r="707" spans="1:52" ht="18" customHeight="1" x14ac:dyDescent="0.2">
      <c r="A707" s="3" t="str">
        <f t="shared" si="10"/>
        <v xml:space="preserve">                                                  </v>
      </c>
      <c r="B707" s="20" t="s">
        <v>174</v>
      </c>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c r="AJ707" s="3"/>
      <c r="AK707" s="3"/>
      <c r="AL707" s="3"/>
      <c r="AM707" s="3"/>
      <c r="AN707" s="3"/>
      <c r="AO707" s="3"/>
      <c r="AP707" s="3"/>
      <c r="AQ707" s="3"/>
      <c r="AR707" s="3"/>
      <c r="AS707" s="3"/>
      <c r="AT707" s="3"/>
      <c r="AU707" s="3"/>
      <c r="AV707" s="3"/>
      <c r="AW707" s="3"/>
      <c r="AX707" s="3"/>
      <c r="AY707" s="3"/>
      <c r="AZ707" s="3"/>
    </row>
    <row r="708" spans="1:52" ht="18" customHeight="1" x14ac:dyDescent="0.2">
      <c r="A708" s="3" t="str">
        <f t="shared" ref="A708:A771" si="11">CONCATENATE(C708," ",D708," ",E708," ",F708," ",G708," ",H708," ",I708," ",J708," ",K708," ",L708," ",M708," ",N708," ",O708," ",P708," ",Q708," ",R708," ",S708," ",T708," ",U708," ",V708," ",W708," ",X708," ",Y708," ",Z708," ",AA708," ",AB708," ",AC708," ",AD708," ",AE708," ",AF708," ",AG708," ",AH708," ",AI708," ",AJ708," ",AK708," ",AL708," ",AM708," ",AN708," ",AO708," ",AP708," ",AQ708," ",AR708," ",AS708," ",AT708," ",AU708," ",AV708," ",AW708," ",AX708," ",AY708," ",AZ708," ",
)</f>
        <v xml:space="preserve">                                                  </v>
      </c>
      <c r="B708" s="20" t="s">
        <v>174</v>
      </c>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c r="AC708" s="3"/>
      <c r="AD708" s="3"/>
      <c r="AE708" s="3"/>
      <c r="AF708" s="3"/>
      <c r="AG708" s="3"/>
      <c r="AH708" s="3"/>
      <c r="AI708" s="3"/>
      <c r="AJ708" s="3"/>
      <c r="AK708" s="3"/>
      <c r="AL708" s="3"/>
      <c r="AM708" s="3"/>
      <c r="AN708" s="3"/>
      <c r="AO708" s="3"/>
      <c r="AP708" s="3"/>
      <c r="AQ708" s="3"/>
      <c r="AR708" s="3"/>
      <c r="AS708" s="3"/>
      <c r="AT708" s="3"/>
      <c r="AU708" s="3"/>
      <c r="AV708" s="3"/>
      <c r="AW708" s="3"/>
      <c r="AX708" s="3"/>
      <c r="AY708" s="3"/>
      <c r="AZ708" s="3"/>
    </row>
    <row r="709" spans="1:52" ht="18" customHeight="1" x14ac:dyDescent="0.2">
      <c r="A709" s="3" t="str">
        <f t="shared" si="11"/>
        <v xml:space="preserve">                                                  </v>
      </c>
      <c r="B709" s="20" t="s">
        <v>174</v>
      </c>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c r="AC709" s="3"/>
      <c r="AD709" s="3"/>
      <c r="AE709" s="3"/>
      <c r="AF709" s="3"/>
      <c r="AG709" s="3"/>
      <c r="AH709" s="3"/>
      <c r="AI709" s="3"/>
      <c r="AJ709" s="3"/>
      <c r="AK709" s="3"/>
      <c r="AL709" s="3"/>
      <c r="AM709" s="3"/>
      <c r="AN709" s="3"/>
      <c r="AO709" s="3"/>
      <c r="AP709" s="3"/>
      <c r="AQ709" s="3"/>
      <c r="AR709" s="3"/>
      <c r="AS709" s="3"/>
      <c r="AT709" s="3"/>
      <c r="AU709" s="3"/>
      <c r="AV709" s="3"/>
      <c r="AW709" s="3"/>
      <c r="AX709" s="3"/>
      <c r="AY709" s="3"/>
      <c r="AZ709" s="3"/>
    </row>
    <row r="710" spans="1:52" ht="18" customHeight="1" x14ac:dyDescent="0.2">
      <c r="A710" s="3" t="str">
        <f t="shared" si="11"/>
        <v xml:space="preserve">                                                  </v>
      </c>
      <c r="B710" s="20" t="s">
        <v>174</v>
      </c>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c r="AC710" s="3"/>
      <c r="AD710" s="3"/>
      <c r="AE710" s="3"/>
      <c r="AF710" s="3"/>
      <c r="AG710" s="3"/>
      <c r="AH710" s="3"/>
      <c r="AI710" s="3"/>
      <c r="AJ710" s="3"/>
      <c r="AK710" s="3"/>
      <c r="AL710" s="3"/>
      <c r="AM710" s="3"/>
      <c r="AN710" s="3"/>
      <c r="AO710" s="3"/>
      <c r="AP710" s="3"/>
      <c r="AQ710" s="3"/>
      <c r="AR710" s="3"/>
      <c r="AS710" s="3"/>
      <c r="AT710" s="3"/>
      <c r="AU710" s="3"/>
      <c r="AV710" s="3"/>
      <c r="AW710" s="3"/>
      <c r="AX710" s="3"/>
      <c r="AY710" s="3"/>
      <c r="AZ710" s="3"/>
    </row>
    <row r="711" spans="1:52" ht="18" customHeight="1" x14ac:dyDescent="0.2">
      <c r="A711" s="3" t="str">
        <f t="shared" si="11"/>
        <v xml:space="preserve">                                                  </v>
      </c>
      <c r="B711" s="20" t="s">
        <v>174</v>
      </c>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c r="AC711" s="3"/>
      <c r="AD711" s="3"/>
      <c r="AE711" s="3"/>
      <c r="AF711" s="3"/>
      <c r="AG711" s="3"/>
      <c r="AH711" s="3"/>
      <c r="AI711" s="3"/>
      <c r="AJ711" s="3"/>
      <c r="AK711" s="3"/>
      <c r="AL711" s="3"/>
      <c r="AM711" s="3"/>
      <c r="AN711" s="3"/>
      <c r="AO711" s="3"/>
      <c r="AP711" s="3"/>
      <c r="AQ711" s="3"/>
      <c r="AR711" s="3"/>
      <c r="AS711" s="3"/>
      <c r="AT711" s="3"/>
      <c r="AU711" s="3"/>
      <c r="AV711" s="3"/>
      <c r="AW711" s="3"/>
      <c r="AX711" s="3"/>
      <c r="AY711" s="3"/>
      <c r="AZ711" s="3"/>
    </row>
    <row r="712" spans="1:52" ht="18" customHeight="1" x14ac:dyDescent="0.2">
      <c r="A712" s="3" t="str">
        <f t="shared" si="11"/>
        <v xml:space="preserve">                                                  </v>
      </c>
      <c r="B712" s="20" t="s">
        <v>174</v>
      </c>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c r="AC712" s="3"/>
      <c r="AD712" s="3"/>
      <c r="AE712" s="3"/>
      <c r="AF712" s="3"/>
      <c r="AG712" s="3"/>
      <c r="AH712" s="3"/>
      <c r="AI712" s="3"/>
      <c r="AJ712" s="3"/>
      <c r="AK712" s="3"/>
      <c r="AL712" s="3"/>
      <c r="AM712" s="3"/>
      <c r="AN712" s="3"/>
      <c r="AO712" s="3"/>
      <c r="AP712" s="3"/>
      <c r="AQ712" s="3"/>
      <c r="AR712" s="3"/>
      <c r="AS712" s="3"/>
      <c r="AT712" s="3"/>
      <c r="AU712" s="3"/>
      <c r="AV712" s="3"/>
      <c r="AW712" s="3"/>
      <c r="AX712" s="3"/>
      <c r="AY712" s="3"/>
      <c r="AZ712" s="3"/>
    </row>
    <row r="713" spans="1:52" ht="18" customHeight="1" x14ac:dyDescent="0.2">
      <c r="A713" s="3" t="str">
        <f t="shared" si="11"/>
        <v xml:space="preserve">                                                  </v>
      </c>
      <c r="B713" s="20" t="s">
        <v>174</v>
      </c>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c r="AC713" s="3"/>
      <c r="AD713" s="3"/>
      <c r="AE713" s="3"/>
      <c r="AF713" s="3"/>
      <c r="AG713" s="3"/>
      <c r="AH713" s="3"/>
      <c r="AI713" s="3"/>
      <c r="AJ713" s="3"/>
      <c r="AK713" s="3"/>
      <c r="AL713" s="3"/>
      <c r="AM713" s="3"/>
      <c r="AN713" s="3"/>
      <c r="AO713" s="3"/>
      <c r="AP713" s="3"/>
      <c r="AQ713" s="3"/>
      <c r="AR713" s="3"/>
      <c r="AS713" s="3"/>
      <c r="AT713" s="3"/>
      <c r="AU713" s="3"/>
      <c r="AV713" s="3"/>
      <c r="AW713" s="3"/>
      <c r="AX713" s="3"/>
      <c r="AY713" s="3"/>
      <c r="AZ713" s="3"/>
    </row>
    <row r="714" spans="1:52" ht="18" customHeight="1" x14ac:dyDescent="0.2">
      <c r="A714" s="3" t="str">
        <f t="shared" si="11"/>
        <v xml:space="preserve">                                                  </v>
      </c>
      <c r="B714" s="20" t="s">
        <v>174</v>
      </c>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c r="AJ714" s="3"/>
      <c r="AK714" s="3"/>
      <c r="AL714" s="3"/>
      <c r="AM714" s="3"/>
      <c r="AN714" s="3"/>
      <c r="AO714" s="3"/>
      <c r="AP714" s="3"/>
      <c r="AQ714" s="3"/>
      <c r="AR714" s="3"/>
      <c r="AS714" s="3"/>
      <c r="AT714" s="3"/>
      <c r="AU714" s="3"/>
      <c r="AV714" s="3"/>
      <c r="AW714" s="3"/>
      <c r="AX714" s="3"/>
      <c r="AY714" s="3"/>
      <c r="AZ714" s="3"/>
    </row>
    <row r="715" spans="1:52" ht="18" customHeight="1" x14ac:dyDescent="0.2">
      <c r="A715" s="3" t="str">
        <f t="shared" si="11"/>
        <v xml:space="preserve">                                                  </v>
      </c>
      <c r="B715" s="20" t="s">
        <v>174</v>
      </c>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c r="AJ715" s="3"/>
      <c r="AK715" s="3"/>
      <c r="AL715" s="3"/>
      <c r="AM715" s="3"/>
      <c r="AN715" s="3"/>
      <c r="AO715" s="3"/>
      <c r="AP715" s="3"/>
      <c r="AQ715" s="3"/>
      <c r="AR715" s="3"/>
      <c r="AS715" s="3"/>
      <c r="AT715" s="3"/>
      <c r="AU715" s="3"/>
      <c r="AV715" s="3"/>
      <c r="AW715" s="3"/>
      <c r="AX715" s="3"/>
      <c r="AY715" s="3"/>
      <c r="AZ715" s="3"/>
    </row>
    <row r="716" spans="1:52" ht="18" customHeight="1" x14ac:dyDescent="0.2">
      <c r="A716" s="3" t="str">
        <f t="shared" si="11"/>
        <v xml:space="preserve">                                                  </v>
      </c>
      <c r="B716" s="20" t="s">
        <v>174</v>
      </c>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c r="AC716" s="3"/>
      <c r="AD716" s="3"/>
      <c r="AE716" s="3"/>
      <c r="AF716" s="3"/>
      <c r="AG716" s="3"/>
      <c r="AH716" s="3"/>
      <c r="AI716" s="3"/>
      <c r="AJ716" s="3"/>
      <c r="AK716" s="3"/>
      <c r="AL716" s="3"/>
      <c r="AM716" s="3"/>
      <c r="AN716" s="3"/>
      <c r="AO716" s="3"/>
      <c r="AP716" s="3"/>
      <c r="AQ716" s="3"/>
      <c r="AR716" s="3"/>
      <c r="AS716" s="3"/>
      <c r="AT716" s="3"/>
      <c r="AU716" s="3"/>
      <c r="AV716" s="3"/>
      <c r="AW716" s="3"/>
      <c r="AX716" s="3"/>
      <c r="AY716" s="3"/>
      <c r="AZ716" s="3"/>
    </row>
    <row r="717" spans="1:52" ht="18" customHeight="1" x14ac:dyDescent="0.2">
      <c r="A717" s="3" t="str">
        <f t="shared" si="11"/>
        <v xml:space="preserve">                                                  </v>
      </c>
      <c r="B717" s="20" t="s">
        <v>174</v>
      </c>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c r="AC717" s="3"/>
      <c r="AD717" s="3"/>
      <c r="AE717" s="3"/>
      <c r="AF717" s="3"/>
      <c r="AG717" s="3"/>
      <c r="AH717" s="3"/>
      <c r="AI717" s="3"/>
      <c r="AJ717" s="3"/>
      <c r="AK717" s="3"/>
      <c r="AL717" s="3"/>
      <c r="AM717" s="3"/>
      <c r="AN717" s="3"/>
      <c r="AO717" s="3"/>
      <c r="AP717" s="3"/>
      <c r="AQ717" s="3"/>
      <c r="AR717" s="3"/>
      <c r="AS717" s="3"/>
      <c r="AT717" s="3"/>
      <c r="AU717" s="3"/>
      <c r="AV717" s="3"/>
      <c r="AW717" s="3"/>
      <c r="AX717" s="3"/>
      <c r="AY717" s="3"/>
      <c r="AZ717" s="3"/>
    </row>
    <row r="718" spans="1:52" ht="18" customHeight="1" x14ac:dyDescent="0.2">
      <c r="A718" s="3" t="str">
        <f t="shared" si="11"/>
        <v xml:space="preserve">                                                  </v>
      </c>
      <c r="B718" s="20" t="s">
        <v>174</v>
      </c>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c r="AC718" s="3"/>
      <c r="AD718" s="3"/>
      <c r="AE718" s="3"/>
      <c r="AF718" s="3"/>
      <c r="AG718" s="3"/>
      <c r="AH718" s="3"/>
      <c r="AI718" s="3"/>
      <c r="AJ718" s="3"/>
      <c r="AK718" s="3"/>
      <c r="AL718" s="3"/>
      <c r="AM718" s="3"/>
      <c r="AN718" s="3"/>
      <c r="AO718" s="3"/>
      <c r="AP718" s="3"/>
      <c r="AQ718" s="3"/>
      <c r="AR718" s="3"/>
      <c r="AS718" s="3"/>
      <c r="AT718" s="3"/>
      <c r="AU718" s="3"/>
      <c r="AV718" s="3"/>
      <c r="AW718" s="3"/>
      <c r="AX718" s="3"/>
      <c r="AY718" s="3"/>
      <c r="AZ718" s="3"/>
    </row>
    <row r="719" spans="1:52" ht="18" customHeight="1" x14ac:dyDescent="0.2">
      <c r="A719" s="3" t="str">
        <f t="shared" si="11"/>
        <v xml:space="preserve">                                                  </v>
      </c>
      <c r="B719" s="20" t="s">
        <v>174</v>
      </c>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c r="AC719" s="3"/>
      <c r="AD719" s="3"/>
      <c r="AE719" s="3"/>
      <c r="AF719" s="3"/>
      <c r="AG719" s="3"/>
      <c r="AH719" s="3"/>
      <c r="AI719" s="3"/>
      <c r="AJ719" s="3"/>
      <c r="AK719" s="3"/>
      <c r="AL719" s="3"/>
      <c r="AM719" s="3"/>
      <c r="AN719" s="3"/>
      <c r="AO719" s="3"/>
      <c r="AP719" s="3"/>
      <c r="AQ719" s="3"/>
      <c r="AR719" s="3"/>
      <c r="AS719" s="3"/>
      <c r="AT719" s="3"/>
      <c r="AU719" s="3"/>
      <c r="AV719" s="3"/>
      <c r="AW719" s="3"/>
      <c r="AX719" s="3"/>
      <c r="AY719" s="3"/>
      <c r="AZ719" s="3"/>
    </row>
    <row r="720" spans="1:52" ht="18" customHeight="1" x14ac:dyDescent="0.2">
      <c r="A720" s="3" t="str">
        <f t="shared" si="11"/>
        <v xml:space="preserve">                                                  </v>
      </c>
      <c r="B720" s="20" t="s">
        <v>174</v>
      </c>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c r="AC720" s="3"/>
      <c r="AD720" s="3"/>
      <c r="AE720" s="3"/>
      <c r="AF720" s="3"/>
      <c r="AG720" s="3"/>
      <c r="AH720" s="3"/>
      <c r="AI720" s="3"/>
      <c r="AJ720" s="3"/>
      <c r="AK720" s="3"/>
      <c r="AL720" s="3"/>
      <c r="AM720" s="3"/>
      <c r="AN720" s="3"/>
      <c r="AO720" s="3"/>
      <c r="AP720" s="3"/>
      <c r="AQ720" s="3"/>
      <c r="AR720" s="3"/>
      <c r="AS720" s="3"/>
      <c r="AT720" s="3"/>
      <c r="AU720" s="3"/>
      <c r="AV720" s="3"/>
      <c r="AW720" s="3"/>
      <c r="AX720" s="3"/>
      <c r="AY720" s="3"/>
      <c r="AZ720" s="3"/>
    </row>
    <row r="721" spans="1:52" ht="18" customHeight="1" x14ac:dyDescent="0.2">
      <c r="A721" s="3" t="str">
        <f t="shared" si="11"/>
        <v xml:space="preserve">                                                  </v>
      </c>
      <c r="B721" s="20" t="s">
        <v>174</v>
      </c>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c r="AJ721" s="3"/>
      <c r="AK721" s="3"/>
      <c r="AL721" s="3"/>
      <c r="AM721" s="3"/>
      <c r="AN721" s="3"/>
      <c r="AO721" s="3"/>
      <c r="AP721" s="3"/>
      <c r="AQ721" s="3"/>
      <c r="AR721" s="3"/>
      <c r="AS721" s="3"/>
      <c r="AT721" s="3"/>
      <c r="AU721" s="3"/>
      <c r="AV721" s="3"/>
      <c r="AW721" s="3"/>
      <c r="AX721" s="3"/>
      <c r="AY721" s="3"/>
      <c r="AZ721" s="3"/>
    </row>
    <row r="722" spans="1:52" ht="18" customHeight="1" x14ac:dyDescent="0.2">
      <c r="A722" s="3" t="str">
        <f t="shared" si="11"/>
        <v xml:space="preserve">                                                  </v>
      </c>
      <c r="B722" s="20" t="s">
        <v>174</v>
      </c>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c r="AC722" s="3"/>
      <c r="AD722" s="3"/>
      <c r="AE722" s="3"/>
      <c r="AF722" s="3"/>
      <c r="AG722" s="3"/>
      <c r="AH722" s="3"/>
      <c r="AI722" s="3"/>
      <c r="AJ722" s="3"/>
      <c r="AK722" s="3"/>
      <c r="AL722" s="3"/>
      <c r="AM722" s="3"/>
      <c r="AN722" s="3"/>
      <c r="AO722" s="3"/>
      <c r="AP722" s="3"/>
      <c r="AQ722" s="3"/>
      <c r="AR722" s="3"/>
      <c r="AS722" s="3"/>
      <c r="AT722" s="3"/>
      <c r="AU722" s="3"/>
      <c r="AV722" s="3"/>
      <c r="AW722" s="3"/>
      <c r="AX722" s="3"/>
      <c r="AY722" s="3"/>
      <c r="AZ722" s="3"/>
    </row>
    <row r="723" spans="1:52" ht="18" customHeight="1" x14ac:dyDescent="0.2">
      <c r="A723" s="3" t="str">
        <f t="shared" si="11"/>
        <v xml:space="preserve">                                                  </v>
      </c>
      <c r="B723" s="20" t="s">
        <v>174</v>
      </c>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c r="AC723" s="3"/>
      <c r="AD723" s="3"/>
      <c r="AE723" s="3"/>
      <c r="AF723" s="3"/>
      <c r="AG723" s="3"/>
      <c r="AH723" s="3"/>
      <c r="AI723" s="3"/>
      <c r="AJ723" s="3"/>
      <c r="AK723" s="3"/>
      <c r="AL723" s="3"/>
      <c r="AM723" s="3"/>
      <c r="AN723" s="3"/>
      <c r="AO723" s="3"/>
      <c r="AP723" s="3"/>
      <c r="AQ723" s="3"/>
      <c r="AR723" s="3"/>
      <c r="AS723" s="3"/>
      <c r="AT723" s="3"/>
      <c r="AU723" s="3"/>
      <c r="AV723" s="3"/>
      <c r="AW723" s="3"/>
      <c r="AX723" s="3"/>
      <c r="AY723" s="3"/>
      <c r="AZ723" s="3"/>
    </row>
    <row r="724" spans="1:52" ht="18" customHeight="1" x14ac:dyDescent="0.2">
      <c r="A724" s="3" t="str">
        <f t="shared" si="11"/>
        <v xml:space="preserve">                                                  </v>
      </c>
      <c r="B724" s="20" t="s">
        <v>174</v>
      </c>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c r="AJ724" s="3"/>
      <c r="AK724" s="3"/>
      <c r="AL724" s="3"/>
      <c r="AM724" s="3"/>
      <c r="AN724" s="3"/>
      <c r="AO724" s="3"/>
      <c r="AP724" s="3"/>
      <c r="AQ724" s="3"/>
      <c r="AR724" s="3"/>
      <c r="AS724" s="3"/>
      <c r="AT724" s="3"/>
      <c r="AU724" s="3"/>
      <c r="AV724" s="3"/>
      <c r="AW724" s="3"/>
      <c r="AX724" s="3"/>
      <c r="AY724" s="3"/>
      <c r="AZ724" s="3"/>
    </row>
    <row r="725" spans="1:52" ht="18" customHeight="1" x14ac:dyDescent="0.2">
      <c r="A725" s="3" t="str">
        <f t="shared" si="11"/>
        <v xml:space="preserve">                                                  </v>
      </c>
      <c r="B725" s="20" t="s">
        <v>174</v>
      </c>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c r="AC725" s="3"/>
      <c r="AD725" s="3"/>
      <c r="AE725" s="3"/>
      <c r="AF725" s="3"/>
      <c r="AG725" s="3"/>
      <c r="AH725" s="3"/>
      <c r="AI725" s="3"/>
      <c r="AJ725" s="3"/>
      <c r="AK725" s="3"/>
      <c r="AL725" s="3"/>
      <c r="AM725" s="3"/>
      <c r="AN725" s="3"/>
      <c r="AO725" s="3"/>
      <c r="AP725" s="3"/>
      <c r="AQ725" s="3"/>
      <c r="AR725" s="3"/>
      <c r="AS725" s="3"/>
      <c r="AT725" s="3"/>
      <c r="AU725" s="3"/>
      <c r="AV725" s="3"/>
      <c r="AW725" s="3"/>
      <c r="AX725" s="3"/>
      <c r="AY725" s="3"/>
      <c r="AZ725" s="3"/>
    </row>
    <row r="726" spans="1:52" ht="18" customHeight="1" x14ac:dyDescent="0.2">
      <c r="A726" s="3" t="str">
        <f t="shared" si="11"/>
        <v xml:space="preserve">                                                  </v>
      </c>
      <c r="B726" s="20" t="s">
        <v>174</v>
      </c>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c r="AC726" s="3"/>
      <c r="AD726" s="3"/>
      <c r="AE726" s="3"/>
      <c r="AF726" s="3"/>
      <c r="AG726" s="3"/>
      <c r="AH726" s="3"/>
      <c r="AI726" s="3"/>
      <c r="AJ726" s="3"/>
      <c r="AK726" s="3"/>
      <c r="AL726" s="3"/>
      <c r="AM726" s="3"/>
      <c r="AN726" s="3"/>
      <c r="AO726" s="3"/>
      <c r="AP726" s="3"/>
      <c r="AQ726" s="3"/>
      <c r="AR726" s="3"/>
      <c r="AS726" s="3"/>
      <c r="AT726" s="3"/>
      <c r="AU726" s="3"/>
      <c r="AV726" s="3"/>
      <c r="AW726" s="3"/>
      <c r="AX726" s="3"/>
      <c r="AY726" s="3"/>
      <c r="AZ726" s="3"/>
    </row>
    <row r="727" spans="1:52" ht="18" customHeight="1" x14ac:dyDescent="0.2">
      <c r="A727" s="3" t="str">
        <f t="shared" si="11"/>
        <v xml:space="preserve">                                                  </v>
      </c>
      <c r="B727" s="20" t="s">
        <v>174</v>
      </c>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c r="AC727" s="3"/>
      <c r="AD727" s="3"/>
      <c r="AE727" s="3"/>
      <c r="AF727" s="3"/>
      <c r="AG727" s="3"/>
      <c r="AH727" s="3"/>
      <c r="AI727" s="3"/>
      <c r="AJ727" s="3"/>
      <c r="AK727" s="3"/>
      <c r="AL727" s="3"/>
      <c r="AM727" s="3"/>
      <c r="AN727" s="3"/>
      <c r="AO727" s="3"/>
      <c r="AP727" s="3"/>
      <c r="AQ727" s="3"/>
      <c r="AR727" s="3"/>
      <c r="AS727" s="3"/>
      <c r="AT727" s="3"/>
      <c r="AU727" s="3"/>
      <c r="AV727" s="3"/>
      <c r="AW727" s="3"/>
      <c r="AX727" s="3"/>
      <c r="AY727" s="3"/>
      <c r="AZ727" s="3"/>
    </row>
    <row r="728" spans="1:52" ht="18" customHeight="1" x14ac:dyDescent="0.2">
      <c r="A728" s="3" t="str">
        <f t="shared" si="11"/>
        <v xml:space="preserve">                                                  </v>
      </c>
      <c r="B728" s="20" t="s">
        <v>174</v>
      </c>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c r="AC728" s="3"/>
      <c r="AD728" s="3"/>
      <c r="AE728" s="3"/>
      <c r="AF728" s="3"/>
      <c r="AG728" s="3"/>
      <c r="AH728" s="3"/>
      <c r="AI728" s="3"/>
      <c r="AJ728" s="3"/>
      <c r="AK728" s="3"/>
      <c r="AL728" s="3"/>
      <c r="AM728" s="3"/>
      <c r="AN728" s="3"/>
      <c r="AO728" s="3"/>
      <c r="AP728" s="3"/>
      <c r="AQ728" s="3"/>
      <c r="AR728" s="3"/>
      <c r="AS728" s="3"/>
      <c r="AT728" s="3"/>
      <c r="AU728" s="3"/>
      <c r="AV728" s="3"/>
      <c r="AW728" s="3"/>
      <c r="AX728" s="3"/>
      <c r="AY728" s="3"/>
      <c r="AZ728" s="3"/>
    </row>
    <row r="729" spans="1:52" ht="18" customHeight="1" x14ac:dyDescent="0.2">
      <c r="A729" s="3" t="str">
        <f t="shared" si="11"/>
        <v xml:space="preserve">                                                  </v>
      </c>
      <c r="B729" s="20" t="s">
        <v>174</v>
      </c>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c r="AC729" s="3"/>
      <c r="AD729" s="3"/>
      <c r="AE729" s="3"/>
      <c r="AF729" s="3"/>
      <c r="AG729" s="3"/>
      <c r="AH729" s="3"/>
      <c r="AI729" s="3"/>
      <c r="AJ729" s="3"/>
      <c r="AK729" s="3"/>
      <c r="AL729" s="3"/>
      <c r="AM729" s="3"/>
      <c r="AN729" s="3"/>
      <c r="AO729" s="3"/>
      <c r="AP729" s="3"/>
      <c r="AQ729" s="3"/>
      <c r="AR729" s="3"/>
      <c r="AS729" s="3"/>
      <c r="AT729" s="3"/>
      <c r="AU729" s="3"/>
      <c r="AV729" s="3"/>
      <c r="AW729" s="3"/>
      <c r="AX729" s="3"/>
      <c r="AY729" s="3"/>
      <c r="AZ729" s="3"/>
    </row>
    <row r="730" spans="1:52" ht="18" customHeight="1" x14ac:dyDescent="0.2">
      <c r="A730" s="3" t="str">
        <f t="shared" si="11"/>
        <v xml:space="preserve">                                                  </v>
      </c>
      <c r="B730" s="20" t="s">
        <v>174</v>
      </c>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c r="AC730" s="3"/>
      <c r="AD730" s="3"/>
      <c r="AE730" s="3"/>
      <c r="AF730" s="3"/>
      <c r="AG730" s="3"/>
      <c r="AH730" s="3"/>
      <c r="AI730" s="3"/>
      <c r="AJ730" s="3"/>
      <c r="AK730" s="3"/>
      <c r="AL730" s="3"/>
      <c r="AM730" s="3"/>
      <c r="AN730" s="3"/>
      <c r="AO730" s="3"/>
      <c r="AP730" s="3"/>
      <c r="AQ730" s="3"/>
      <c r="AR730" s="3"/>
      <c r="AS730" s="3"/>
      <c r="AT730" s="3"/>
      <c r="AU730" s="3"/>
      <c r="AV730" s="3"/>
      <c r="AW730" s="3"/>
      <c r="AX730" s="3"/>
      <c r="AY730" s="3"/>
      <c r="AZ730" s="3"/>
    </row>
    <row r="731" spans="1:52" ht="18" customHeight="1" x14ac:dyDescent="0.2">
      <c r="A731" s="3" t="str">
        <f t="shared" si="11"/>
        <v xml:space="preserve">                                                  </v>
      </c>
      <c r="B731" s="20" t="s">
        <v>174</v>
      </c>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c r="AC731" s="3"/>
      <c r="AD731" s="3"/>
      <c r="AE731" s="3"/>
      <c r="AF731" s="3"/>
      <c r="AG731" s="3"/>
      <c r="AH731" s="3"/>
      <c r="AI731" s="3"/>
      <c r="AJ731" s="3"/>
      <c r="AK731" s="3"/>
      <c r="AL731" s="3"/>
      <c r="AM731" s="3"/>
      <c r="AN731" s="3"/>
      <c r="AO731" s="3"/>
      <c r="AP731" s="3"/>
      <c r="AQ731" s="3"/>
      <c r="AR731" s="3"/>
      <c r="AS731" s="3"/>
      <c r="AT731" s="3"/>
      <c r="AU731" s="3"/>
      <c r="AV731" s="3"/>
      <c r="AW731" s="3"/>
      <c r="AX731" s="3"/>
      <c r="AY731" s="3"/>
      <c r="AZ731" s="3"/>
    </row>
    <row r="732" spans="1:52" ht="18" customHeight="1" x14ac:dyDescent="0.2">
      <c r="A732" s="3" t="str">
        <f t="shared" si="11"/>
        <v xml:space="preserve">                                                  </v>
      </c>
      <c r="B732" s="20" t="s">
        <v>174</v>
      </c>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c r="AC732" s="3"/>
      <c r="AD732" s="3"/>
      <c r="AE732" s="3"/>
      <c r="AF732" s="3"/>
      <c r="AG732" s="3"/>
      <c r="AH732" s="3"/>
      <c r="AI732" s="3"/>
      <c r="AJ732" s="3"/>
      <c r="AK732" s="3"/>
      <c r="AL732" s="3"/>
      <c r="AM732" s="3"/>
      <c r="AN732" s="3"/>
      <c r="AO732" s="3"/>
      <c r="AP732" s="3"/>
      <c r="AQ732" s="3"/>
      <c r="AR732" s="3"/>
      <c r="AS732" s="3"/>
      <c r="AT732" s="3"/>
      <c r="AU732" s="3"/>
      <c r="AV732" s="3"/>
      <c r="AW732" s="3"/>
      <c r="AX732" s="3"/>
      <c r="AY732" s="3"/>
      <c r="AZ732" s="3"/>
    </row>
    <row r="733" spans="1:52" ht="18" customHeight="1" x14ac:dyDescent="0.2">
      <c r="A733" s="3" t="str">
        <f t="shared" si="11"/>
        <v xml:space="preserve">                                                  </v>
      </c>
      <c r="B733" s="20" t="s">
        <v>174</v>
      </c>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c r="AC733" s="3"/>
      <c r="AD733" s="3"/>
      <c r="AE733" s="3"/>
      <c r="AF733" s="3"/>
      <c r="AG733" s="3"/>
      <c r="AH733" s="3"/>
      <c r="AI733" s="3"/>
      <c r="AJ733" s="3"/>
      <c r="AK733" s="3"/>
      <c r="AL733" s="3"/>
      <c r="AM733" s="3"/>
      <c r="AN733" s="3"/>
      <c r="AO733" s="3"/>
      <c r="AP733" s="3"/>
      <c r="AQ733" s="3"/>
      <c r="AR733" s="3"/>
      <c r="AS733" s="3"/>
      <c r="AT733" s="3"/>
      <c r="AU733" s="3"/>
      <c r="AV733" s="3"/>
      <c r="AW733" s="3"/>
      <c r="AX733" s="3"/>
      <c r="AY733" s="3"/>
      <c r="AZ733" s="3"/>
    </row>
    <row r="734" spans="1:52" ht="18" customHeight="1" x14ac:dyDescent="0.2">
      <c r="A734" s="3" t="str">
        <f t="shared" si="11"/>
        <v xml:space="preserve">                                                  </v>
      </c>
      <c r="B734" s="20" t="s">
        <v>174</v>
      </c>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c r="AC734" s="3"/>
      <c r="AD734" s="3"/>
      <c r="AE734" s="3"/>
      <c r="AF734" s="3"/>
      <c r="AG734" s="3"/>
      <c r="AH734" s="3"/>
      <c r="AI734" s="3"/>
      <c r="AJ734" s="3"/>
      <c r="AK734" s="3"/>
      <c r="AL734" s="3"/>
      <c r="AM734" s="3"/>
      <c r="AN734" s="3"/>
      <c r="AO734" s="3"/>
      <c r="AP734" s="3"/>
      <c r="AQ734" s="3"/>
      <c r="AR734" s="3"/>
      <c r="AS734" s="3"/>
      <c r="AT734" s="3"/>
      <c r="AU734" s="3"/>
      <c r="AV734" s="3"/>
      <c r="AW734" s="3"/>
      <c r="AX734" s="3"/>
      <c r="AY734" s="3"/>
      <c r="AZ734" s="3"/>
    </row>
    <row r="735" spans="1:52" ht="18" customHeight="1" x14ac:dyDescent="0.2">
      <c r="A735" s="3" t="str">
        <f t="shared" si="11"/>
        <v xml:space="preserve">                                                  </v>
      </c>
      <c r="B735" s="20" t="s">
        <v>174</v>
      </c>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c r="AC735" s="3"/>
      <c r="AD735" s="3"/>
      <c r="AE735" s="3"/>
      <c r="AF735" s="3"/>
      <c r="AG735" s="3"/>
      <c r="AH735" s="3"/>
      <c r="AI735" s="3"/>
      <c r="AJ735" s="3"/>
      <c r="AK735" s="3"/>
      <c r="AL735" s="3"/>
      <c r="AM735" s="3"/>
      <c r="AN735" s="3"/>
      <c r="AO735" s="3"/>
      <c r="AP735" s="3"/>
      <c r="AQ735" s="3"/>
      <c r="AR735" s="3"/>
      <c r="AS735" s="3"/>
      <c r="AT735" s="3"/>
      <c r="AU735" s="3"/>
      <c r="AV735" s="3"/>
      <c r="AW735" s="3"/>
      <c r="AX735" s="3"/>
      <c r="AY735" s="3"/>
      <c r="AZ735" s="3"/>
    </row>
    <row r="736" spans="1:52" ht="18" customHeight="1" x14ac:dyDescent="0.2">
      <c r="A736" s="3" t="str">
        <f t="shared" si="11"/>
        <v xml:space="preserve">                                                  </v>
      </c>
      <c r="B736" s="20" t="s">
        <v>174</v>
      </c>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c r="AC736" s="3"/>
      <c r="AD736" s="3"/>
      <c r="AE736" s="3"/>
      <c r="AF736" s="3"/>
      <c r="AG736" s="3"/>
      <c r="AH736" s="3"/>
      <c r="AI736" s="3"/>
      <c r="AJ736" s="3"/>
      <c r="AK736" s="3"/>
      <c r="AL736" s="3"/>
      <c r="AM736" s="3"/>
      <c r="AN736" s="3"/>
      <c r="AO736" s="3"/>
      <c r="AP736" s="3"/>
      <c r="AQ736" s="3"/>
      <c r="AR736" s="3"/>
      <c r="AS736" s="3"/>
      <c r="AT736" s="3"/>
      <c r="AU736" s="3"/>
      <c r="AV736" s="3"/>
      <c r="AW736" s="3"/>
      <c r="AX736" s="3"/>
      <c r="AY736" s="3"/>
      <c r="AZ736" s="3"/>
    </row>
    <row r="737" spans="1:52" ht="18" customHeight="1" x14ac:dyDescent="0.2">
      <c r="A737" s="3" t="str">
        <f t="shared" si="11"/>
        <v xml:space="preserve">                                                  </v>
      </c>
      <c r="B737" s="20" t="s">
        <v>174</v>
      </c>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c r="AC737" s="3"/>
      <c r="AD737" s="3"/>
      <c r="AE737" s="3"/>
      <c r="AF737" s="3"/>
      <c r="AG737" s="3"/>
      <c r="AH737" s="3"/>
      <c r="AI737" s="3"/>
      <c r="AJ737" s="3"/>
      <c r="AK737" s="3"/>
      <c r="AL737" s="3"/>
      <c r="AM737" s="3"/>
      <c r="AN737" s="3"/>
      <c r="AO737" s="3"/>
      <c r="AP737" s="3"/>
      <c r="AQ737" s="3"/>
      <c r="AR737" s="3"/>
      <c r="AS737" s="3"/>
      <c r="AT737" s="3"/>
      <c r="AU737" s="3"/>
      <c r="AV737" s="3"/>
      <c r="AW737" s="3"/>
      <c r="AX737" s="3"/>
      <c r="AY737" s="3"/>
      <c r="AZ737" s="3"/>
    </row>
    <row r="738" spans="1:52" ht="18" customHeight="1" x14ac:dyDescent="0.2">
      <c r="A738" s="3" t="str">
        <f t="shared" si="11"/>
        <v xml:space="preserve">                                                  </v>
      </c>
      <c r="B738" s="20" t="s">
        <v>174</v>
      </c>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c r="AC738" s="3"/>
      <c r="AD738" s="3"/>
      <c r="AE738" s="3"/>
      <c r="AF738" s="3"/>
      <c r="AG738" s="3"/>
      <c r="AH738" s="3"/>
      <c r="AI738" s="3"/>
      <c r="AJ738" s="3"/>
      <c r="AK738" s="3"/>
      <c r="AL738" s="3"/>
      <c r="AM738" s="3"/>
      <c r="AN738" s="3"/>
      <c r="AO738" s="3"/>
      <c r="AP738" s="3"/>
      <c r="AQ738" s="3"/>
      <c r="AR738" s="3"/>
      <c r="AS738" s="3"/>
      <c r="AT738" s="3"/>
      <c r="AU738" s="3"/>
      <c r="AV738" s="3"/>
      <c r="AW738" s="3"/>
      <c r="AX738" s="3"/>
      <c r="AY738" s="3"/>
      <c r="AZ738" s="3"/>
    </row>
    <row r="739" spans="1:52" ht="18" customHeight="1" x14ac:dyDescent="0.2">
      <c r="A739" s="3" t="str">
        <f t="shared" si="11"/>
        <v xml:space="preserve">                                                  </v>
      </c>
      <c r="B739" s="20" t="s">
        <v>174</v>
      </c>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c r="AE739" s="3"/>
      <c r="AF739" s="3"/>
      <c r="AG739" s="3"/>
      <c r="AH739" s="3"/>
      <c r="AI739" s="3"/>
      <c r="AJ739" s="3"/>
      <c r="AK739" s="3"/>
      <c r="AL739" s="3"/>
      <c r="AM739" s="3"/>
      <c r="AN739" s="3"/>
      <c r="AO739" s="3"/>
      <c r="AP739" s="3"/>
      <c r="AQ739" s="3"/>
      <c r="AR739" s="3"/>
      <c r="AS739" s="3"/>
      <c r="AT739" s="3"/>
      <c r="AU739" s="3"/>
      <c r="AV739" s="3"/>
      <c r="AW739" s="3"/>
      <c r="AX739" s="3"/>
      <c r="AY739" s="3"/>
      <c r="AZ739" s="3"/>
    </row>
    <row r="740" spans="1:52" ht="18" customHeight="1" x14ac:dyDescent="0.2">
      <c r="A740" s="3" t="str">
        <f t="shared" si="11"/>
        <v xml:space="preserve">                                                  </v>
      </c>
      <c r="B740" s="20" t="s">
        <v>174</v>
      </c>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c r="AC740" s="3"/>
      <c r="AD740" s="3"/>
      <c r="AE740" s="3"/>
      <c r="AF740" s="3"/>
      <c r="AG740" s="3"/>
      <c r="AH740" s="3"/>
      <c r="AI740" s="3"/>
      <c r="AJ740" s="3"/>
      <c r="AK740" s="3"/>
      <c r="AL740" s="3"/>
      <c r="AM740" s="3"/>
      <c r="AN740" s="3"/>
      <c r="AO740" s="3"/>
      <c r="AP740" s="3"/>
      <c r="AQ740" s="3"/>
      <c r="AR740" s="3"/>
      <c r="AS740" s="3"/>
      <c r="AT740" s="3"/>
      <c r="AU740" s="3"/>
      <c r="AV740" s="3"/>
      <c r="AW740" s="3"/>
      <c r="AX740" s="3"/>
      <c r="AY740" s="3"/>
      <c r="AZ740" s="3"/>
    </row>
    <row r="741" spans="1:52" ht="18" customHeight="1" x14ac:dyDescent="0.2">
      <c r="A741" s="3" t="str">
        <f t="shared" si="11"/>
        <v xml:space="preserve">                                                  </v>
      </c>
      <c r="B741" s="20" t="s">
        <v>174</v>
      </c>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c r="AC741" s="3"/>
      <c r="AD741" s="3"/>
      <c r="AE741" s="3"/>
      <c r="AF741" s="3"/>
      <c r="AG741" s="3"/>
      <c r="AH741" s="3"/>
      <c r="AI741" s="3"/>
      <c r="AJ741" s="3"/>
      <c r="AK741" s="3"/>
      <c r="AL741" s="3"/>
      <c r="AM741" s="3"/>
      <c r="AN741" s="3"/>
      <c r="AO741" s="3"/>
      <c r="AP741" s="3"/>
      <c r="AQ741" s="3"/>
      <c r="AR741" s="3"/>
      <c r="AS741" s="3"/>
      <c r="AT741" s="3"/>
      <c r="AU741" s="3"/>
      <c r="AV741" s="3"/>
      <c r="AW741" s="3"/>
      <c r="AX741" s="3"/>
      <c r="AY741" s="3"/>
      <c r="AZ741" s="3"/>
    </row>
    <row r="742" spans="1:52" ht="18" customHeight="1" x14ac:dyDescent="0.2">
      <c r="A742" s="3" t="str">
        <f t="shared" si="11"/>
        <v xml:space="preserve">                                                  </v>
      </c>
      <c r="B742" s="20" t="s">
        <v>174</v>
      </c>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c r="AC742" s="3"/>
      <c r="AD742" s="3"/>
      <c r="AE742" s="3"/>
      <c r="AF742" s="3"/>
      <c r="AG742" s="3"/>
      <c r="AH742" s="3"/>
      <c r="AI742" s="3"/>
      <c r="AJ742" s="3"/>
      <c r="AK742" s="3"/>
      <c r="AL742" s="3"/>
      <c r="AM742" s="3"/>
      <c r="AN742" s="3"/>
      <c r="AO742" s="3"/>
      <c r="AP742" s="3"/>
      <c r="AQ742" s="3"/>
      <c r="AR742" s="3"/>
      <c r="AS742" s="3"/>
      <c r="AT742" s="3"/>
      <c r="AU742" s="3"/>
      <c r="AV742" s="3"/>
      <c r="AW742" s="3"/>
      <c r="AX742" s="3"/>
      <c r="AY742" s="3"/>
      <c r="AZ742" s="3"/>
    </row>
    <row r="743" spans="1:52" ht="18" customHeight="1" x14ac:dyDescent="0.2">
      <c r="A743" s="3" t="str">
        <f t="shared" si="11"/>
        <v xml:space="preserve">                                                  </v>
      </c>
      <c r="B743" s="20" t="s">
        <v>174</v>
      </c>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c r="AC743" s="3"/>
      <c r="AD743" s="3"/>
      <c r="AE743" s="3"/>
      <c r="AF743" s="3"/>
      <c r="AG743" s="3"/>
      <c r="AH743" s="3"/>
      <c r="AI743" s="3"/>
      <c r="AJ743" s="3"/>
      <c r="AK743" s="3"/>
      <c r="AL743" s="3"/>
      <c r="AM743" s="3"/>
      <c r="AN743" s="3"/>
      <c r="AO743" s="3"/>
      <c r="AP743" s="3"/>
      <c r="AQ743" s="3"/>
      <c r="AR743" s="3"/>
      <c r="AS743" s="3"/>
      <c r="AT743" s="3"/>
      <c r="AU743" s="3"/>
      <c r="AV743" s="3"/>
      <c r="AW743" s="3"/>
      <c r="AX743" s="3"/>
      <c r="AY743" s="3"/>
      <c r="AZ743" s="3"/>
    </row>
    <row r="744" spans="1:52" ht="18" customHeight="1" x14ac:dyDescent="0.2">
      <c r="A744" s="3" t="str">
        <f t="shared" si="11"/>
        <v xml:space="preserve">                                                  </v>
      </c>
      <c r="B744" s="20" t="s">
        <v>174</v>
      </c>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c r="AC744" s="3"/>
      <c r="AD744" s="3"/>
      <c r="AE744" s="3"/>
      <c r="AF744" s="3"/>
      <c r="AG744" s="3"/>
      <c r="AH744" s="3"/>
      <c r="AI744" s="3"/>
      <c r="AJ744" s="3"/>
      <c r="AK744" s="3"/>
      <c r="AL744" s="3"/>
      <c r="AM744" s="3"/>
      <c r="AN744" s="3"/>
      <c r="AO744" s="3"/>
      <c r="AP744" s="3"/>
      <c r="AQ744" s="3"/>
      <c r="AR744" s="3"/>
      <c r="AS744" s="3"/>
      <c r="AT744" s="3"/>
      <c r="AU744" s="3"/>
      <c r="AV744" s="3"/>
      <c r="AW744" s="3"/>
      <c r="AX744" s="3"/>
      <c r="AY744" s="3"/>
      <c r="AZ744" s="3"/>
    </row>
    <row r="745" spans="1:52" ht="18" customHeight="1" x14ac:dyDescent="0.2">
      <c r="A745" s="3" t="str">
        <f t="shared" si="11"/>
        <v xml:space="preserve">                                                  </v>
      </c>
      <c r="B745" s="20" t="s">
        <v>174</v>
      </c>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c r="AC745" s="3"/>
      <c r="AD745" s="3"/>
      <c r="AE745" s="3"/>
      <c r="AF745" s="3"/>
      <c r="AG745" s="3"/>
      <c r="AH745" s="3"/>
      <c r="AI745" s="3"/>
      <c r="AJ745" s="3"/>
      <c r="AK745" s="3"/>
      <c r="AL745" s="3"/>
      <c r="AM745" s="3"/>
      <c r="AN745" s="3"/>
      <c r="AO745" s="3"/>
      <c r="AP745" s="3"/>
      <c r="AQ745" s="3"/>
      <c r="AR745" s="3"/>
      <c r="AS745" s="3"/>
      <c r="AT745" s="3"/>
      <c r="AU745" s="3"/>
      <c r="AV745" s="3"/>
      <c r="AW745" s="3"/>
      <c r="AX745" s="3"/>
      <c r="AY745" s="3"/>
      <c r="AZ745" s="3"/>
    </row>
    <row r="746" spans="1:52" ht="18" customHeight="1" x14ac:dyDescent="0.2">
      <c r="A746" s="3" t="str">
        <f t="shared" si="11"/>
        <v xml:space="preserve">                                                  </v>
      </c>
      <c r="B746" s="20" t="s">
        <v>174</v>
      </c>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c r="AC746" s="3"/>
      <c r="AD746" s="3"/>
      <c r="AE746" s="3"/>
      <c r="AF746" s="3"/>
      <c r="AG746" s="3"/>
      <c r="AH746" s="3"/>
      <c r="AI746" s="3"/>
      <c r="AJ746" s="3"/>
      <c r="AK746" s="3"/>
      <c r="AL746" s="3"/>
      <c r="AM746" s="3"/>
      <c r="AN746" s="3"/>
      <c r="AO746" s="3"/>
      <c r="AP746" s="3"/>
      <c r="AQ746" s="3"/>
      <c r="AR746" s="3"/>
      <c r="AS746" s="3"/>
      <c r="AT746" s="3"/>
      <c r="AU746" s="3"/>
      <c r="AV746" s="3"/>
      <c r="AW746" s="3"/>
      <c r="AX746" s="3"/>
      <c r="AY746" s="3"/>
      <c r="AZ746" s="3"/>
    </row>
    <row r="747" spans="1:52" ht="18" customHeight="1" x14ac:dyDescent="0.2">
      <c r="A747" s="3" t="str">
        <f t="shared" si="11"/>
        <v xml:space="preserve">                                                  </v>
      </c>
      <c r="B747" s="20" t="s">
        <v>174</v>
      </c>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c r="AC747" s="3"/>
      <c r="AD747" s="3"/>
      <c r="AE747" s="3"/>
      <c r="AF747" s="3"/>
      <c r="AG747" s="3"/>
      <c r="AH747" s="3"/>
      <c r="AI747" s="3"/>
      <c r="AJ747" s="3"/>
      <c r="AK747" s="3"/>
      <c r="AL747" s="3"/>
      <c r="AM747" s="3"/>
      <c r="AN747" s="3"/>
      <c r="AO747" s="3"/>
      <c r="AP747" s="3"/>
      <c r="AQ747" s="3"/>
      <c r="AR747" s="3"/>
      <c r="AS747" s="3"/>
      <c r="AT747" s="3"/>
      <c r="AU747" s="3"/>
      <c r="AV747" s="3"/>
      <c r="AW747" s="3"/>
      <c r="AX747" s="3"/>
      <c r="AY747" s="3"/>
      <c r="AZ747" s="3"/>
    </row>
    <row r="748" spans="1:52" ht="18" customHeight="1" x14ac:dyDescent="0.2">
      <c r="A748" s="3" t="str">
        <f t="shared" si="11"/>
        <v xml:space="preserve">                                                  </v>
      </c>
      <c r="B748" s="20" t="s">
        <v>174</v>
      </c>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c r="AC748" s="3"/>
      <c r="AD748" s="3"/>
      <c r="AE748" s="3"/>
      <c r="AF748" s="3"/>
      <c r="AG748" s="3"/>
      <c r="AH748" s="3"/>
      <c r="AI748" s="3"/>
      <c r="AJ748" s="3"/>
      <c r="AK748" s="3"/>
      <c r="AL748" s="3"/>
      <c r="AM748" s="3"/>
      <c r="AN748" s="3"/>
      <c r="AO748" s="3"/>
      <c r="AP748" s="3"/>
      <c r="AQ748" s="3"/>
      <c r="AR748" s="3"/>
      <c r="AS748" s="3"/>
      <c r="AT748" s="3"/>
      <c r="AU748" s="3"/>
      <c r="AV748" s="3"/>
      <c r="AW748" s="3"/>
      <c r="AX748" s="3"/>
      <c r="AY748" s="3"/>
      <c r="AZ748" s="3"/>
    </row>
    <row r="749" spans="1:52" ht="18" customHeight="1" x14ac:dyDescent="0.2">
      <c r="A749" s="3" t="str">
        <f t="shared" si="11"/>
        <v xml:space="preserve">                                                  </v>
      </c>
      <c r="B749" s="20" t="s">
        <v>174</v>
      </c>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c r="AC749" s="3"/>
      <c r="AD749" s="3"/>
      <c r="AE749" s="3"/>
      <c r="AF749" s="3"/>
      <c r="AG749" s="3"/>
      <c r="AH749" s="3"/>
      <c r="AI749" s="3"/>
      <c r="AJ749" s="3"/>
      <c r="AK749" s="3"/>
      <c r="AL749" s="3"/>
      <c r="AM749" s="3"/>
      <c r="AN749" s="3"/>
      <c r="AO749" s="3"/>
      <c r="AP749" s="3"/>
      <c r="AQ749" s="3"/>
      <c r="AR749" s="3"/>
      <c r="AS749" s="3"/>
      <c r="AT749" s="3"/>
      <c r="AU749" s="3"/>
      <c r="AV749" s="3"/>
      <c r="AW749" s="3"/>
      <c r="AX749" s="3"/>
      <c r="AY749" s="3"/>
      <c r="AZ749" s="3"/>
    </row>
    <row r="750" spans="1:52" ht="18" customHeight="1" x14ac:dyDescent="0.2">
      <c r="A750" s="3" t="str">
        <f t="shared" si="11"/>
        <v xml:space="preserve">                                                  </v>
      </c>
      <c r="B750" s="20" t="s">
        <v>174</v>
      </c>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c r="AC750" s="3"/>
      <c r="AD750" s="3"/>
      <c r="AE750" s="3"/>
      <c r="AF750" s="3"/>
      <c r="AG750" s="3"/>
      <c r="AH750" s="3"/>
      <c r="AI750" s="3"/>
      <c r="AJ750" s="3"/>
      <c r="AK750" s="3"/>
      <c r="AL750" s="3"/>
      <c r="AM750" s="3"/>
      <c r="AN750" s="3"/>
      <c r="AO750" s="3"/>
      <c r="AP750" s="3"/>
      <c r="AQ750" s="3"/>
      <c r="AR750" s="3"/>
      <c r="AS750" s="3"/>
      <c r="AT750" s="3"/>
      <c r="AU750" s="3"/>
      <c r="AV750" s="3"/>
      <c r="AW750" s="3"/>
      <c r="AX750" s="3"/>
      <c r="AY750" s="3"/>
      <c r="AZ750" s="3"/>
    </row>
    <row r="751" spans="1:52" ht="18" customHeight="1" x14ac:dyDescent="0.2">
      <c r="A751" s="3" t="str">
        <f t="shared" si="11"/>
        <v xml:space="preserve">                                                  </v>
      </c>
      <c r="B751" s="20" t="s">
        <v>174</v>
      </c>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c r="AC751" s="3"/>
      <c r="AD751" s="3"/>
      <c r="AE751" s="3"/>
      <c r="AF751" s="3"/>
      <c r="AG751" s="3"/>
      <c r="AH751" s="3"/>
      <c r="AI751" s="3"/>
      <c r="AJ751" s="3"/>
      <c r="AK751" s="3"/>
      <c r="AL751" s="3"/>
      <c r="AM751" s="3"/>
      <c r="AN751" s="3"/>
      <c r="AO751" s="3"/>
      <c r="AP751" s="3"/>
      <c r="AQ751" s="3"/>
      <c r="AR751" s="3"/>
      <c r="AS751" s="3"/>
      <c r="AT751" s="3"/>
      <c r="AU751" s="3"/>
      <c r="AV751" s="3"/>
      <c r="AW751" s="3"/>
      <c r="AX751" s="3"/>
      <c r="AY751" s="3"/>
      <c r="AZ751" s="3"/>
    </row>
    <row r="752" spans="1:52" ht="18" customHeight="1" x14ac:dyDescent="0.2">
      <c r="A752" s="3" t="str">
        <f t="shared" si="11"/>
        <v xml:space="preserve">                                                  </v>
      </c>
      <c r="B752" s="20" t="s">
        <v>174</v>
      </c>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c r="AC752" s="3"/>
      <c r="AD752" s="3"/>
      <c r="AE752" s="3"/>
      <c r="AF752" s="3"/>
      <c r="AG752" s="3"/>
      <c r="AH752" s="3"/>
      <c r="AI752" s="3"/>
      <c r="AJ752" s="3"/>
      <c r="AK752" s="3"/>
      <c r="AL752" s="3"/>
      <c r="AM752" s="3"/>
      <c r="AN752" s="3"/>
      <c r="AO752" s="3"/>
      <c r="AP752" s="3"/>
      <c r="AQ752" s="3"/>
      <c r="AR752" s="3"/>
      <c r="AS752" s="3"/>
      <c r="AT752" s="3"/>
      <c r="AU752" s="3"/>
      <c r="AV752" s="3"/>
      <c r="AW752" s="3"/>
      <c r="AX752" s="3"/>
      <c r="AY752" s="3"/>
      <c r="AZ752" s="3"/>
    </row>
    <row r="753" spans="1:52" ht="18" customHeight="1" x14ac:dyDescent="0.2">
      <c r="A753" s="3" t="str">
        <f t="shared" si="11"/>
        <v xml:space="preserve">                                                  </v>
      </c>
      <c r="B753" s="20" t="s">
        <v>174</v>
      </c>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c r="AC753" s="3"/>
      <c r="AD753" s="3"/>
      <c r="AE753" s="3"/>
      <c r="AF753" s="3"/>
      <c r="AG753" s="3"/>
      <c r="AH753" s="3"/>
      <c r="AI753" s="3"/>
      <c r="AJ753" s="3"/>
      <c r="AK753" s="3"/>
      <c r="AL753" s="3"/>
      <c r="AM753" s="3"/>
      <c r="AN753" s="3"/>
      <c r="AO753" s="3"/>
      <c r="AP753" s="3"/>
      <c r="AQ753" s="3"/>
      <c r="AR753" s="3"/>
      <c r="AS753" s="3"/>
      <c r="AT753" s="3"/>
      <c r="AU753" s="3"/>
      <c r="AV753" s="3"/>
      <c r="AW753" s="3"/>
      <c r="AX753" s="3"/>
      <c r="AY753" s="3"/>
      <c r="AZ753" s="3"/>
    </row>
    <row r="754" spans="1:52" ht="18" customHeight="1" x14ac:dyDescent="0.2">
      <c r="A754" s="3" t="str">
        <f t="shared" si="11"/>
        <v xml:space="preserve">                                                  </v>
      </c>
      <c r="B754" s="20" t="s">
        <v>174</v>
      </c>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c r="AC754" s="3"/>
      <c r="AD754" s="3"/>
      <c r="AE754" s="3"/>
      <c r="AF754" s="3"/>
      <c r="AG754" s="3"/>
      <c r="AH754" s="3"/>
      <c r="AI754" s="3"/>
      <c r="AJ754" s="3"/>
      <c r="AK754" s="3"/>
      <c r="AL754" s="3"/>
      <c r="AM754" s="3"/>
      <c r="AN754" s="3"/>
      <c r="AO754" s="3"/>
      <c r="AP754" s="3"/>
      <c r="AQ754" s="3"/>
      <c r="AR754" s="3"/>
      <c r="AS754" s="3"/>
      <c r="AT754" s="3"/>
      <c r="AU754" s="3"/>
      <c r="AV754" s="3"/>
      <c r="AW754" s="3"/>
      <c r="AX754" s="3"/>
      <c r="AY754" s="3"/>
      <c r="AZ754" s="3"/>
    </row>
    <row r="755" spans="1:52" ht="18" customHeight="1" x14ac:dyDescent="0.2">
      <c r="A755" s="3" t="str">
        <f t="shared" si="11"/>
        <v xml:space="preserve">                                                  </v>
      </c>
      <c r="B755" s="20" t="s">
        <v>174</v>
      </c>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c r="AC755" s="3"/>
      <c r="AD755" s="3"/>
      <c r="AE755" s="3"/>
      <c r="AF755" s="3"/>
      <c r="AG755" s="3"/>
      <c r="AH755" s="3"/>
      <c r="AI755" s="3"/>
      <c r="AJ755" s="3"/>
      <c r="AK755" s="3"/>
      <c r="AL755" s="3"/>
      <c r="AM755" s="3"/>
      <c r="AN755" s="3"/>
      <c r="AO755" s="3"/>
      <c r="AP755" s="3"/>
      <c r="AQ755" s="3"/>
      <c r="AR755" s="3"/>
      <c r="AS755" s="3"/>
      <c r="AT755" s="3"/>
      <c r="AU755" s="3"/>
      <c r="AV755" s="3"/>
      <c r="AW755" s="3"/>
      <c r="AX755" s="3"/>
      <c r="AY755" s="3"/>
      <c r="AZ755" s="3"/>
    </row>
    <row r="756" spans="1:52" ht="18" customHeight="1" x14ac:dyDescent="0.2">
      <c r="A756" s="3" t="str">
        <f t="shared" si="11"/>
        <v xml:space="preserve">                                                  </v>
      </c>
      <c r="B756" s="20" t="s">
        <v>174</v>
      </c>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c r="AC756" s="3"/>
      <c r="AD756" s="3"/>
      <c r="AE756" s="3"/>
      <c r="AF756" s="3"/>
      <c r="AG756" s="3"/>
      <c r="AH756" s="3"/>
      <c r="AI756" s="3"/>
      <c r="AJ756" s="3"/>
      <c r="AK756" s="3"/>
      <c r="AL756" s="3"/>
      <c r="AM756" s="3"/>
      <c r="AN756" s="3"/>
      <c r="AO756" s="3"/>
      <c r="AP756" s="3"/>
      <c r="AQ756" s="3"/>
      <c r="AR756" s="3"/>
      <c r="AS756" s="3"/>
      <c r="AT756" s="3"/>
      <c r="AU756" s="3"/>
      <c r="AV756" s="3"/>
      <c r="AW756" s="3"/>
      <c r="AX756" s="3"/>
      <c r="AY756" s="3"/>
      <c r="AZ756" s="3"/>
    </row>
    <row r="757" spans="1:52" ht="18" customHeight="1" x14ac:dyDescent="0.2">
      <c r="A757" s="3" t="str">
        <f t="shared" si="11"/>
        <v xml:space="preserve">                                                  </v>
      </c>
      <c r="B757" s="20" t="s">
        <v>174</v>
      </c>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c r="AC757" s="3"/>
      <c r="AD757" s="3"/>
      <c r="AE757" s="3"/>
      <c r="AF757" s="3"/>
      <c r="AG757" s="3"/>
      <c r="AH757" s="3"/>
      <c r="AI757" s="3"/>
      <c r="AJ757" s="3"/>
      <c r="AK757" s="3"/>
      <c r="AL757" s="3"/>
      <c r="AM757" s="3"/>
      <c r="AN757" s="3"/>
      <c r="AO757" s="3"/>
      <c r="AP757" s="3"/>
      <c r="AQ757" s="3"/>
      <c r="AR757" s="3"/>
      <c r="AS757" s="3"/>
      <c r="AT757" s="3"/>
      <c r="AU757" s="3"/>
      <c r="AV757" s="3"/>
      <c r="AW757" s="3"/>
      <c r="AX757" s="3"/>
      <c r="AY757" s="3"/>
      <c r="AZ757" s="3"/>
    </row>
    <row r="758" spans="1:52" ht="18" customHeight="1" x14ac:dyDescent="0.2">
      <c r="A758" s="3" t="str">
        <f t="shared" si="11"/>
        <v xml:space="preserve">                                                  </v>
      </c>
      <c r="B758" s="20" t="s">
        <v>174</v>
      </c>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c r="AC758" s="3"/>
      <c r="AD758" s="3"/>
      <c r="AE758" s="3"/>
      <c r="AF758" s="3"/>
      <c r="AG758" s="3"/>
      <c r="AH758" s="3"/>
      <c r="AI758" s="3"/>
      <c r="AJ758" s="3"/>
      <c r="AK758" s="3"/>
      <c r="AL758" s="3"/>
      <c r="AM758" s="3"/>
      <c r="AN758" s="3"/>
      <c r="AO758" s="3"/>
      <c r="AP758" s="3"/>
      <c r="AQ758" s="3"/>
      <c r="AR758" s="3"/>
      <c r="AS758" s="3"/>
      <c r="AT758" s="3"/>
      <c r="AU758" s="3"/>
      <c r="AV758" s="3"/>
      <c r="AW758" s="3"/>
      <c r="AX758" s="3"/>
      <c r="AY758" s="3"/>
      <c r="AZ758" s="3"/>
    </row>
    <row r="759" spans="1:52" ht="18" customHeight="1" x14ac:dyDescent="0.2">
      <c r="A759" s="3" t="str">
        <f t="shared" si="11"/>
        <v xml:space="preserve">                                                  </v>
      </c>
      <c r="B759" s="20" t="s">
        <v>174</v>
      </c>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c r="AC759" s="3"/>
      <c r="AD759" s="3"/>
      <c r="AE759" s="3"/>
      <c r="AF759" s="3"/>
      <c r="AG759" s="3"/>
      <c r="AH759" s="3"/>
      <c r="AI759" s="3"/>
      <c r="AJ759" s="3"/>
      <c r="AK759" s="3"/>
      <c r="AL759" s="3"/>
      <c r="AM759" s="3"/>
      <c r="AN759" s="3"/>
      <c r="AO759" s="3"/>
      <c r="AP759" s="3"/>
      <c r="AQ759" s="3"/>
      <c r="AR759" s="3"/>
      <c r="AS759" s="3"/>
      <c r="AT759" s="3"/>
      <c r="AU759" s="3"/>
      <c r="AV759" s="3"/>
      <c r="AW759" s="3"/>
      <c r="AX759" s="3"/>
      <c r="AY759" s="3"/>
      <c r="AZ759" s="3"/>
    </row>
    <row r="760" spans="1:52" ht="18" customHeight="1" x14ac:dyDescent="0.2">
      <c r="A760" s="3" t="str">
        <f t="shared" si="11"/>
        <v xml:space="preserve">                                                  </v>
      </c>
      <c r="B760" s="20" t="s">
        <v>174</v>
      </c>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c r="AC760" s="3"/>
      <c r="AD760" s="3"/>
      <c r="AE760" s="3"/>
      <c r="AF760" s="3"/>
      <c r="AG760" s="3"/>
      <c r="AH760" s="3"/>
      <c r="AI760" s="3"/>
      <c r="AJ760" s="3"/>
      <c r="AK760" s="3"/>
      <c r="AL760" s="3"/>
      <c r="AM760" s="3"/>
      <c r="AN760" s="3"/>
      <c r="AO760" s="3"/>
      <c r="AP760" s="3"/>
      <c r="AQ760" s="3"/>
      <c r="AR760" s="3"/>
      <c r="AS760" s="3"/>
      <c r="AT760" s="3"/>
      <c r="AU760" s="3"/>
      <c r="AV760" s="3"/>
      <c r="AW760" s="3"/>
      <c r="AX760" s="3"/>
      <c r="AY760" s="3"/>
      <c r="AZ760" s="3"/>
    </row>
    <row r="761" spans="1:52" ht="18" customHeight="1" x14ac:dyDescent="0.2">
      <c r="A761" s="3" t="str">
        <f t="shared" si="11"/>
        <v xml:space="preserve">                                                  </v>
      </c>
      <c r="B761" s="20" t="s">
        <v>174</v>
      </c>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c r="AC761" s="3"/>
      <c r="AD761" s="3"/>
      <c r="AE761" s="3"/>
      <c r="AF761" s="3"/>
      <c r="AG761" s="3"/>
      <c r="AH761" s="3"/>
      <c r="AI761" s="3"/>
      <c r="AJ761" s="3"/>
      <c r="AK761" s="3"/>
      <c r="AL761" s="3"/>
      <c r="AM761" s="3"/>
      <c r="AN761" s="3"/>
      <c r="AO761" s="3"/>
      <c r="AP761" s="3"/>
      <c r="AQ761" s="3"/>
      <c r="AR761" s="3"/>
      <c r="AS761" s="3"/>
      <c r="AT761" s="3"/>
      <c r="AU761" s="3"/>
      <c r="AV761" s="3"/>
      <c r="AW761" s="3"/>
      <c r="AX761" s="3"/>
      <c r="AY761" s="3"/>
      <c r="AZ761" s="3"/>
    </row>
    <row r="762" spans="1:52" ht="18" customHeight="1" x14ac:dyDescent="0.2">
      <c r="A762" s="3" t="str">
        <f t="shared" si="11"/>
        <v xml:space="preserve">                                                  </v>
      </c>
      <c r="B762" s="20" t="s">
        <v>174</v>
      </c>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c r="AC762" s="3"/>
      <c r="AD762" s="3"/>
      <c r="AE762" s="3"/>
      <c r="AF762" s="3"/>
      <c r="AG762" s="3"/>
      <c r="AH762" s="3"/>
      <c r="AI762" s="3"/>
      <c r="AJ762" s="3"/>
      <c r="AK762" s="3"/>
      <c r="AL762" s="3"/>
      <c r="AM762" s="3"/>
      <c r="AN762" s="3"/>
      <c r="AO762" s="3"/>
      <c r="AP762" s="3"/>
      <c r="AQ762" s="3"/>
      <c r="AR762" s="3"/>
      <c r="AS762" s="3"/>
      <c r="AT762" s="3"/>
      <c r="AU762" s="3"/>
      <c r="AV762" s="3"/>
      <c r="AW762" s="3"/>
      <c r="AX762" s="3"/>
      <c r="AY762" s="3"/>
      <c r="AZ762" s="3"/>
    </row>
    <row r="763" spans="1:52" ht="18" customHeight="1" x14ac:dyDescent="0.2">
      <c r="A763" s="3" t="str">
        <f t="shared" si="11"/>
        <v xml:space="preserve">                                                  </v>
      </c>
      <c r="B763" s="20" t="s">
        <v>174</v>
      </c>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c r="AC763" s="3"/>
      <c r="AD763" s="3"/>
      <c r="AE763" s="3"/>
      <c r="AF763" s="3"/>
      <c r="AG763" s="3"/>
      <c r="AH763" s="3"/>
      <c r="AI763" s="3"/>
      <c r="AJ763" s="3"/>
      <c r="AK763" s="3"/>
      <c r="AL763" s="3"/>
      <c r="AM763" s="3"/>
      <c r="AN763" s="3"/>
      <c r="AO763" s="3"/>
      <c r="AP763" s="3"/>
      <c r="AQ763" s="3"/>
      <c r="AR763" s="3"/>
      <c r="AS763" s="3"/>
      <c r="AT763" s="3"/>
      <c r="AU763" s="3"/>
      <c r="AV763" s="3"/>
      <c r="AW763" s="3"/>
      <c r="AX763" s="3"/>
      <c r="AY763" s="3"/>
      <c r="AZ763" s="3"/>
    </row>
    <row r="764" spans="1:52" ht="18" customHeight="1" x14ac:dyDescent="0.2">
      <c r="A764" s="3" t="str">
        <f t="shared" si="11"/>
        <v xml:space="preserve">                                                  </v>
      </c>
      <c r="B764" s="20" t="s">
        <v>174</v>
      </c>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c r="AC764" s="3"/>
      <c r="AD764" s="3"/>
      <c r="AE764" s="3"/>
      <c r="AF764" s="3"/>
      <c r="AG764" s="3"/>
      <c r="AH764" s="3"/>
      <c r="AI764" s="3"/>
      <c r="AJ764" s="3"/>
      <c r="AK764" s="3"/>
      <c r="AL764" s="3"/>
      <c r="AM764" s="3"/>
      <c r="AN764" s="3"/>
      <c r="AO764" s="3"/>
      <c r="AP764" s="3"/>
      <c r="AQ764" s="3"/>
      <c r="AR764" s="3"/>
      <c r="AS764" s="3"/>
      <c r="AT764" s="3"/>
      <c r="AU764" s="3"/>
      <c r="AV764" s="3"/>
      <c r="AW764" s="3"/>
      <c r="AX764" s="3"/>
      <c r="AY764" s="3"/>
      <c r="AZ764" s="3"/>
    </row>
    <row r="765" spans="1:52" ht="18" customHeight="1" x14ac:dyDescent="0.2">
      <c r="A765" s="3" t="str">
        <f t="shared" si="11"/>
        <v xml:space="preserve">                                                  </v>
      </c>
      <c r="B765" s="20" t="s">
        <v>174</v>
      </c>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c r="AC765" s="3"/>
      <c r="AD765" s="3"/>
      <c r="AE765" s="3"/>
      <c r="AF765" s="3"/>
      <c r="AG765" s="3"/>
      <c r="AH765" s="3"/>
      <c r="AI765" s="3"/>
      <c r="AJ765" s="3"/>
      <c r="AK765" s="3"/>
      <c r="AL765" s="3"/>
      <c r="AM765" s="3"/>
      <c r="AN765" s="3"/>
      <c r="AO765" s="3"/>
      <c r="AP765" s="3"/>
      <c r="AQ765" s="3"/>
      <c r="AR765" s="3"/>
      <c r="AS765" s="3"/>
      <c r="AT765" s="3"/>
      <c r="AU765" s="3"/>
      <c r="AV765" s="3"/>
      <c r="AW765" s="3"/>
      <c r="AX765" s="3"/>
      <c r="AY765" s="3"/>
      <c r="AZ765" s="3"/>
    </row>
    <row r="766" spans="1:52" ht="18" customHeight="1" x14ac:dyDescent="0.2">
      <c r="A766" s="3" t="str">
        <f t="shared" si="11"/>
        <v xml:space="preserve">                                                  </v>
      </c>
      <c r="B766" s="20" t="s">
        <v>174</v>
      </c>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c r="AC766" s="3"/>
      <c r="AD766" s="3"/>
      <c r="AE766" s="3"/>
      <c r="AF766" s="3"/>
      <c r="AG766" s="3"/>
      <c r="AH766" s="3"/>
      <c r="AI766" s="3"/>
      <c r="AJ766" s="3"/>
      <c r="AK766" s="3"/>
      <c r="AL766" s="3"/>
      <c r="AM766" s="3"/>
      <c r="AN766" s="3"/>
      <c r="AO766" s="3"/>
      <c r="AP766" s="3"/>
      <c r="AQ766" s="3"/>
      <c r="AR766" s="3"/>
      <c r="AS766" s="3"/>
      <c r="AT766" s="3"/>
      <c r="AU766" s="3"/>
      <c r="AV766" s="3"/>
      <c r="AW766" s="3"/>
      <c r="AX766" s="3"/>
      <c r="AY766" s="3"/>
      <c r="AZ766" s="3"/>
    </row>
    <row r="767" spans="1:52" ht="18" customHeight="1" x14ac:dyDescent="0.2">
      <c r="A767" s="3" t="str">
        <f t="shared" si="11"/>
        <v xml:space="preserve">                                                  </v>
      </c>
      <c r="B767" s="20" t="s">
        <v>174</v>
      </c>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c r="AC767" s="3"/>
      <c r="AD767" s="3"/>
      <c r="AE767" s="3"/>
      <c r="AF767" s="3"/>
      <c r="AG767" s="3"/>
      <c r="AH767" s="3"/>
      <c r="AI767" s="3"/>
      <c r="AJ767" s="3"/>
      <c r="AK767" s="3"/>
      <c r="AL767" s="3"/>
      <c r="AM767" s="3"/>
      <c r="AN767" s="3"/>
      <c r="AO767" s="3"/>
      <c r="AP767" s="3"/>
      <c r="AQ767" s="3"/>
      <c r="AR767" s="3"/>
      <c r="AS767" s="3"/>
      <c r="AT767" s="3"/>
      <c r="AU767" s="3"/>
      <c r="AV767" s="3"/>
      <c r="AW767" s="3"/>
      <c r="AX767" s="3"/>
      <c r="AY767" s="3"/>
      <c r="AZ767" s="3"/>
    </row>
    <row r="768" spans="1:52" ht="18" customHeight="1" x14ac:dyDescent="0.2">
      <c r="A768" s="3" t="str">
        <f t="shared" si="11"/>
        <v xml:space="preserve">                                                  </v>
      </c>
      <c r="B768" s="20" t="s">
        <v>174</v>
      </c>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c r="AC768" s="3"/>
      <c r="AD768" s="3"/>
      <c r="AE768" s="3"/>
      <c r="AF768" s="3"/>
      <c r="AG768" s="3"/>
      <c r="AH768" s="3"/>
      <c r="AI768" s="3"/>
      <c r="AJ768" s="3"/>
      <c r="AK768" s="3"/>
      <c r="AL768" s="3"/>
      <c r="AM768" s="3"/>
      <c r="AN768" s="3"/>
      <c r="AO768" s="3"/>
      <c r="AP768" s="3"/>
      <c r="AQ768" s="3"/>
      <c r="AR768" s="3"/>
      <c r="AS768" s="3"/>
      <c r="AT768" s="3"/>
      <c r="AU768" s="3"/>
      <c r="AV768" s="3"/>
      <c r="AW768" s="3"/>
      <c r="AX768" s="3"/>
      <c r="AY768" s="3"/>
      <c r="AZ768" s="3"/>
    </row>
    <row r="769" spans="1:52" ht="18" customHeight="1" x14ac:dyDescent="0.2">
      <c r="A769" s="3" t="str">
        <f t="shared" si="11"/>
        <v xml:space="preserve">                                                  </v>
      </c>
      <c r="B769" s="20" t="s">
        <v>174</v>
      </c>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c r="AC769" s="3"/>
      <c r="AD769" s="3"/>
      <c r="AE769" s="3"/>
      <c r="AF769" s="3"/>
      <c r="AG769" s="3"/>
      <c r="AH769" s="3"/>
      <c r="AI769" s="3"/>
      <c r="AJ769" s="3"/>
      <c r="AK769" s="3"/>
      <c r="AL769" s="3"/>
      <c r="AM769" s="3"/>
      <c r="AN769" s="3"/>
      <c r="AO769" s="3"/>
      <c r="AP769" s="3"/>
      <c r="AQ769" s="3"/>
      <c r="AR769" s="3"/>
      <c r="AS769" s="3"/>
      <c r="AT769" s="3"/>
      <c r="AU769" s="3"/>
      <c r="AV769" s="3"/>
      <c r="AW769" s="3"/>
      <c r="AX769" s="3"/>
      <c r="AY769" s="3"/>
      <c r="AZ769" s="3"/>
    </row>
    <row r="770" spans="1:52" ht="18" customHeight="1" x14ac:dyDescent="0.2">
      <c r="A770" s="3" t="str">
        <f t="shared" si="11"/>
        <v xml:space="preserve">                                                  </v>
      </c>
      <c r="B770" s="20" t="s">
        <v>174</v>
      </c>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c r="AC770" s="3"/>
      <c r="AD770" s="3"/>
      <c r="AE770" s="3"/>
      <c r="AF770" s="3"/>
      <c r="AG770" s="3"/>
      <c r="AH770" s="3"/>
      <c r="AI770" s="3"/>
      <c r="AJ770" s="3"/>
      <c r="AK770" s="3"/>
      <c r="AL770" s="3"/>
      <c r="AM770" s="3"/>
      <c r="AN770" s="3"/>
      <c r="AO770" s="3"/>
      <c r="AP770" s="3"/>
      <c r="AQ770" s="3"/>
      <c r="AR770" s="3"/>
      <c r="AS770" s="3"/>
      <c r="AT770" s="3"/>
      <c r="AU770" s="3"/>
      <c r="AV770" s="3"/>
      <c r="AW770" s="3"/>
      <c r="AX770" s="3"/>
      <c r="AY770" s="3"/>
      <c r="AZ770" s="3"/>
    </row>
    <row r="771" spans="1:52" ht="18" customHeight="1" x14ac:dyDescent="0.2">
      <c r="A771" s="3" t="str">
        <f t="shared" si="11"/>
        <v xml:space="preserve">                                                  </v>
      </c>
      <c r="B771" s="20" t="s">
        <v>174</v>
      </c>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c r="AC771" s="3"/>
      <c r="AD771" s="3"/>
      <c r="AE771" s="3"/>
      <c r="AF771" s="3"/>
      <c r="AG771" s="3"/>
      <c r="AH771" s="3"/>
      <c r="AI771" s="3"/>
      <c r="AJ771" s="3"/>
      <c r="AK771" s="3"/>
      <c r="AL771" s="3"/>
      <c r="AM771" s="3"/>
      <c r="AN771" s="3"/>
      <c r="AO771" s="3"/>
      <c r="AP771" s="3"/>
      <c r="AQ771" s="3"/>
      <c r="AR771" s="3"/>
      <c r="AS771" s="3"/>
      <c r="AT771" s="3"/>
      <c r="AU771" s="3"/>
      <c r="AV771" s="3"/>
      <c r="AW771" s="3"/>
      <c r="AX771" s="3"/>
      <c r="AY771" s="3"/>
      <c r="AZ771" s="3"/>
    </row>
    <row r="772" spans="1:52" ht="18" customHeight="1" x14ac:dyDescent="0.2">
      <c r="A772" s="3" t="str">
        <f t="shared" ref="A772:A835" si="12">CONCATENATE(C772," ",D772," ",E772," ",F772," ",G772," ",H772," ",I772," ",J772," ",K772," ",L772," ",M772," ",N772," ",O772," ",P772," ",Q772," ",R772," ",S772," ",T772," ",U772," ",V772," ",W772," ",X772," ",Y772," ",Z772," ",AA772," ",AB772," ",AC772," ",AD772," ",AE772," ",AF772," ",AG772," ",AH772," ",AI772," ",AJ772," ",AK772," ",AL772," ",AM772," ",AN772," ",AO772," ",AP772," ",AQ772," ",AR772," ",AS772," ",AT772," ",AU772," ",AV772," ",AW772," ",AX772," ",AY772," ",AZ772," ",
)</f>
        <v xml:space="preserve">                                                  </v>
      </c>
      <c r="B772" s="20" t="s">
        <v>174</v>
      </c>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c r="AC772" s="3"/>
      <c r="AD772" s="3"/>
      <c r="AE772" s="3"/>
      <c r="AF772" s="3"/>
      <c r="AG772" s="3"/>
      <c r="AH772" s="3"/>
      <c r="AI772" s="3"/>
      <c r="AJ772" s="3"/>
      <c r="AK772" s="3"/>
      <c r="AL772" s="3"/>
      <c r="AM772" s="3"/>
      <c r="AN772" s="3"/>
      <c r="AO772" s="3"/>
      <c r="AP772" s="3"/>
      <c r="AQ772" s="3"/>
      <c r="AR772" s="3"/>
      <c r="AS772" s="3"/>
      <c r="AT772" s="3"/>
      <c r="AU772" s="3"/>
      <c r="AV772" s="3"/>
      <c r="AW772" s="3"/>
      <c r="AX772" s="3"/>
      <c r="AY772" s="3"/>
      <c r="AZ772" s="3"/>
    </row>
    <row r="773" spans="1:52" ht="18" customHeight="1" x14ac:dyDescent="0.2">
      <c r="A773" s="3" t="str">
        <f t="shared" si="12"/>
        <v xml:space="preserve">                                                  </v>
      </c>
      <c r="B773" s="20" t="s">
        <v>174</v>
      </c>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c r="AC773" s="3"/>
      <c r="AD773" s="3"/>
      <c r="AE773" s="3"/>
      <c r="AF773" s="3"/>
      <c r="AG773" s="3"/>
      <c r="AH773" s="3"/>
      <c r="AI773" s="3"/>
      <c r="AJ773" s="3"/>
      <c r="AK773" s="3"/>
      <c r="AL773" s="3"/>
      <c r="AM773" s="3"/>
      <c r="AN773" s="3"/>
      <c r="AO773" s="3"/>
      <c r="AP773" s="3"/>
      <c r="AQ773" s="3"/>
      <c r="AR773" s="3"/>
      <c r="AS773" s="3"/>
      <c r="AT773" s="3"/>
      <c r="AU773" s="3"/>
      <c r="AV773" s="3"/>
      <c r="AW773" s="3"/>
      <c r="AX773" s="3"/>
      <c r="AY773" s="3"/>
      <c r="AZ773" s="3"/>
    </row>
    <row r="774" spans="1:52" ht="18" customHeight="1" x14ac:dyDescent="0.2">
      <c r="A774" s="3" t="str">
        <f t="shared" si="12"/>
        <v xml:space="preserve">                                                  </v>
      </c>
      <c r="B774" s="20" t="s">
        <v>174</v>
      </c>
      <c r="C774" s="3"/>
      <c r="D774" s="3"/>
      <c r="E774" s="3"/>
      <c r="F774" s="3"/>
      <c r="G774" s="3"/>
      <c r="H774" s="3"/>
      <c r="I774" s="3"/>
      <c r="J774" s="3"/>
      <c r="K774" s="3"/>
      <c r="L774" s="3"/>
      <c r="M774" s="3"/>
      <c r="N774" s="3"/>
      <c r="O774" s="3"/>
      <c r="P774" s="3"/>
      <c r="Q774" s="3"/>
      <c r="R774" s="3"/>
      <c r="S774" s="3"/>
      <c r="T774" s="3"/>
      <c r="U774" s="3"/>
      <c r="V774" s="3"/>
      <c r="W774" s="3"/>
      <c r="X774" s="3"/>
      <c r="Y774" s="3"/>
      <c r="Z774" s="3"/>
      <c r="AA774" s="3"/>
      <c r="AB774" s="3"/>
      <c r="AC774" s="3"/>
      <c r="AD774" s="3"/>
      <c r="AE774" s="3"/>
      <c r="AF774" s="3"/>
      <c r="AG774" s="3"/>
      <c r="AH774" s="3"/>
      <c r="AI774" s="3"/>
      <c r="AJ774" s="3"/>
      <c r="AK774" s="3"/>
      <c r="AL774" s="3"/>
      <c r="AM774" s="3"/>
      <c r="AN774" s="3"/>
      <c r="AO774" s="3"/>
      <c r="AP774" s="3"/>
      <c r="AQ774" s="3"/>
      <c r="AR774" s="3"/>
      <c r="AS774" s="3"/>
      <c r="AT774" s="3"/>
      <c r="AU774" s="3"/>
      <c r="AV774" s="3"/>
      <c r="AW774" s="3"/>
      <c r="AX774" s="3"/>
      <c r="AY774" s="3"/>
      <c r="AZ774" s="3"/>
    </row>
    <row r="775" spans="1:52" ht="18" customHeight="1" x14ac:dyDescent="0.2">
      <c r="A775" s="3" t="str">
        <f t="shared" si="12"/>
        <v xml:space="preserve">                                                  </v>
      </c>
      <c r="B775" s="20" t="s">
        <v>174</v>
      </c>
      <c r="C775" s="3"/>
      <c r="D775" s="3"/>
      <c r="E775" s="3"/>
      <c r="F775" s="3"/>
      <c r="G775" s="3"/>
      <c r="H775" s="3"/>
      <c r="I775" s="3"/>
      <c r="J775" s="3"/>
      <c r="K775" s="3"/>
      <c r="L775" s="3"/>
      <c r="M775" s="3"/>
      <c r="N775" s="3"/>
      <c r="O775" s="3"/>
      <c r="P775" s="3"/>
      <c r="Q775" s="3"/>
      <c r="R775" s="3"/>
      <c r="S775" s="3"/>
      <c r="T775" s="3"/>
      <c r="U775" s="3"/>
      <c r="V775" s="3"/>
      <c r="W775" s="3"/>
      <c r="X775" s="3"/>
      <c r="Y775" s="3"/>
      <c r="Z775" s="3"/>
      <c r="AA775" s="3"/>
      <c r="AB775" s="3"/>
      <c r="AC775" s="3"/>
      <c r="AD775" s="3"/>
      <c r="AE775" s="3"/>
      <c r="AF775" s="3"/>
      <c r="AG775" s="3"/>
      <c r="AH775" s="3"/>
      <c r="AI775" s="3"/>
      <c r="AJ775" s="3"/>
      <c r="AK775" s="3"/>
      <c r="AL775" s="3"/>
      <c r="AM775" s="3"/>
      <c r="AN775" s="3"/>
      <c r="AO775" s="3"/>
      <c r="AP775" s="3"/>
      <c r="AQ775" s="3"/>
      <c r="AR775" s="3"/>
      <c r="AS775" s="3"/>
      <c r="AT775" s="3"/>
      <c r="AU775" s="3"/>
      <c r="AV775" s="3"/>
      <c r="AW775" s="3"/>
      <c r="AX775" s="3"/>
      <c r="AY775" s="3"/>
      <c r="AZ775" s="3"/>
    </row>
    <row r="776" spans="1:52" ht="18" customHeight="1" x14ac:dyDescent="0.2">
      <c r="A776" s="3" t="str">
        <f t="shared" si="12"/>
        <v xml:space="preserve">                                                  </v>
      </c>
      <c r="B776" s="20" t="s">
        <v>174</v>
      </c>
      <c r="C776" s="3"/>
      <c r="D776" s="3"/>
      <c r="E776" s="3"/>
      <c r="F776" s="3"/>
      <c r="G776" s="3"/>
      <c r="H776" s="3"/>
      <c r="I776" s="3"/>
      <c r="J776" s="3"/>
      <c r="K776" s="3"/>
      <c r="L776" s="3"/>
      <c r="M776" s="3"/>
      <c r="N776" s="3"/>
      <c r="O776" s="3"/>
      <c r="P776" s="3"/>
      <c r="Q776" s="3"/>
      <c r="R776" s="3"/>
      <c r="S776" s="3"/>
      <c r="T776" s="3"/>
      <c r="U776" s="3"/>
      <c r="V776" s="3"/>
      <c r="W776" s="3"/>
      <c r="X776" s="3"/>
      <c r="Y776" s="3"/>
      <c r="Z776" s="3"/>
      <c r="AA776" s="3"/>
      <c r="AB776" s="3"/>
      <c r="AC776" s="3"/>
      <c r="AD776" s="3"/>
      <c r="AE776" s="3"/>
      <c r="AF776" s="3"/>
      <c r="AG776" s="3"/>
      <c r="AH776" s="3"/>
      <c r="AI776" s="3"/>
      <c r="AJ776" s="3"/>
      <c r="AK776" s="3"/>
      <c r="AL776" s="3"/>
      <c r="AM776" s="3"/>
      <c r="AN776" s="3"/>
      <c r="AO776" s="3"/>
      <c r="AP776" s="3"/>
      <c r="AQ776" s="3"/>
      <c r="AR776" s="3"/>
      <c r="AS776" s="3"/>
      <c r="AT776" s="3"/>
      <c r="AU776" s="3"/>
      <c r="AV776" s="3"/>
      <c r="AW776" s="3"/>
      <c r="AX776" s="3"/>
      <c r="AY776" s="3"/>
      <c r="AZ776" s="3"/>
    </row>
    <row r="777" spans="1:52" ht="18" customHeight="1" x14ac:dyDescent="0.2">
      <c r="A777" s="3" t="str">
        <f t="shared" si="12"/>
        <v xml:space="preserve">                                                  </v>
      </c>
      <c r="B777" s="20" t="s">
        <v>174</v>
      </c>
      <c r="C777" s="3"/>
      <c r="D777" s="3"/>
      <c r="E777" s="3"/>
      <c r="F777" s="3"/>
      <c r="G777" s="3"/>
      <c r="H777" s="3"/>
      <c r="I777" s="3"/>
      <c r="J777" s="3"/>
      <c r="K777" s="3"/>
      <c r="L777" s="3"/>
      <c r="M777" s="3"/>
      <c r="N777" s="3"/>
      <c r="O777" s="3"/>
      <c r="P777" s="3"/>
      <c r="Q777" s="3"/>
      <c r="R777" s="3"/>
      <c r="S777" s="3"/>
      <c r="T777" s="3"/>
      <c r="U777" s="3"/>
      <c r="V777" s="3"/>
      <c r="W777" s="3"/>
      <c r="X777" s="3"/>
      <c r="Y777" s="3"/>
      <c r="Z777" s="3"/>
      <c r="AA777" s="3"/>
      <c r="AB777" s="3"/>
      <c r="AC777" s="3"/>
      <c r="AD777" s="3"/>
      <c r="AE777" s="3"/>
      <c r="AF777" s="3"/>
      <c r="AG777" s="3"/>
      <c r="AH777" s="3"/>
      <c r="AI777" s="3"/>
      <c r="AJ777" s="3"/>
      <c r="AK777" s="3"/>
      <c r="AL777" s="3"/>
      <c r="AM777" s="3"/>
      <c r="AN777" s="3"/>
      <c r="AO777" s="3"/>
      <c r="AP777" s="3"/>
      <c r="AQ777" s="3"/>
      <c r="AR777" s="3"/>
      <c r="AS777" s="3"/>
      <c r="AT777" s="3"/>
      <c r="AU777" s="3"/>
      <c r="AV777" s="3"/>
      <c r="AW777" s="3"/>
      <c r="AX777" s="3"/>
      <c r="AY777" s="3"/>
      <c r="AZ777" s="3"/>
    </row>
    <row r="778" spans="1:52" ht="18" customHeight="1" x14ac:dyDescent="0.2">
      <c r="A778" s="3" t="str">
        <f t="shared" si="12"/>
        <v xml:space="preserve">                                                  </v>
      </c>
      <c r="B778" s="20" t="s">
        <v>174</v>
      </c>
      <c r="C778" s="3"/>
      <c r="D778" s="3"/>
      <c r="E778" s="3"/>
      <c r="F778" s="3"/>
      <c r="G778" s="3"/>
      <c r="H778" s="3"/>
      <c r="I778" s="3"/>
      <c r="J778" s="3"/>
      <c r="K778" s="3"/>
      <c r="L778" s="3"/>
      <c r="M778" s="3"/>
      <c r="N778" s="3"/>
      <c r="O778" s="3"/>
      <c r="P778" s="3"/>
      <c r="Q778" s="3"/>
      <c r="R778" s="3"/>
      <c r="S778" s="3"/>
      <c r="T778" s="3"/>
      <c r="U778" s="3"/>
      <c r="V778" s="3"/>
      <c r="W778" s="3"/>
      <c r="X778" s="3"/>
      <c r="Y778" s="3"/>
      <c r="Z778" s="3"/>
      <c r="AA778" s="3"/>
      <c r="AB778" s="3"/>
      <c r="AC778" s="3"/>
      <c r="AD778" s="3"/>
      <c r="AE778" s="3"/>
      <c r="AF778" s="3"/>
      <c r="AG778" s="3"/>
      <c r="AH778" s="3"/>
      <c r="AI778" s="3"/>
      <c r="AJ778" s="3"/>
      <c r="AK778" s="3"/>
      <c r="AL778" s="3"/>
      <c r="AM778" s="3"/>
      <c r="AN778" s="3"/>
      <c r="AO778" s="3"/>
      <c r="AP778" s="3"/>
      <c r="AQ778" s="3"/>
      <c r="AR778" s="3"/>
      <c r="AS778" s="3"/>
      <c r="AT778" s="3"/>
      <c r="AU778" s="3"/>
      <c r="AV778" s="3"/>
      <c r="AW778" s="3"/>
      <c r="AX778" s="3"/>
      <c r="AY778" s="3"/>
      <c r="AZ778" s="3"/>
    </row>
    <row r="779" spans="1:52" ht="18" customHeight="1" x14ac:dyDescent="0.2">
      <c r="A779" s="3" t="str">
        <f t="shared" si="12"/>
        <v xml:space="preserve">                                                  </v>
      </c>
      <c r="B779" s="20" t="s">
        <v>174</v>
      </c>
      <c r="C779" s="3"/>
      <c r="D779" s="3"/>
      <c r="E779" s="3"/>
      <c r="F779" s="3"/>
      <c r="G779" s="3"/>
      <c r="H779" s="3"/>
      <c r="I779" s="3"/>
      <c r="J779" s="3"/>
      <c r="K779" s="3"/>
      <c r="L779" s="3"/>
      <c r="M779" s="3"/>
      <c r="N779" s="3"/>
      <c r="O779" s="3"/>
      <c r="P779" s="3"/>
      <c r="Q779" s="3"/>
      <c r="R779" s="3"/>
      <c r="S779" s="3"/>
      <c r="T779" s="3"/>
      <c r="U779" s="3"/>
      <c r="V779" s="3"/>
      <c r="W779" s="3"/>
      <c r="X779" s="3"/>
      <c r="Y779" s="3"/>
      <c r="Z779" s="3"/>
      <c r="AA779" s="3"/>
      <c r="AB779" s="3"/>
      <c r="AC779" s="3"/>
      <c r="AD779" s="3"/>
      <c r="AE779" s="3"/>
      <c r="AF779" s="3"/>
      <c r="AG779" s="3"/>
      <c r="AH779" s="3"/>
      <c r="AI779" s="3"/>
      <c r="AJ779" s="3"/>
      <c r="AK779" s="3"/>
      <c r="AL779" s="3"/>
      <c r="AM779" s="3"/>
      <c r="AN779" s="3"/>
      <c r="AO779" s="3"/>
      <c r="AP779" s="3"/>
      <c r="AQ779" s="3"/>
      <c r="AR779" s="3"/>
      <c r="AS779" s="3"/>
      <c r="AT779" s="3"/>
      <c r="AU779" s="3"/>
      <c r="AV779" s="3"/>
      <c r="AW779" s="3"/>
      <c r="AX779" s="3"/>
      <c r="AY779" s="3"/>
      <c r="AZ779" s="3"/>
    </row>
    <row r="780" spans="1:52" ht="18" customHeight="1" x14ac:dyDescent="0.2">
      <c r="A780" s="3" t="str">
        <f t="shared" si="12"/>
        <v xml:space="preserve">                                                  </v>
      </c>
      <c r="B780" s="20" t="s">
        <v>174</v>
      </c>
      <c r="C780" s="3"/>
      <c r="D780" s="3"/>
      <c r="E780" s="3"/>
      <c r="F780" s="3"/>
      <c r="G780" s="3"/>
      <c r="H780" s="3"/>
      <c r="I780" s="3"/>
      <c r="J780" s="3"/>
      <c r="K780" s="3"/>
      <c r="L780" s="3"/>
      <c r="M780" s="3"/>
      <c r="N780" s="3"/>
      <c r="O780" s="3"/>
      <c r="P780" s="3"/>
      <c r="Q780" s="3"/>
      <c r="R780" s="3"/>
      <c r="S780" s="3"/>
      <c r="T780" s="3"/>
      <c r="U780" s="3"/>
      <c r="V780" s="3"/>
      <c r="W780" s="3"/>
      <c r="X780" s="3"/>
      <c r="Y780" s="3"/>
      <c r="Z780" s="3"/>
      <c r="AA780" s="3"/>
      <c r="AB780" s="3"/>
      <c r="AC780" s="3"/>
      <c r="AD780" s="3"/>
      <c r="AE780" s="3"/>
      <c r="AF780" s="3"/>
      <c r="AG780" s="3"/>
      <c r="AH780" s="3"/>
      <c r="AI780" s="3"/>
      <c r="AJ780" s="3"/>
      <c r="AK780" s="3"/>
      <c r="AL780" s="3"/>
      <c r="AM780" s="3"/>
      <c r="AN780" s="3"/>
      <c r="AO780" s="3"/>
      <c r="AP780" s="3"/>
      <c r="AQ780" s="3"/>
      <c r="AR780" s="3"/>
      <c r="AS780" s="3"/>
      <c r="AT780" s="3"/>
      <c r="AU780" s="3"/>
      <c r="AV780" s="3"/>
      <c r="AW780" s="3"/>
      <c r="AX780" s="3"/>
      <c r="AY780" s="3"/>
      <c r="AZ780" s="3"/>
    </row>
    <row r="781" spans="1:52" ht="18" customHeight="1" x14ac:dyDescent="0.2">
      <c r="A781" s="3" t="str">
        <f t="shared" si="12"/>
        <v xml:space="preserve">                                                  </v>
      </c>
      <c r="B781" s="20" t="s">
        <v>174</v>
      </c>
      <c r="C781" s="3"/>
      <c r="D781" s="3"/>
      <c r="E781" s="3"/>
      <c r="F781" s="3"/>
      <c r="G781" s="3"/>
      <c r="H781" s="3"/>
      <c r="I781" s="3"/>
      <c r="J781" s="3"/>
      <c r="K781" s="3"/>
      <c r="L781" s="3"/>
      <c r="M781" s="3"/>
      <c r="N781" s="3"/>
      <c r="O781" s="3"/>
      <c r="P781" s="3"/>
      <c r="Q781" s="3"/>
      <c r="R781" s="3"/>
      <c r="S781" s="3"/>
      <c r="T781" s="3"/>
      <c r="U781" s="3"/>
      <c r="V781" s="3"/>
      <c r="W781" s="3"/>
      <c r="X781" s="3"/>
      <c r="Y781" s="3"/>
      <c r="Z781" s="3"/>
      <c r="AA781" s="3"/>
      <c r="AB781" s="3"/>
      <c r="AC781" s="3"/>
      <c r="AD781" s="3"/>
      <c r="AE781" s="3"/>
      <c r="AF781" s="3"/>
      <c r="AG781" s="3"/>
      <c r="AH781" s="3"/>
      <c r="AI781" s="3"/>
      <c r="AJ781" s="3"/>
      <c r="AK781" s="3"/>
      <c r="AL781" s="3"/>
      <c r="AM781" s="3"/>
      <c r="AN781" s="3"/>
      <c r="AO781" s="3"/>
      <c r="AP781" s="3"/>
      <c r="AQ781" s="3"/>
      <c r="AR781" s="3"/>
      <c r="AS781" s="3"/>
      <c r="AT781" s="3"/>
      <c r="AU781" s="3"/>
      <c r="AV781" s="3"/>
      <c r="AW781" s="3"/>
      <c r="AX781" s="3"/>
      <c r="AY781" s="3"/>
      <c r="AZ781" s="3"/>
    </row>
    <row r="782" spans="1:52" ht="18" customHeight="1" x14ac:dyDescent="0.2">
      <c r="A782" s="3" t="str">
        <f t="shared" si="12"/>
        <v xml:space="preserve">                                                  </v>
      </c>
      <c r="B782" s="20" t="s">
        <v>174</v>
      </c>
      <c r="C782" s="3"/>
      <c r="D782" s="3"/>
      <c r="E782" s="3"/>
      <c r="F782" s="3"/>
      <c r="G782" s="3"/>
      <c r="H782" s="3"/>
      <c r="I782" s="3"/>
      <c r="J782" s="3"/>
      <c r="K782" s="3"/>
      <c r="L782" s="3"/>
      <c r="M782" s="3"/>
      <c r="N782" s="3"/>
      <c r="O782" s="3"/>
      <c r="P782" s="3"/>
      <c r="Q782" s="3"/>
      <c r="R782" s="3"/>
      <c r="S782" s="3"/>
      <c r="T782" s="3"/>
      <c r="U782" s="3"/>
      <c r="V782" s="3"/>
      <c r="W782" s="3"/>
      <c r="X782" s="3"/>
      <c r="Y782" s="3"/>
      <c r="Z782" s="3"/>
      <c r="AA782" s="3"/>
      <c r="AB782" s="3"/>
      <c r="AC782" s="3"/>
      <c r="AD782" s="3"/>
      <c r="AE782" s="3"/>
      <c r="AF782" s="3"/>
      <c r="AG782" s="3"/>
      <c r="AH782" s="3"/>
      <c r="AI782" s="3"/>
      <c r="AJ782" s="3"/>
      <c r="AK782" s="3"/>
      <c r="AL782" s="3"/>
      <c r="AM782" s="3"/>
      <c r="AN782" s="3"/>
      <c r="AO782" s="3"/>
      <c r="AP782" s="3"/>
      <c r="AQ782" s="3"/>
      <c r="AR782" s="3"/>
      <c r="AS782" s="3"/>
      <c r="AT782" s="3"/>
      <c r="AU782" s="3"/>
      <c r="AV782" s="3"/>
      <c r="AW782" s="3"/>
      <c r="AX782" s="3"/>
      <c r="AY782" s="3"/>
      <c r="AZ782" s="3"/>
    </row>
    <row r="783" spans="1:52" ht="18" customHeight="1" x14ac:dyDescent="0.2">
      <c r="A783" s="3" t="str">
        <f t="shared" si="12"/>
        <v xml:space="preserve">                                                  </v>
      </c>
      <c r="B783" s="20" t="s">
        <v>174</v>
      </c>
      <c r="C783" s="3"/>
      <c r="D783" s="3"/>
      <c r="E783" s="3"/>
      <c r="F783" s="3"/>
      <c r="G783" s="3"/>
      <c r="H783" s="3"/>
      <c r="I783" s="3"/>
      <c r="J783" s="3"/>
      <c r="K783" s="3"/>
      <c r="L783" s="3"/>
      <c r="M783" s="3"/>
      <c r="N783" s="3"/>
      <c r="O783" s="3"/>
      <c r="P783" s="3"/>
      <c r="Q783" s="3"/>
      <c r="R783" s="3"/>
      <c r="S783" s="3"/>
      <c r="T783" s="3"/>
      <c r="U783" s="3"/>
      <c r="V783" s="3"/>
      <c r="W783" s="3"/>
      <c r="X783" s="3"/>
      <c r="Y783" s="3"/>
      <c r="Z783" s="3"/>
      <c r="AA783" s="3"/>
      <c r="AB783" s="3"/>
      <c r="AC783" s="3"/>
      <c r="AD783" s="3"/>
      <c r="AE783" s="3"/>
      <c r="AF783" s="3"/>
      <c r="AG783" s="3"/>
      <c r="AH783" s="3"/>
      <c r="AI783" s="3"/>
      <c r="AJ783" s="3"/>
      <c r="AK783" s="3"/>
      <c r="AL783" s="3"/>
      <c r="AM783" s="3"/>
      <c r="AN783" s="3"/>
      <c r="AO783" s="3"/>
      <c r="AP783" s="3"/>
      <c r="AQ783" s="3"/>
      <c r="AR783" s="3"/>
      <c r="AS783" s="3"/>
      <c r="AT783" s="3"/>
      <c r="AU783" s="3"/>
      <c r="AV783" s="3"/>
      <c r="AW783" s="3"/>
      <c r="AX783" s="3"/>
      <c r="AY783" s="3"/>
      <c r="AZ783" s="3"/>
    </row>
    <row r="784" spans="1:52" ht="18" customHeight="1" x14ac:dyDescent="0.2">
      <c r="A784" s="3" t="str">
        <f t="shared" si="12"/>
        <v xml:space="preserve">                                                  </v>
      </c>
      <c r="B784" s="20" t="s">
        <v>174</v>
      </c>
      <c r="C784" s="3"/>
      <c r="D784" s="3"/>
      <c r="E784" s="3"/>
      <c r="F784" s="3"/>
      <c r="G784" s="3"/>
      <c r="H784" s="3"/>
      <c r="I784" s="3"/>
      <c r="J784" s="3"/>
      <c r="K784" s="3"/>
      <c r="L784" s="3"/>
      <c r="M784" s="3"/>
      <c r="N784" s="3"/>
      <c r="O784" s="3"/>
      <c r="P784" s="3"/>
      <c r="Q784" s="3"/>
      <c r="R784" s="3"/>
      <c r="S784" s="3"/>
      <c r="T784" s="3"/>
      <c r="U784" s="3"/>
      <c r="V784" s="3"/>
      <c r="W784" s="3"/>
      <c r="X784" s="3"/>
      <c r="Y784" s="3"/>
      <c r="Z784" s="3"/>
      <c r="AA784" s="3"/>
      <c r="AB784" s="3"/>
      <c r="AC784" s="3"/>
      <c r="AD784" s="3"/>
      <c r="AE784" s="3"/>
      <c r="AF784" s="3"/>
      <c r="AG784" s="3"/>
      <c r="AH784" s="3"/>
      <c r="AI784" s="3"/>
      <c r="AJ784" s="3"/>
      <c r="AK784" s="3"/>
      <c r="AL784" s="3"/>
      <c r="AM784" s="3"/>
      <c r="AN784" s="3"/>
      <c r="AO784" s="3"/>
      <c r="AP784" s="3"/>
      <c r="AQ784" s="3"/>
      <c r="AR784" s="3"/>
      <c r="AS784" s="3"/>
      <c r="AT784" s="3"/>
      <c r="AU784" s="3"/>
      <c r="AV784" s="3"/>
      <c r="AW784" s="3"/>
      <c r="AX784" s="3"/>
      <c r="AY784" s="3"/>
      <c r="AZ784" s="3"/>
    </row>
    <row r="785" spans="1:52" ht="18" customHeight="1" x14ac:dyDescent="0.2">
      <c r="A785" s="3" t="str">
        <f t="shared" si="12"/>
        <v xml:space="preserve">                                                  </v>
      </c>
      <c r="B785" s="20" t="s">
        <v>174</v>
      </c>
      <c r="C785" s="3"/>
      <c r="D785" s="3"/>
      <c r="E785" s="3"/>
      <c r="F785" s="3"/>
      <c r="G785" s="3"/>
      <c r="H785" s="3"/>
      <c r="I785" s="3"/>
      <c r="J785" s="3"/>
      <c r="K785" s="3"/>
      <c r="L785" s="3"/>
      <c r="M785" s="3"/>
      <c r="N785" s="3"/>
      <c r="O785" s="3"/>
      <c r="P785" s="3"/>
      <c r="Q785" s="3"/>
      <c r="R785" s="3"/>
      <c r="S785" s="3"/>
      <c r="T785" s="3"/>
      <c r="U785" s="3"/>
      <c r="V785" s="3"/>
      <c r="W785" s="3"/>
      <c r="X785" s="3"/>
      <c r="Y785" s="3"/>
      <c r="Z785" s="3"/>
      <c r="AA785" s="3"/>
      <c r="AB785" s="3"/>
      <c r="AC785" s="3"/>
      <c r="AD785" s="3"/>
      <c r="AE785" s="3"/>
      <c r="AF785" s="3"/>
      <c r="AG785" s="3"/>
      <c r="AH785" s="3"/>
      <c r="AI785" s="3"/>
      <c r="AJ785" s="3"/>
      <c r="AK785" s="3"/>
      <c r="AL785" s="3"/>
      <c r="AM785" s="3"/>
      <c r="AN785" s="3"/>
      <c r="AO785" s="3"/>
      <c r="AP785" s="3"/>
      <c r="AQ785" s="3"/>
      <c r="AR785" s="3"/>
      <c r="AS785" s="3"/>
      <c r="AT785" s="3"/>
      <c r="AU785" s="3"/>
      <c r="AV785" s="3"/>
      <c r="AW785" s="3"/>
      <c r="AX785" s="3"/>
      <c r="AY785" s="3"/>
      <c r="AZ785" s="3"/>
    </row>
    <row r="786" spans="1:52" ht="18" customHeight="1" x14ac:dyDescent="0.2">
      <c r="A786" s="3" t="str">
        <f t="shared" si="12"/>
        <v xml:space="preserve">                                                  </v>
      </c>
      <c r="B786" s="20" t="s">
        <v>174</v>
      </c>
      <c r="C786" s="3"/>
      <c r="D786" s="3"/>
      <c r="E786" s="3"/>
      <c r="F786" s="3"/>
      <c r="G786" s="3"/>
      <c r="H786" s="3"/>
      <c r="I786" s="3"/>
      <c r="J786" s="3"/>
      <c r="K786" s="3"/>
      <c r="L786" s="3"/>
      <c r="M786" s="3"/>
      <c r="N786" s="3"/>
      <c r="O786" s="3"/>
      <c r="P786" s="3"/>
      <c r="Q786" s="3"/>
      <c r="R786" s="3"/>
      <c r="S786" s="3"/>
      <c r="T786" s="3"/>
      <c r="U786" s="3"/>
      <c r="V786" s="3"/>
      <c r="W786" s="3"/>
      <c r="X786" s="3"/>
      <c r="Y786" s="3"/>
      <c r="Z786" s="3"/>
      <c r="AA786" s="3"/>
      <c r="AB786" s="3"/>
      <c r="AC786" s="3"/>
      <c r="AD786" s="3"/>
      <c r="AE786" s="3"/>
      <c r="AF786" s="3"/>
      <c r="AG786" s="3"/>
      <c r="AH786" s="3"/>
      <c r="AI786" s="3"/>
      <c r="AJ786" s="3"/>
      <c r="AK786" s="3"/>
      <c r="AL786" s="3"/>
      <c r="AM786" s="3"/>
      <c r="AN786" s="3"/>
      <c r="AO786" s="3"/>
      <c r="AP786" s="3"/>
      <c r="AQ786" s="3"/>
      <c r="AR786" s="3"/>
      <c r="AS786" s="3"/>
      <c r="AT786" s="3"/>
      <c r="AU786" s="3"/>
      <c r="AV786" s="3"/>
      <c r="AW786" s="3"/>
      <c r="AX786" s="3"/>
      <c r="AY786" s="3"/>
      <c r="AZ786" s="3"/>
    </row>
    <row r="787" spans="1:52" ht="18" customHeight="1" x14ac:dyDescent="0.2">
      <c r="A787" s="3" t="str">
        <f t="shared" si="12"/>
        <v xml:space="preserve">                                                  </v>
      </c>
      <c r="B787" s="20" t="s">
        <v>174</v>
      </c>
      <c r="C787" s="3"/>
      <c r="D787" s="3"/>
      <c r="E787" s="3"/>
      <c r="F787" s="3"/>
      <c r="G787" s="3"/>
      <c r="H787" s="3"/>
      <c r="I787" s="3"/>
      <c r="J787" s="3"/>
      <c r="K787" s="3"/>
      <c r="L787" s="3"/>
      <c r="M787" s="3"/>
      <c r="N787" s="3"/>
      <c r="O787" s="3"/>
      <c r="P787" s="3"/>
      <c r="Q787" s="3"/>
      <c r="R787" s="3"/>
      <c r="S787" s="3"/>
      <c r="T787" s="3"/>
      <c r="U787" s="3"/>
      <c r="V787" s="3"/>
      <c r="W787" s="3"/>
      <c r="X787" s="3"/>
      <c r="Y787" s="3"/>
      <c r="Z787" s="3"/>
      <c r="AA787" s="3"/>
      <c r="AB787" s="3"/>
      <c r="AC787" s="3"/>
      <c r="AD787" s="3"/>
      <c r="AE787" s="3"/>
      <c r="AF787" s="3"/>
      <c r="AG787" s="3"/>
      <c r="AH787" s="3"/>
      <c r="AI787" s="3"/>
      <c r="AJ787" s="3"/>
      <c r="AK787" s="3"/>
      <c r="AL787" s="3"/>
      <c r="AM787" s="3"/>
      <c r="AN787" s="3"/>
      <c r="AO787" s="3"/>
      <c r="AP787" s="3"/>
      <c r="AQ787" s="3"/>
      <c r="AR787" s="3"/>
      <c r="AS787" s="3"/>
      <c r="AT787" s="3"/>
      <c r="AU787" s="3"/>
      <c r="AV787" s="3"/>
      <c r="AW787" s="3"/>
      <c r="AX787" s="3"/>
      <c r="AY787" s="3"/>
      <c r="AZ787" s="3"/>
    </row>
    <row r="788" spans="1:52" ht="18" customHeight="1" x14ac:dyDescent="0.2">
      <c r="A788" s="3" t="str">
        <f t="shared" si="12"/>
        <v xml:space="preserve">                                                  </v>
      </c>
      <c r="B788" s="20" t="s">
        <v>174</v>
      </c>
      <c r="C788" s="3"/>
      <c r="D788" s="3"/>
      <c r="E788" s="3"/>
      <c r="F788" s="3"/>
      <c r="G788" s="3"/>
      <c r="H788" s="3"/>
      <c r="I788" s="3"/>
      <c r="J788" s="3"/>
      <c r="K788" s="3"/>
      <c r="L788" s="3"/>
      <c r="M788" s="3"/>
      <c r="N788" s="3"/>
      <c r="O788" s="3"/>
      <c r="P788" s="3"/>
      <c r="Q788" s="3"/>
      <c r="R788" s="3"/>
      <c r="S788" s="3"/>
      <c r="T788" s="3"/>
      <c r="U788" s="3"/>
      <c r="V788" s="3"/>
      <c r="W788" s="3"/>
      <c r="X788" s="3"/>
      <c r="Y788" s="3"/>
      <c r="Z788" s="3"/>
      <c r="AA788" s="3"/>
      <c r="AB788" s="3"/>
      <c r="AC788" s="3"/>
      <c r="AD788" s="3"/>
      <c r="AE788" s="3"/>
      <c r="AF788" s="3"/>
      <c r="AG788" s="3"/>
      <c r="AH788" s="3"/>
      <c r="AI788" s="3"/>
      <c r="AJ788" s="3"/>
      <c r="AK788" s="3"/>
      <c r="AL788" s="3"/>
      <c r="AM788" s="3"/>
      <c r="AN788" s="3"/>
      <c r="AO788" s="3"/>
      <c r="AP788" s="3"/>
      <c r="AQ788" s="3"/>
      <c r="AR788" s="3"/>
      <c r="AS788" s="3"/>
      <c r="AT788" s="3"/>
      <c r="AU788" s="3"/>
      <c r="AV788" s="3"/>
      <c r="AW788" s="3"/>
      <c r="AX788" s="3"/>
      <c r="AY788" s="3"/>
      <c r="AZ788" s="3"/>
    </row>
    <row r="789" spans="1:52" ht="18" customHeight="1" x14ac:dyDescent="0.2">
      <c r="A789" s="3" t="str">
        <f t="shared" si="12"/>
        <v xml:space="preserve">                                                  </v>
      </c>
      <c r="B789" s="20" t="s">
        <v>174</v>
      </c>
      <c r="C789" s="3"/>
      <c r="D789" s="3"/>
      <c r="E789" s="3"/>
      <c r="F789" s="3"/>
      <c r="G789" s="3"/>
      <c r="H789" s="3"/>
      <c r="I789" s="3"/>
      <c r="J789" s="3"/>
      <c r="K789" s="3"/>
      <c r="L789" s="3"/>
      <c r="M789" s="3"/>
      <c r="N789" s="3"/>
      <c r="O789" s="3"/>
      <c r="P789" s="3"/>
      <c r="Q789" s="3"/>
      <c r="R789" s="3"/>
      <c r="S789" s="3"/>
      <c r="T789" s="3"/>
      <c r="U789" s="3"/>
      <c r="V789" s="3"/>
      <c r="W789" s="3"/>
      <c r="X789" s="3"/>
      <c r="Y789" s="3"/>
      <c r="Z789" s="3"/>
      <c r="AA789" s="3"/>
      <c r="AB789" s="3"/>
      <c r="AC789" s="3"/>
      <c r="AD789" s="3"/>
      <c r="AE789" s="3"/>
      <c r="AF789" s="3"/>
      <c r="AG789" s="3"/>
      <c r="AH789" s="3"/>
      <c r="AI789" s="3"/>
      <c r="AJ789" s="3"/>
      <c r="AK789" s="3"/>
      <c r="AL789" s="3"/>
      <c r="AM789" s="3"/>
      <c r="AN789" s="3"/>
      <c r="AO789" s="3"/>
      <c r="AP789" s="3"/>
      <c r="AQ789" s="3"/>
      <c r="AR789" s="3"/>
      <c r="AS789" s="3"/>
      <c r="AT789" s="3"/>
      <c r="AU789" s="3"/>
      <c r="AV789" s="3"/>
      <c r="AW789" s="3"/>
      <c r="AX789" s="3"/>
      <c r="AY789" s="3"/>
      <c r="AZ789" s="3"/>
    </row>
    <row r="790" spans="1:52" ht="18" customHeight="1" x14ac:dyDescent="0.2">
      <c r="A790" s="3" t="str">
        <f t="shared" si="12"/>
        <v xml:space="preserve">                                                  </v>
      </c>
      <c r="B790" s="20" t="s">
        <v>174</v>
      </c>
      <c r="C790" s="3"/>
      <c r="D790" s="3"/>
      <c r="E790" s="3"/>
      <c r="F790" s="3"/>
      <c r="G790" s="3"/>
      <c r="H790" s="3"/>
      <c r="I790" s="3"/>
      <c r="J790" s="3"/>
      <c r="K790" s="3"/>
      <c r="L790" s="3"/>
      <c r="M790" s="3"/>
      <c r="N790" s="3"/>
      <c r="O790" s="3"/>
      <c r="P790" s="3"/>
      <c r="Q790" s="3"/>
      <c r="R790" s="3"/>
      <c r="S790" s="3"/>
      <c r="T790" s="3"/>
      <c r="U790" s="3"/>
      <c r="V790" s="3"/>
      <c r="W790" s="3"/>
      <c r="X790" s="3"/>
      <c r="Y790" s="3"/>
      <c r="Z790" s="3"/>
      <c r="AA790" s="3"/>
      <c r="AB790" s="3"/>
      <c r="AC790" s="3"/>
      <c r="AD790" s="3"/>
      <c r="AE790" s="3"/>
      <c r="AF790" s="3"/>
      <c r="AG790" s="3"/>
      <c r="AH790" s="3"/>
      <c r="AI790" s="3"/>
      <c r="AJ790" s="3"/>
      <c r="AK790" s="3"/>
      <c r="AL790" s="3"/>
      <c r="AM790" s="3"/>
      <c r="AN790" s="3"/>
      <c r="AO790" s="3"/>
      <c r="AP790" s="3"/>
      <c r="AQ790" s="3"/>
      <c r="AR790" s="3"/>
      <c r="AS790" s="3"/>
      <c r="AT790" s="3"/>
      <c r="AU790" s="3"/>
      <c r="AV790" s="3"/>
      <c r="AW790" s="3"/>
      <c r="AX790" s="3"/>
      <c r="AY790" s="3"/>
      <c r="AZ790" s="3"/>
    </row>
    <row r="791" spans="1:52" ht="18" customHeight="1" x14ac:dyDescent="0.2">
      <c r="A791" s="3" t="str">
        <f t="shared" si="12"/>
        <v xml:space="preserve">                                                  </v>
      </c>
      <c r="B791" s="20" t="s">
        <v>174</v>
      </c>
      <c r="C791" s="3"/>
      <c r="D791" s="3"/>
      <c r="E791" s="3"/>
      <c r="F791" s="3"/>
      <c r="G791" s="3"/>
      <c r="H791" s="3"/>
      <c r="I791" s="3"/>
      <c r="J791" s="3"/>
      <c r="K791" s="3"/>
      <c r="L791" s="3"/>
      <c r="M791" s="3"/>
      <c r="N791" s="3"/>
      <c r="O791" s="3"/>
      <c r="P791" s="3"/>
      <c r="Q791" s="3"/>
      <c r="R791" s="3"/>
      <c r="S791" s="3"/>
      <c r="T791" s="3"/>
      <c r="U791" s="3"/>
      <c r="V791" s="3"/>
      <c r="W791" s="3"/>
      <c r="X791" s="3"/>
      <c r="Y791" s="3"/>
      <c r="Z791" s="3"/>
      <c r="AA791" s="3"/>
      <c r="AB791" s="3"/>
      <c r="AC791" s="3"/>
      <c r="AD791" s="3"/>
      <c r="AE791" s="3"/>
      <c r="AF791" s="3"/>
      <c r="AG791" s="3"/>
      <c r="AH791" s="3"/>
      <c r="AI791" s="3"/>
      <c r="AJ791" s="3"/>
      <c r="AK791" s="3"/>
      <c r="AL791" s="3"/>
      <c r="AM791" s="3"/>
      <c r="AN791" s="3"/>
      <c r="AO791" s="3"/>
      <c r="AP791" s="3"/>
      <c r="AQ791" s="3"/>
      <c r="AR791" s="3"/>
      <c r="AS791" s="3"/>
      <c r="AT791" s="3"/>
      <c r="AU791" s="3"/>
      <c r="AV791" s="3"/>
      <c r="AW791" s="3"/>
      <c r="AX791" s="3"/>
      <c r="AY791" s="3"/>
      <c r="AZ791" s="3"/>
    </row>
    <row r="792" spans="1:52" ht="18" customHeight="1" x14ac:dyDescent="0.2">
      <c r="A792" s="3" t="str">
        <f t="shared" si="12"/>
        <v xml:space="preserve">                                                  </v>
      </c>
      <c r="B792" s="20" t="s">
        <v>174</v>
      </c>
      <c r="C792" s="3"/>
      <c r="D792" s="3"/>
      <c r="E792" s="3"/>
      <c r="F792" s="3"/>
      <c r="G792" s="3"/>
      <c r="H792" s="3"/>
      <c r="I792" s="3"/>
      <c r="J792" s="3"/>
      <c r="K792" s="3"/>
      <c r="L792" s="3"/>
      <c r="M792" s="3"/>
      <c r="N792" s="3"/>
      <c r="O792" s="3"/>
      <c r="P792" s="3"/>
      <c r="Q792" s="3"/>
      <c r="R792" s="3"/>
      <c r="S792" s="3"/>
      <c r="T792" s="3"/>
      <c r="U792" s="3"/>
      <c r="V792" s="3"/>
      <c r="W792" s="3"/>
      <c r="X792" s="3"/>
      <c r="Y792" s="3"/>
      <c r="Z792" s="3"/>
      <c r="AA792" s="3"/>
      <c r="AB792" s="3"/>
      <c r="AC792" s="3"/>
      <c r="AD792" s="3"/>
      <c r="AE792" s="3"/>
      <c r="AF792" s="3"/>
      <c r="AG792" s="3"/>
      <c r="AH792" s="3"/>
      <c r="AI792" s="3"/>
      <c r="AJ792" s="3"/>
      <c r="AK792" s="3"/>
      <c r="AL792" s="3"/>
      <c r="AM792" s="3"/>
      <c r="AN792" s="3"/>
      <c r="AO792" s="3"/>
      <c r="AP792" s="3"/>
      <c r="AQ792" s="3"/>
      <c r="AR792" s="3"/>
      <c r="AS792" s="3"/>
      <c r="AT792" s="3"/>
      <c r="AU792" s="3"/>
      <c r="AV792" s="3"/>
      <c r="AW792" s="3"/>
      <c r="AX792" s="3"/>
      <c r="AY792" s="3"/>
      <c r="AZ792" s="3"/>
    </row>
    <row r="793" spans="1:52" ht="18" customHeight="1" x14ac:dyDescent="0.2">
      <c r="A793" s="3" t="str">
        <f t="shared" si="12"/>
        <v xml:space="preserve">                                                  </v>
      </c>
      <c r="B793" s="20" t="s">
        <v>174</v>
      </c>
      <c r="C793" s="3"/>
      <c r="D793" s="3"/>
      <c r="E793" s="3"/>
      <c r="F793" s="3"/>
      <c r="G793" s="3"/>
      <c r="H793" s="3"/>
      <c r="I793" s="3"/>
      <c r="J793" s="3"/>
      <c r="K793" s="3"/>
      <c r="L793" s="3"/>
      <c r="M793" s="3"/>
      <c r="N793" s="3"/>
      <c r="O793" s="3"/>
      <c r="P793" s="3"/>
      <c r="Q793" s="3"/>
      <c r="R793" s="3"/>
      <c r="S793" s="3"/>
      <c r="T793" s="3"/>
      <c r="U793" s="3"/>
      <c r="V793" s="3"/>
      <c r="W793" s="3"/>
      <c r="X793" s="3"/>
      <c r="Y793" s="3"/>
      <c r="Z793" s="3"/>
      <c r="AA793" s="3"/>
      <c r="AB793" s="3"/>
      <c r="AC793" s="3"/>
      <c r="AD793" s="3"/>
      <c r="AE793" s="3"/>
      <c r="AF793" s="3"/>
      <c r="AG793" s="3"/>
      <c r="AH793" s="3"/>
      <c r="AI793" s="3"/>
      <c r="AJ793" s="3"/>
      <c r="AK793" s="3"/>
      <c r="AL793" s="3"/>
      <c r="AM793" s="3"/>
      <c r="AN793" s="3"/>
      <c r="AO793" s="3"/>
      <c r="AP793" s="3"/>
      <c r="AQ793" s="3"/>
      <c r="AR793" s="3"/>
      <c r="AS793" s="3"/>
      <c r="AT793" s="3"/>
      <c r="AU793" s="3"/>
      <c r="AV793" s="3"/>
      <c r="AW793" s="3"/>
      <c r="AX793" s="3"/>
      <c r="AY793" s="3"/>
      <c r="AZ793" s="3"/>
    </row>
    <row r="794" spans="1:52" ht="18" customHeight="1" x14ac:dyDescent="0.2">
      <c r="A794" s="3" t="str">
        <f t="shared" si="12"/>
        <v xml:space="preserve">                                                  </v>
      </c>
      <c r="B794" s="20" t="s">
        <v>174</v>
      </c>
      <c r="C794" s="3"/>
      <c r="D794" s="3"/>
      <c r="E794" s="3"/>
      <c r="F794" s="3"/>
      <c r="G794" s="3"/>
      <c r="H794" s="3"/>
      <c r="I794" s="3"/>
      <c r="J794" s="3"/>
      <c r="K794" s="3"/>
      <c r="L794" s="3"/>
      <c r="M794" s="3"/>
      <c r="N794" s="3"/>
      <c r="O794" s="3"/>
      <c r="P794" s="3"/>
      <c r="Q794" s="3"/>
      <c r="R794" s="3"/>
      <c r="S794" s="3"/>
      <c r="T794" s="3"/>
      <c r="U794" s="3"/>
      <c r="V794" s="3"/>
      <c r="W794" s="3"/>
      <c r="X794" s="3"/>
      <c r="Y794" s="3"/>
      <c r="Z794" s="3"/>
      <c r="AA794" s="3"/>
      <c r="AB794" s="3"/>
      <c r="AC794" s="3"/>
      <c r="AD794" s="3"/>
      <c r="AE794" s="3"/>
      <c r="AF794" s="3"/>
      <c r="AG794" s="3"/>
      <c r="AH794" s="3"/>
      <c r="AI794" s="3"/>
      <c r="AJ794" s="3"/>
      <c r="AK794" s="3"/>
      <c r="AL794" s="3"/>
      <c r="AM794" s="3"/>
      <c r="AN794" s="3"/>
      <c r="AO794" s="3"/>
      <c r="AP794" s="3"/>
      <c r="AQ794" s="3"/>
      <c r="AR794" s="3"/>
      <c r="AS794" s="3"/>
      <c r="AT794" s="3"/>
      <c r="AU794" s="3"/>
      <c r="AV794" s="3"/>
      <c r="AW794" s="3"/>
      <c r="AX794" s="3"/>
      <c r="AY794" s="3"/>
      <c r="AZ794" s="3"/>
    </row>
    <row r="795" spans="1:52" ht="18" customHeight="1" x14ac:dyDescent="0.2">
      <c r="A795" s="3" t="str">
        <f t="shared" si="12"/>
        <v xml:space="preserve">                                                  </v>
      </c>
      <c r="B795" s="20" t="s">
        <v>174</v>
      </c>
      <c r="C795" s="3"/>
      <c r="D795" s="3"/>
      <c r="E795" s="3"/>
      <c r="F795" s="3"/>
      <c r="G795" s="3"/>
      <c r="H795" s="3"/>
      <c r="I795" s="3"/>
      <c r="J795" s="3"/>
      <c r="K795" s="3"/>
      <c r="L795" s="3"/>
      <c r="M795" s="3"/>
      <c r="N795" s="3"/>
      <c r="O795" s="3"/>
      <c r="P795" s="3"/>
      <c r="Q795" s="3"/>
      <c r="R795" s="3"/>
      <c r="S795" s="3"/>
      <c r="T795" s="3"/>
      <c r="U795" s="3"/>
      <c r="V795" s="3"/>
      <c r="W795" s="3"/>
      <c r="X795" s="3"/>
      <c r="Y795" s="3"/>
      <c r="Z795" s="3"/>
      <c r="AA795" s="3"/>
      <c r="AB795" s="3"/>
      <c r="AC795" s="3"/>
      <c r="AD795" s="3"/>
      <c r="AE795" s="3"/>
      <c r="AF795" s="3"/>
      <c r="AG795" s="3"/>
      <c r="AH795" s="3"/>
      <c r="AI795" s="3"/>
      <c r="AJ795" s="3"/>
      <c r="AK795" s="3"/>
      <c r="AL795" s="3"/>
      <c r="AM795" s="3"/>
      <c r="AN795" s="3"/>
      <c r="AO795" s="3"/>
      <c r="AP795" s="3"/>
      <c r="AQ795" s="3"/>
      <c r="AR795" s="3"/>
      <c r="AS795" s="3"/>
      <c r="AT795" s="3"/>
      <c r="AU795" s="3"/>
      <c r="AV795" s="3"/>
      <c r="AW795" s="3"/>
      <c r="AX795" s="3"/>
      <c r="AY795" s="3"/>
      <c r="AZ795" s="3"/>
    </row>
    <row r="796" spans="1:52" ht="18" customHeight="1" x14ac:dyDescent="0.2">
      <c r="A796" s="3" t="str">
        <f t="shared" si="12"/>
        <v xml:space="preserve">                                                  </v>
      </c>
      <c r="B796" s="20" t="s">
        <v>174</v>
      </c>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row>
    <row r="797" spans="1:52" ht="18" customHeight="1" x14ac:dyDescent="0.2">
      <c r="A797" s="3" t="str">
        <f t="shared" si="12"/>
        <v xml:space="preserve">                                                  </v>
      </c>
      <c r="B797" s="20" t="s">
        <v>174</v>
      </c>
      <c r="C797" s="3"/>
      <c r="D797" s="3"/>
      <c r="E797" s="3"/>
      <c r="F797" s="3"/>
      <c r="G797" s="3"/>
      <c r="H797" s="3"/>
      <c r="I797" s="3"/>
      <c r="J797" s="3"/>
      <c r="K797" s="3"/>
      <c r="L797" s="3"/>
      <c r="M797" s="3"/>
      <c r="N797" s="3"/>
      <c r="O797" s="3"/>
      <c r="P797" s="3"/>
      <c r="Q797" s="3"/>
      <c r="R797" s="3"/>
      <c r="S797" s="3"/>
      <c r="T797" s="3"/>
      <c r="U797" s="3"/>
      <c r="V797" s="3"/>
      <c r="W797" s="3"/>
      <c r="X797" s="3"/>
      <c r="Y797" s="3"/>
      <c r="Z797" s="3"/>
      <c r="AA797" s="3"/>
      <c r="AB797" s="3"/>
      <c r="AC797" s="3"/>
      <c r="AD797" s="3"/>
      <c r="AE797" s="3"/>
      <c r="AF797" s="3"/>
      <c r="AG797" s="3"/>
      <c r="AH797" s="3"/>
      <c r="AI797" s="3"/>
      <c r="AJ797" s="3"/>
      <c r="AK797" s="3"/>
      <c r="AL797" s="3"/>
      <c r="AM797" s="3"/>
      <c r="AN797" s="3"/>
      <c r="AO797" s="3"/>
      <c r="AP797" s="3"/>
      <c r="AQ797" s="3"/>
      <c r="AR797" s="3"/>
      <c r="AS797" s="3"/>
      <c r="AT797" s="3"/>
      <c r="AU797" s="3"/>
      <c r="AV797" s="3"/>
      <c r="AW797" s="3"/>
      <c r="AX797" s="3"/>
      <c r="AY797" s="3"/>
      <c r="AZ797" s="3"/>
    </row>
    <row r="798" spans="1:52" ht="18" customHeight="1" x14ac:dyDescent="0.2">
      <c r="A798" s="3" t="str">
        <f t="shared" si="12"/>
        <v xml:space="preserve">                                                  </v>
      </c>
      <c r="B798" s="20" t="s">
        <v>174</v>
      </c>
      <c r="C798" s="3"/>
      <c r="D798" s="3"/>
      <c r="E798" s="3"/>
      <c r="F798" s="3"/>
      <c r="G798" s="3"/>
      <c r="H798" s="3"/>
      <c r="I798" s="3"/>
      <c r="J798" s="3"/>
      <c r="K798" s="3"/>
      <c r="L798" s="3"/>
      <c r="M798" s="3"/>
      <c r="N798" s="3"/>
      <c r="O798" s="3"/>
      <c r="P798" s="3"/>
      <c r="Q798" s="3"/>
      <c r="R798" s="3"/>
      <c r="S798" s="3"/>
      <c r="T798" s="3"/>
      <c r="U798" s="3"/>
      <c r="V798" s="3"/>
      <c r="W798" s="3"/>
      <c r="X798" s="3"/>
      <c r="Y798" s="3"/>
      <c r="Z798" s="3"/>
      <c r="AA798" s="3"/>
      <c r="AB798" s="3"/>
      <c r="AC798" s="3"/>
      <c r="AD798" s="3"/>
      <c r="AE798" s="3"/>
      <c r="AF798" s="3"/>
      <c r="AG798" s="3"/>
      <c r="AH798" s="3"/>
      <c r="AI798" s="3"/>
      <c r="AJ798" s="3"/>
      <c r="AK798" s="3"/>
      <c r="AL798" s="3"/>
      <c r="AM798" s="3"/>
      <c r="AN798" s="3"/>
      <c r="AO798" s="3"/>
      <c r="AP798" s="3"/>
      <c r="AQ798" s="3"/>
      <c r="AR798" s="3"/>
      <c r="AS798" s="3"/>
      <c r="AT798" s="3"/>
      <c r="AU798" s="3"/>
      <c r="AV798" s="3"/>
      <c r="AW798" s="3"/>
      <c r="AX798" s="3"/>
      <c r="AY798" s="3"/>
      <c r="AZ798" s="3"/>
    </row>
    <row r="799" spans="1:52" ht="18" customHeight="1" x14ac:dyDescent="0.2">
      <c r="A799" s="3" t="str">
        <f t="shared" si="12"/>
        <v xml:space="preserve">                                                  </v>
      </c>
      <c r="B799" s="20" t="s">
        <v>174</v>
      </c>
      <c r="C799" s="3"/>
      <c r="D799" s="3"/>
      <c r="E799" s="3"/>
      <c r="F799" s="3"/>
      <c r="G799" s="3"/>
      <c r="H799" s="3"/>
      <c r="I799" s="3"/>
      <c r="J799" s="3"/>
      <c r="K799" s="3"/>
      <c r="L799" s="3"/>
      <c r="M799" s="3"/>
      <c r="N799" s="3"/>
      <c r="O799" s="3"/>
      <c r="P799" s="3"/>
      <c r="Q799" s="3"/>
      <c r="R799" s="3"/>
      <c r="S799" s="3"/>
      <c r="T799" s="3"/>
      <c r="U799" s="3"/>
      <c r="V799" s="3"/>
      <c r="W799" s="3"/>
      <c r="X799" s="3"/>
      <c r="Y799" s="3"/>
      <c r="Z799" s="3"/>
      <c r="AA799" s="3"/>
      <c r="AB799" s="3"/>
      <c r="AC799" s="3"/>
      <c r="AD799" s="3"/>
      <c r="AE799" s="3"/>
      <c r="AF799" s="3"/>
      <c r="AG799" s="3"/>
      <c r="AH799" s="3"/>
      <c r="AI799" s="3"/>
      <c r="AJ799" s="3"/>
      <c r="AK799" s="3"/>
      <c r="AL799" s="3"/>
      <c r="AM799" s="3"/>
      <c r="AN799" s="3"/>
      <c r="AO799" s="3"/>
      <c r="AP799" s="3"/>
      <c r="AQ799" s="3"/>
      <c r="AR799" s="3"/>
      <c r="AS799" s="3"/>
      <c r="AT799" s="3"/>
      <c r="AU799" s="3"/>
      <c r="AV799" s="3"/>
      <c r="AW799" s="3"/>
      <c r="AX799" s="3"/>
      <c r="AY799" s="3"/>
      <c r="AZ799" s="3"/>
    </row>
    <row r="800" spans="1:52" ht="18" customHeight="1" x14ac:dyDescent="0.2">
      <c r="A800" s="3" t="str">
        <f t="shared" si="12"/>
        <v xml:space="preserve">                                                  </v>
      </c>
      <c r="B800" s="20" t="s">
        <v>174</v>
      </c>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row>
    <row r="801" spans="1:52" ht="18" customHeight="1" x14ac:dyDescent="0.2">
      <c r="A801" s="3" t="str">
        <f t="shared" si="12"/>
        <v xml:space="preserve">                                                  </v>
      </c>
      <c r="B801" s="20" t="s">
        <v>174</v>
      </c>
      <c r="C801" s="3"/>
      <c r="D801" s="3"/>
      <c r="E801" s="3"/>
      <c r="F801" s="3"/>
      <c r="G801" s="3"/>
      <c r="H801" s="3"/>
      <c r="I801" s="3"/>
      <c r="J801" s="3"/>
      <c r="K801" s="3"/>
      <c r="L801" s="3"/>
      <c r="M801" s="3"/>
      <c r="N801" s="3"/>
      <c r="O801" s="3"/>
      <c r="P801" s="3"/>
      <c r="Q801" s="3"/>
      <c r="R801" s="3"/>
      <c r="S801" s="3"/>
      <c r="T801" s="3"/>
      <c r="U801" s="3"/>
      <c r="V801" s="3"/>
      <c r="W801" s="3"/>
      <c r="X801" s="3"/>
      <c r="Y801" s="3"/>
      <c r="Z801" s="3"/>
      <c r="AA801" s="3"/>
      <c r="AB801" s="3"/>
      <c r="AC801" s="3"/>
      <c r="AD801" s="3"/>
      <c r="AE801" s="3"/>
      <c r="AF801" s="3"/>
      <c r="AG801" s="3"/>
      <c r="AH801" s="3"/>
      <c r="AI801" s="3"/>
      <c r="AJ801" s="3"/>
      <c r="AK801" s="3"/>
      <c r="AL801" s="3"/>
      <c r="AM801" s="3"/>
      <c r="AN801" s="3"/>
      <c r="AO801" s="3"/>
      <c r="AP801" s="3"/>
      <c r="AQ801" s="3"/>
      <c r="AR801" s="3"/>
      <c r="AS801" s="3"/>
      <c r="AT801" s="3"/>
      <c r="AU801" s="3"/>
      <c r="AV801" s="3"/>
      <c r="AW801" s="3"/>
      <c r="AX801" s="3"/>
      <c r="AY801" s="3"/>
      <c r="AZ801" s="3"/>
    </row>
    <row r="802" spans="1:52" ht="18" customHeight="1" x14ac:dyDescent="0.2">
      <c r="A802" s="3" t="str">
        <f t="shared" si="12"/>
        <v xml:space="preserve">                                                  </v>
      </c>
      <c r="B802" s="20" t="s">
        <v>174</v>
      </c>
      <c r="C802" s="3"/>
      <c r="D802" s="3"/>
      <c r="E802" s="3"/>
      <c r="F802" s="3"/>
      <c r="G802" s="3"/>
      <c r="H802" s="3"/>
      <c r="I802" s="3"/>
      <c r="J802" s="3"/>
      <c r="K802" s="3"/>
      <c r="L802" s="3"/>
      <c r="M802" s="3"/>
      <c r="N802" s="3"/>
      <c r="O802" s="3"/>
      <c r="P802" s="3"/>
      <c r="Q802" s="3"/>
      <c r="R802" s="3"/>
      <c r="S802" s="3"/>
      <c r="T802" s="3"/>
      <c r="U802" s="3"/>
      <c r="V802" s="3"/>
      <c r="W802" s="3"/>
      <c r="X802" s="3"/>
      <c r="Y802" s="3"/>
      <c r="Z802" s="3"/>
      <c r="AA802" s="3"/>
      <c r="AB802" s="3"/>
      <c r="AC802" s="3"/>
      <c r="AD802" s="3"/>
      <c r="AE802" s="3"/>
      <c r="AF802" s="3"/>
      <c r="AG802" s="3"/>
      <c r="AH802" s="3"/>
      <c r="AI802" s="3"/>
      <c r="AJ802" s="3"/>
      <c r="AK802" s="3"/>
      <c r="AL802" s="3"/>
      <c r="AM802" s="3"/>
      <c r="AN802" s="3"/>
      <c r="AO802" s="3"/>
      <c r="AP802" s="3"/>
      <c r="AQ802" s="3"/>
      <c r="AR802" s="3"/>
      <c r="AS802" s="3"/>
      <c r="AT802" s="3"/>
      <c r="AU802" s="3"/>
      <c r="AV802" s="3"/>
      <c r="AW802" s="3"/>
      <c r="AX802" s="3"/>
      <c r="AY802" s="3"/>
      <c r="AZ802" s="3"/>
    </row>
    <row r="803" spans="1:52" ht="18" customHeight="1" x14ac:dyDescent="0.2">
      <c r="A803" s="3" t="str">
        <f t="shared" si="12"/>
        <v xml:space="preserve">                                                  </v>
      </c>
      <c r="B803" s="20" t="s">
        <v>174</v>
      </c>
      <c r="C803" s="3"/>
      <c r="D803" s="3"/>
      <c r="E803" s="3"/>
      <c r="F803" s="3"/>
      <c r="G803" s="3"/>
      <c r="H803" s="3"/>
      <c r="I803" s="3"/>
      <c r="J803" s="3"/>
      <c r="K803" s="3"/>
      <c r="L803" s="3"/>
      <c r="M803" s="3"/>
      <c r="N803" s="3"/>
      <c r="O803" s="3"/>
      <c r="P803" s="3"/>
      <c r="Q803" s="3"/>
      <c r="R803" s="3"/>
      <c r="S803" s="3"/>
      <c r="T803" s="3"/>
      <c r="U803" s="3"/>
      <c r="V803" s="3"/>
      <c r="W803" s="3"/>
      <c r="X803" s="3"/>
      <c r="Y803" s="3"/>
      <c r="Z803" s="3"/>
      <c r="AA803" s="3"/>
      <c r="AB803" s="3"/>
      <c r="AC803" s="3"/>
      <c r="AD803" s="3"/>
      <c r="AE803" s="3"/>
      <c r="AF803" s="3"/>
      <c r="AG803" s="3"/>
      <c r="AH803" s="3"/>
      <c r="AI803" s="3"/>
      <c r="AJ803" s="3"/>
      <c r="AK803" s="3"/>
      <c r="AL803" s="3"/>
      <c r="AM803" s="3"/>
      <c r="AN803" s="3"/>
      <c r="AO803" s="3"/>
      <c r="AP803" s="3"/>
      <c r="AQ803" s="3"/>
      <c r="AR803" s="3"/>
      <c r="AS803" s="3"/>
      <c r="AT803" s="3"/>
      <c r="AU803" s="3"/>
      <c r="AV803" s="3"/>
      <c r="AW803" s="3"/>
      <c r="AX803" s="3"/>
      <c r="AY803" s="3"/>
      <c r="AZ803" s="3"/>
    </row>
    <row r="804" spans="1:52" ht="18" customHeight="1" x14ac:dyDescent="0.2">
      <c r="A804" s="3" t="str">
        <f t="shared" si="12"/>
        <v xml:space="preserve">                                                  </v>
      </c>
      <c r="B804" s="20" t="s">
        <v>174</v>
      </c>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row>
    <row r="805" spans="1:52" ht="18" customHeight="1" x14ac:dyDescent="0.2">
      <c r="A805" s="3" t="str">
        <f t="shared" si="12"/>
        <v xml:space="preserve">                                                  </v>
      </c>
      <c r="B805" s="20" t="s">
        <v>174</v>
      </c>
      <c r="C805" s="3"/>
      <c r="D805" s="3"/>
      <c r="E805" s="3"/>
      <c r="F805" s="3"/>
      <c r="G805" s="3"/>
      <c r="H805" s="3"/>
      <c r="I805" s="3"/>
      <c r="J805" s="3"/>
      <c r="K805" s="3"/>
      <c r="L805" s="3"/>
      <c r="M805" s="3"/>
      <c r="N805" s="3"/>
      <c r="O805" s="3"/>
      <c r="P805" s="3"/>
      <c r="Q805" s="3"/>
      <c r="R805" s="3"/>
      <c r="S805" s="3"/>
      <c r="T805" s="3"/>
      <c r="U805" s="3"/>
      <c r="V805" s="3"/>
      <c r="W805" s="3"/>
      <c r="X805" s="3"/>
      <c r="Y805" s="3"/>
      <c r="Z805" s="3"/>
      <c r="AA805" s="3"/>
      <c r="AB805" s="3"/>
      <c r="AC805" s="3"/>
      <c r="AD805" s="3"/>
      <c r="AE805" s="3"/>
      <c r="AF805" s="3"/>
      <c r="AG805" s="3"/>
      <c r="AH805" s="3"/>
      <c r="AI805" s="3"/>
      <c r="AJ805" s="3"/>
      <c r="AK805" s="3"/>
      <c r="AL805" s="3"/>
      <c r="AM805" s="3"/>
      <c r="AN805" s="3"/>
      <c r="AO805" s="3"/>
      <c r="AP805" s="3"/>
      <c r="AQ805" s="3"/>
      <c r="AR805" s="3"/>
      <c r="AS805" s="3"/>
      <c r="AT805" s="3"/>
      <c r="AU805" s="3"/>
      <c r="AV805" s="3"/>
      <c r="AW805" s="3"/>
      <c r="AX805" s="3"/>
      <c r="AY805" s="3"/>
      <c r="AZ805" s="3"/>
    </row>
    <row r="806" spans="1:52" ht="18" customHeight="1" x14ac:dyDescent="0.2">
      <c r="A806" s="3" t="str">
        <f t="shared" si="12"/>
        <v xml:space="preserve">                                                  </v>
      </c>
      <c r="B806" s="20" t="s">
        <v>174</v>
      </c>
      <c r="C806" s="3"/>
      <c r="D806" s="3"/>
      <c r="E806" s="3"/>
      <c r="F806" s="3"/>
      <c r="G806" s="3"/>
      <c r="H806" s="3"/>
      <c r="I806" s="3"/>
      <c r="J806" s="3"/>
      <c r="K806" s="3"/>
      <c r="L806" s="3"/>
      <c r="M806" s="3"/>
      <c r="N806" s="3"/>
      <c r="O806" s="3"/>
      <c r="P806" s="3"/>
      <c r="Q806" s="3"/>
      <c r="R806" s="3"/>
      <c r="S806" s="3"/>
      <c r="T806" s="3"/>
      <c r="U806" s="3"/>
      <c r="V806" s="3"/>
      <c r="W806" s="3"/>
      <c r="X806" s="3"/>
      <c r="Y806" s="3"/>
      <c r="Z806" s="3"/>
      <c r="AA806" s="3"/>
      <c r="AB806" s="3"/>
      <c r="AC806" s="3"/>
      <c r="AD806" s="3"/>
      <c r="AE806" s="3"/>
      <c r="AF806" s="3"/>
      <c r="AG806" s="3"/>
      <c r="AH806" s="3"/>
      <c r="AI806" s="3"/>
      <c r="AJ806" s="3"/>
      <c r="AK806" s="3"/>
      <c r="AL806" s="3"/>
      <c r="AM806" s="3"/>
      <c r="AN806" s="3"/>
      <c r="AO806" s="3"/>
      <c r="AP806" s="3"/>
      <c r="AQ806" s="3"/>
      <c r="AR806" s="3"/>
      <c r="AS806" s="3"/>
      <c r="AT806" s="3"/>
      <c r="AU806" s="3"/>
      <c r="AV806" s="3"/>
      <c r="AW806" s="3"/>
      <c r="AX806" s="3"/>
      <c r="AY806" s="3"/>
      <c r="AZ806" s="3"/>
    </row>
    <row r="807" spans="1:52" ht="18" customHeight="1" x14ac:dyDescent="0.2">
      <c r="A807" s="3" t="str">
        <f t="shared" si="12"/>
        <v xml:space="preserve">                                                  </v>
      </c>
      <c r="B807" s="20" t="s">
        <v>174</v>
      </c>
      <c r="C807" s="3"/>
      <c r="D807" s="3"/>
      <c r="E807" s="3"/>
      <c r="F807" s="3"/>
      <c r="G807" s="3"/>
      <c r="H807" s="3"/>
      <c r="I807" s="3"/>
      <c r="J807" s="3"/>
      <c r="K807" s="3"/>
      <c r="L807" s="3"/>
      <c r="M807" s="3"/>
      <c r="N807" s="3"/>
      <c r="O807" s="3"/>
      <c r="P807" s="3"/>
      <c r="Q807" s="3"/>
      <c r="R807" s="3"/>
      <c r="S807" s="3"/>
      <c r="T807" s="3"/>
      <c r="U807" s="3"/>
      <c r="V807" s="3"/>
      <c r="W807" s="3"/>
      <c r="X807" s="3"/>
      <c r="Y807" s="3"/>
      <c r="Z807" s="3"/>
      <c r="AA807" s="3"/>
      <c r="AB807" s="3"/>
      <c r="AC807" s="3"/>
      <c r="AD807" s="3"/>
      <c r="AE807" s="3"/>
      <c r="AF807" s="3"/>
      <c r="AG807" s="3"/>
      <c r="AH807" s="3"/>
      <c r="AI807" s="3"/>
      <c r="AJ807" s="3"/>
      <c r="AK807" s="3"/>
      <c r="AL807" s="3"/>
      <c r="AM807" s="3"/>
      <c r="AN807" s="3"/>
      <c r="AO807" s="3"/>
      <c r="AP807" s="3"/>
      <c r="AQ807" s="3"/>
      <c r="AR807" s="3"/>
      <c r="AS807" s="3"/>
      <c r="AT807" s="3"/>
      <c r="AU807" s="3"/>
      <c r="AV807" s="3"/>
      <c r="AW807" s="3"/>
      <c r="AX807" s="3"/>
      <c r="AY807" s="3"/>
      <c r="AZ807" s="3"/>
    </row>
    <row r="808" spans="1:52" ht="18" customHeight="1" x14ac:dyDescent="0.2">
      <c r="A808" s="3" t="str">
        <f t="shared" si="12"/>
        <v xml:space="preserve">                                                  </v>
      </c>
      <c r="B808" s="20" t="s">
        <v>174</v>
      </c>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row>
    <row r="809" spans="1:52" ht="18" customHeight="1" x14ac:dyDescent="0.2">
      <c r="A809" s="3" t="str">
        <f t="shared" si="12"/>
        <v xml:space="preserve">                                                  </v>
      </c>
      <c r="B809" s="20" t="s">
        <v>174</v>
      </c>
      <c r="C809" s="3"/>
      <c r="D809" s="3"/>
      <c r="E809" s="3"/>
      <c r="F809" s="3"/>
      <c r="G809" s="3"/>
      <c r="H809" s="3"/>
      <c r="I809" s="3"/>
      <c r="J809" s="3"/>
      <c r="K809" s="3"/>
      <c r="L809" s="3"/>
      <c r="M809" s="3"/>
      <c r="N809" s="3"/>
      <c r="O809" s="3"/>
      <c r="P809" s="3"/>
      <c r="Q809" s="3"/>
      <c r="R809" s="3"/>
      <c r="S809" s="3"/>
      <c r="T809" s="3"/>
      <c r="U809" s="3"/>
      <c r="V809" s="3"/>
      <c r="W809" s="3"/>
      <c r="X809" s="3"/>
      <c r="Y809" s="3"/>
      <c r="Z809" s="3"/>
      <c r="AA809" s="3"/>
      <c r="AB809" s="3"/>
      <c r="AC809" s="3"/>
      <c r="AD809" s="3"/>
      <c r="AE809" s="3"/>
      <c r="AF809" s="3"/>
      <c r="AG809" s="3"/>
      <c r="AH809" s="3"/>
      <c r="AI809" s="3"/>
      <c r="AJ809" s="3"/>
      <c r="AK809" s="3"/>
      <c r="AL809" s="3"/>
      <c r="AM809" s="3"/>
      <c r="AN809" s="3"/>
      <c r="AO809" s="3"/>
      <c r="AP809" s="3"/>
      <c r="AQ809" s="3"/>
      <c r="AR809" s="3"/>
      <c r="AS809" s="3"/>
      <c r="AT809" s="3"/>
      <c r="AU809" s="3"/>
      <c r="AV809" s="3"/>
      <c r="AW809" s="3"/>
      <c r="AX809" s="3"/>
      <c r="AY809" s="3"/>
      <c r="AZ809" s="3"/>
    </row>
    <row r="810" spans="1:52" ht="18" customHeight="1" x14ac:dyDescent="0.2">
      <c r="A810" s="3" t="str">
        <f t="shared" si="12"/>
        <v xml:space="preserve">                                                  </v>
      </c>
      <c r="B810" s="20" t="s">
        <v>174</v>
      </c>
      <c r="C810" s="3"/>
      <c r="D810" s="3"/>
      <c r="E810" s="3"/>
      <c r="F810" s="3"/>
      <c r="G810" s="3"/>
      <c r="H810" s="3"/>
      <c r="I810" s="3"/>
      <c r="J810" s="3"/>
      <c r="K810" s="3"/>
      <c r="L810" s="3"/>
      <c r="M810" s="3"/>
      <c r="N810" s="3"/>
      <c r="O810" s="3"/>
      <c r="P810" s="3"/>
      <c r="Q810" s="3"/>
      <c r="R810" s="3"/>
      <c r="S810" s="3"/>
      <c r="T810" s="3"/>
      <c r="U810" s="3"/>
      <c r="V810" s="3"/>
      <c r="W810" s="3"/>
      <c r="X810" s="3"/>
      <c r="Y810" s="3"/>
      <c r="Z810" s="3"/>
      <c r="AA810" s="3"/>
      <c r="AB810" s="3"/>
      <c r="AC810" s="3"/>
      <c r="AD810" s="3"/>
      <c r="AE810" s="3"/>
      <c r="AF810" s="3"/>
      <c r="AG810" s="3"/>
      <c r="AH810" s="3"/>
      <c r="AI810" s="3"/>
      <c r="AJ810" s="3"/>
      <c r="AK810" s="3"/>
      <c r="AL810" s="3"/>
      <c r="AM810" s="3"/>
      <c r="AN810" s="3"/>
      <c r="AO810" s="3"/>
      <c r="AP810" s="3"/>
      <c r="AQ810" s="3"/>
      <c r="AR810" s="3"/>
      <c r="AS810" s="3"/>
      <c r="AT810" s="3"/>
      <c r="AU810" s="3"/>
      <c r="AV810" s="3"/>
      <c r="AW810" s="3"/>
      <c r="AX810" s="3"/>
      <c r="AY810" s="3"/>
      <c r="AZ810" s="3"/>
    </row>
    <row r="811" spans="1:52" ht="18" customHeight="1" x14ac:dyDescent="0.2">
      <c r="A811" s="3" t="str">
        <f t="shared" si="12"/>
        <v xml:space="preserve">                                                  </v>
      </c>
      <c r="B811" s="20" t="s">
        <v>174</v>
      </c>
      <c r="C811" s="3"/>
      <c r="D811" s="3"/>
      <c r="E811" s="3"/>
      <c r="F811" s="3"/>
      <c r="G811" s="3"/>
      <c r="H811" s="3"/>
      <c r="I811" s="3"/>
      <c r="J811" s="3"/>
      <c r="K811" s="3"/>
      <c r="L811" s="3"/>
      <c r="M811" s="3"/>
      <c r="N811" s="3"/>
      <c r="O811" s="3"/>
      <c r="P811" s="3"/>
      <c r="Q811" s="3"/>
      <c r="R811" s="3"/>
      <c r="S811" s="3"/>
      <c r="T811" s="3"/>
      <c r="U811" s="3"/>
      <c r="V811" s="3"/>
      <c r="W811" s="3"/>
      <c r="X811" s="3"/>
      <c r="Y811" s="3"/>
      <c r="Z811" s="3"/>
      <c r="AA811" s="3"/>
      <c r="AB811" s="3"/>
      <c r="AC811" s="3"/>
      <c r="AD811" s="3"/>
      <c r="AE811" s="3"/>
      <c r="AF811" s="3"/>
      <c r="AG811" s="3"/>
      <c r="AH811" s="3"/>
      <c r="AI811" s="3"/>
      <c r="AJ811" s="3"/>
      <c r="AK811" s="3"/>
      <c r="AL811" s="3"/>
      <c r="AM811" s="3"/>
      <c r="AN811" s="3"/>
      <c r="AO811" s="3"/>
      <c r="AP811" s="3"/>
      <c r="AQ811" s="3"/>
      <c r="AR811" s="3"/>
      <c r="AS811" s="3"/>
      <c r="AT811" s="3"/>
      <c r="AU811" s="3"/>
      <c r="AV811" s="3"/>
      <c r="AW811" s="3"/>
      <c r="AX811" s="3"/>
      <c r="AY811" s="3"/>
      <c r="AZ811" s="3"/>
    </row>
    <row r="812" spans="1:52" ht="18" customHeight="1" x14ac:dyDescent="0.2">
      <c r="A812" s="3" t="str">
        <f t="shared" si="12"/>
        <v xml:space="preserve">                                                  </v>
      </c>
      <c r="B812" s="20" t="s">
        <v>174</v>
      </c>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row>
    <row r="813" spans="1:52" ht="18" customHeight="1" x14ac:dyDescent="0.2">
      <c r="A813" s="3" t="str">
        <f t="shared" si="12"/>
        <v xml:space="preserve">                                                  </v>
      </c>
      <c r="B813" s="20" t="s">
        <v>174</v>
      </c>
      <c r="C813" s="3"/>
      <c r="D813" s="3"/>
      <c r="E813" s="3"/>
      <c r="F813" s="3"/>
      <c r="G813" s="3"/>
      <c r="H813" s="3"/>
      <c r="I813" s="3"/>
      <c r="J813" s="3"/>
      <c r="K813" s="3"/>
      <c r="L813" s="3"/>
      <c r="M813" s="3"/>
      <c r="N813" s="3"/>
      <c r="O813" s="3"/>
      <c r="P813" s="3"/>
      <c r="Q813" s="3"/>
      <c r="R813" s="3"/>
      <c r="S813" s="3"/>
      <c r="T813" s="3"/>
      <c r="U813" s="3"/>
      <c r="V813" s="3"/>
      <c r="W813" s="3"/>
      <c r="X813" s="3"/>
      <c r="Y813" s="3"/>
      <c r="Z813" s="3"/>
      <c r="AA813" s="3"/>
      <c r="AB813" s="3"/>
      <c r="AC813" s="3"/>
      <c r="AD813" s="3"/>
      <c r="AE813" s="3"/>
      <c r="AF813" s="3"/>
      <c r="AG813" s="3"/>
      <c r="AH813" s="3"/>
      <c r="AI813" s="3"/>
      <c r="AJ813" s="3"/>
      <c r="AK813" s="3"/>
      <c r="AL813" s="3"/>
      <c r="AM813" s="3"/>
      <c r="AN813" s="3"/>
      <c r="AO813" s="3"/>
      <c r="AP813" s="3"/>
      <c r="AQ813" s="3"/>
      <c r="AR813" s="3"/>
      <c r="AS813" s="3"/>
      <c r="AT813" s="3"/>
      <c r="AU813" s="3"/>
      <c r="AV813" s="3"/>
      <c r="AW813" s="3"/>
      <c r="AX813" s="3"/>
      <c r="AY813" s="3"/>
      <c r="AZ813" s="3"/>
    </row>
    <row r="814" spans="1:52" ht="18" customHeight="1" x14ac:dyDescent="0.2">
      <c r="A814" s="3" t="str">
        <f t="shared" si="12"/>
        <v xml:space="preserve">                                                  </v>
      </c>
      <c r="B814" s="20" t="s">
        <v>174</v>
      </c>
      <c r="C814" s="3"/>
      <c r="D814" s="3"/>
      <c r="E814" s="3"/>
      <c r="F814" s="3"/>
      <c r="G814" s="3"/>
      <c r="H814" s="3"/>
      <c r="I814" s="3"/>
      <c r="J814" s="3"/>
      <c r="K814" s="3"/>
      <c r="L814" s="3"/>
      <c r="M814" s="3"/>
      <c r="N814" s="3"/>
      <c r="O814" s="3"/>
      <c r="P814" s="3"/>
      <c r="Q814" s="3"/>
      <c r="R814" s="3"/>
      <c r="S814" s="3"/>
      <c r="T814" s="3"/>
      <c r="U814" s="3"/>
      <c r="V814" s="3"/>
      <c r="W814" s="3"/>
      <c r="X814" s="3"/>
      <c r="Y814" s="3"/>
      <c r="Z814" s="3"/>
      <c r="AA814" s="3"/>
      <c r="AB814" s="3"/>
      <c r="AC814" s="3"/>
      <c r="AD814" s="3"/>
      <c r="AE814" s="3"/>
      <c r="AF814" s="3"/>
      <c r="AG814" s="3"/>
      <c r="AH814" s="3"/>
      <c r="AI814" s="3"/>
      <c r="AJ814" s="3"/>
      <c r="AK814" s="3"/>
      <c r="AL814" s="3"/>
      <c r="AM814" s="3"/>
      <c r="AN814" s="3"/>
      <c r="AO814" s="3"/>
      <c r="AP814" s="3"/>
      <c r="AQ814" s="3"/>
      <c r="AR814" s="3"/>
      <c r="AS814" s="3"/>
      <c r="AT814" s="3"/>
      <c r="AU814" s="3"/>
      <c r="AV814" s="3"/>
      <c r="AW814" s="3"/>
      <c r="AX814" s="3"/>
      <c r="AY814" s="3"/>
      <c r="AZ814" s="3"/>
    </row>
    <row r="815" spans="1:52" ht="18" customHeight="1" x14ac:dyDescent="0.2">
      <c r="A815" s="3" t="str">
        <f t="shared" si="12"/>
        <v xml:space="preserve">                                                  </v>
      </c>
      <c r="B815" s="20" t="s">
        <v>174</v>
      </c>
      <c r="C815" s="3"/>
      <c r="D815" s="3"/>
      <c r="E815" s="3"/>
      <c r="F815" s="3"/>
      <c r="G815" s="3"/>
      <c r="H815" s="3"/>
      <c r="I815" s="3"/>
      <c r="J815" s="3"/>
      <c r="K815" s="3"/>
      <c r="L815" s="3"/>
      <c r="M815" s="3"/>
      <c r="N815" s="3"/>
      <c r="O815" s="3"/>
      <c r="P815" s="3"/>
      <c r="Q815" s="3"/>
      <c r="R815" s="3"/>
      <c r="S815" s="3"/>
      <c r="T815" s="3"/>
      <c r="U815" s="3"/>
      <c r="V815" s="3"/>
      <c r="W815" s="3"/>
      <c r="X815" s="3"/>
      <c r="Y815" s="3"/>
      <c r="Z815" s="3"/>
      <c r="AA815" s="3"/>
      <c r="AB815" s="3"/>
      <c r="AC815" s="3"/>
      <c r="AD815" s="3"/>
      <c r="AE815" s="3"/>
      <c r="AF815" s="3"/>
      <c r="AG815" s="3"/>
      <c r="AH815" s="3"/>
      <c r="AI815" s="3"/>
      <c r="AJ815" s="3"/>
      <c r="AK815" s="3"/>
      <c r="AL815" s="3"/>
      <c r="AM815" s="3"/>
      <c r="AN815" s="3"/>
      <c r="AO815" s="3"/>
      <c r="AP815" s="3"/>
      <c r="AQ815" s="3"/>
      <c r="AR815" s="3"/>
      <c r="AS815" s="3"/>
      <c r="AT815" s="3"/>
      <c r="AU815" s="3"/>
      <c r="AV815" s="3"/>
      <c r="AW815" s="3"/>
      <c r="AX815" s="3"/>
      <c r="AY815" s="3"/>
      <c r="AZ815" s="3"/>
    </row>
    <row r="816" spans="1:52" ht="18" customHeight="1" x14ac:dyDescent="0.2">
      <c r="A816" s="3" t="str">
        <f t="shared" si="12"/>
        <v xml:space="preserve">                                                  </v>
      </c>
      <c r="B816" s="20" t="s">
        <v>174</v>
      </c>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row>
    <row r="817" spans="1:52" ht="18" customHeight="1" x14ac:dyDescent="0.2">
      <c r="A817" s="3" t="str">
        <f t="shared" si="12"/>
        <v xml:space="preserve">                                                  </v>
      </c>
      <c r="B817" s="20" t="s">
        <v>174</v>
      </c>
      <c r="C817" s="3"/>
      <c r="D817" s="3"/>
      <c r="E817" s="3"/>
      <c r="F817" s="3"/>
      <c r="G817" s="3"/>
      <c r="H817" s="3"/>
      <c r="I817" s="3"/>
      <c r="J817" s="3"/>
      <c r="K817" s="3"/>
      <c r="L817" s="3"/>
      <c r="M817" s="3"/>
      <c r="N817" s="3"/>
      <c r="O817" s="3"/>
      <c r="P817" s="3"/>
      <c r="Q817" s="3"/>
      <c r="R817" s="3"/>
      <c r="S817" s="3"/>
      <c r="T817" s="3"/>
      <c r="U817" s="3"/>
      <c r="V817" s="3"/>
      <c r="W817" s="3"/>
      <c r="X817" s="3"/>
      <c r="Y817" s="3"/>
      <c r="Z817" s="3"/>
      <c r="AA817" s="3"/>
      <c r="AB817" s="3"/>
      <c r="AC817" s="3"/>
      <c r="AD817" s="3"/>
      <c r="AE817" s="3"/>
      <c r="AF817" s="3"/>
      <c r="AG817" s="3"/>
      <c r="AH817" s="3"/>
      <c r="AI817" s="3"/>
      <c r="AJ817" s="3"/>
      <c r="AK817" s="3"/>
      <c r="AL817" s="3"/>
      <c r="AM817" s="3"/>
      <c r="AN817" s="3"/>
      <c r="AO817" s="3"/>
      <c r="AP817" s="3"/>
      <c r="AQ817" s="3"/>
      <c r="AR817" s="3"/>
      <c r="AS817" s="3"/>
      <c r="AT817" s="3"/>
      <c r="AU817" s="3"/>
      <c r="AV817" s="3"/>
      <c r="AW817" s="3"/>
      <c r="AX817" s="3"/>
      <c r="AY817" s="3"/>
      <c r="AZ817" s="3"/>
    </row>
    <row r="818" spans="1:52" ht="18" customHeight="1" x14ac:dyDescent="0.2">
      <c r="A818" s="3" t="str">
        <f t="shared" si="12"/>
        <v xml:space="preserve">                                                  </v>
      </c>
      <c r="B818" s="20" t="s">
        <v>174</v>
      </c>
      <c r="C818" s="3"/>
      <c r="D818" s="3"/>
      <c r="E818" s="3"/>
      <c r="F818" s="3"/>
      <c r="G818" s="3"/>
      <c r="H818" s="3"/>
      <c r="I818" s="3"/>
      <c r="J818" s="3"/>
      <c r="K818" s="3"/>
      <c r="L818" s="3"/>
      <c r="M818" s="3"/>
      <c r="N818" s="3"/>
      <c r="O818" s="3"/>
      <c r="P818" s="3"/>
      <c r="Q818" s="3"/>
      <c r="R818" s="3"/>
      <c r="S818" s="3"/>
      <c r="T818" s="3"/>
      <c r="U818" s="3"/>
      <c r="V818" s="3"/>
      <c r="W818" s="3"/>
      <c r="X818" s="3"/>
      <c r="Y818" s="3"/>
      <c r="Z818" s="3"/>
      <c r="AA818" s="3"/>
      <c r="AB818" s="3"/>
      <c r="AC818" s="3"/>
      <c r="AD818" s="3"/>
      <c r="AE818" s="3"/>
      <c r="AF818" s="3"/>
      <c r="AG818" s="3"/>
      <c r="AH818" s="3"/>
      <c r="AI818" s="3"/>
      <c r="AJ818" s="3"/>
      <c r="AK818" s="3"/>
      <c r="AL818" s="3"/>
      <c r="AM818" s="3"/>
      <c r="AN818" s="3"/>
      <c r="AO818" s="3"/>
      <c r="AP818" s="3"/>
      <c r="AQ818" s="3"/>
      <c r="AR818" s="3"/>
      <c r="AS818" s="3"/>
      <c r="AT818" s="3"/>
      <c r="AU818" s="3"/>
      <c r="AV818" s="3"/>
      <c r="AW818" s="3"/>
      <c r="AX818" s="3"/>
      <c r="AY818" s="3"/>
      <c r="AZ818" s="3"/>
    </row>
    <row r="819" spans="1:52" ht="18" customHeight="1" x14ac:dyDescent="0.2">
      <c r="A819" s="3" t="str">
        <f t="shared" si="12"/>
        <v xml:space="preserve">                                                  </v>
      </c>
      <c r="B819" s="20" t="s">
        <v>174</v>
      </c>
      <c r="C819" s="3"/>
      <c r="D819" s="3"/>
      <c r="E819" s="3"/>
      <c r="F819" s="3"/>
      <c r="G819" s="3"/>
      <c r="H819" s="3"/>
      <c r="I819" s="3"/>
      <c r="J819" s="3"/>
      <c r="K819" s="3"/>
      <c r="L819" s="3"/>
      <c r="M819" s="3"/>
      <c r="N819" s="3"/>
      <c r="O819" s="3"/>
      <c r="P819" s="3"/>
      <c r="Q819" s="3"/>
      <c r="R819" s="3"/>
      <c r="S819" s="3"/>
      <c r="T819" s="3"/>
      <c r="U819" s="3"/>
      <c r="V819" s="3"/>
      <c r="W819" s="3"/>
      <c r="X819" s="3"/>
      <c r="Y819" s="3"/>
      <c r="Z819" s="3"/>
      <c r="AA819" s="3"/>
      <c r="AB819" s="3"/>
      <c r="AC819" s="3"/>
      <c r="AD819" s="3"/>
      <c r="AE819" s="3"/>
      <c r="AF819" s="3"/>
      <c r="AG819" s="3"/>
      <c r="AH819" s="3"/>
      <c r="AI819" s="3"/>
      <c r="AJ819" s="3"/>
      <c r="AK819" s="3"/>
      <c r="AL819" s="3"/>
      <c r="AM819" s="3"/>
      <c r="AN819" s="3"/>
      <c r="AO819" s="3"/>
      <c r="AP819" s="3"/>
      <c r="AQ819" s="3"/>
      <c r="AR819" s="3"/>
      <c r="AS819" s="3"/>
      <c r="AT819" s="3"/>
      <c r="AU819" s="3"/>
      <c r="AV819" s="3"/>
      <c r="AW819" s="3"/>
      <c r="AX819" s="3"/>
      <c r="AY819" s="3"/>
      <c r="AZ819" s="3"/>
    </row>
    <row r="820" spans="1:52" ht="18" customHeight="1" x14ac:dyDescent="0.2">
      <c r="A820" s="3" t="str">
        <f t="shared" si="12"/>
        <v xml:space="preserve">                                                  </v>
      </c>
      <c r="B820" s="20" t="s">
        <v>174</v>
      </c>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row>
    <row r="821" spans="1:52" ht="18" customHeight="1" x14ac:dyDescent="0.2">
      <c r="A821" s="3" t="str">
        <f t="shared" si="12"/>
        <v xml:space="preserve">                                                  </v>
      </c>
      <c r="B821" s="20" t="s">
        <v>174</v>
      </c>
      <c r="C821" s="3"/>
      <c r="D821" s="3"/>
      <c r="E821" s="3"/>
      <c r="F821" s="3"/>
      <c r="G821" s="3"/>
      <c r="H821" s="3"/>
      <c r="I821" s="3"/>
      <c r="J821" s="3"/>
      <c r="K821" s="3"/>
      <c r="L821" s="3"/>
      <c r="M821" s="3"/>
      <c r="N821" s="3"/>
      <c r="O821" s="3"/>
      <c r="P821" s="3"/>
      <c r="Q821" s="3"/>
      <c r="R821" s="3"/>
      <c r="S821" s="3"/>
      <c r="T821" s="3"/>
      <c r="U821" s="3"/>
      <c r="V821" s="3"/>
      <c r="W821" s="3"/>
      <c r="X821" s="3"/>
      <c r="Y821" s="3"/>
      <c r="Z821" s="3"/>
      <c r="AA821" s="3"/>
      <c r="AB821" s="3"/>
      <c r="AC821" s="3"/>
      <c r="AD821" s="3"/>
      <c r="AE821" s="3"/>
      <c r="AF821" s="3"/>
      <c r="AG821" s="3"/>
      <c r="AH821" s="3"/>
      <c r="AI821" s="3"/>
      <c r="AJ821" s="3"/>
      <c r="AK821" s="3"/>
      <c r="AL821" s="3"/>
      <c r="AM821" s="3"/>
      <c r="AN821" s="3"/>
      <c r="AO821" s="3"/>
      <c r="AP821" s="3"/>
      <c r="AQ821" s="3"/>
      <c r="AR821" s="3"/>
      <c r="AS821" s="3"/>
      <c r="AT821" s="3"/>
      <c r="AU821" s="3"/>
      <c r="AV821" s="3"/>
      <c r="AW821" s="3"/>
      <c r="AX821" s="3"/>
      <c r="AY821" s="3"/>
      <c r="AZ821" s="3"/>
    </row>
    <row r="822" spans="1:52" ht="18" customHeight="1" x14ac:dyDescent="0.2">
      <c r="A822" s="3" t="str">
        <f t="shared" si="12"/>
        <v xml:space="preserve">                                                  </v>
      </c>
      <c r="B822" s="20" t="s">
        <v>174</v>
      </c>
      <c r="C822" s="3"/>
      <c r="D822" s="3"/>
      <c r="E822" s="3"/>
      <c r="F822" s="3"/>
      <c r="G822" s="3"/>
      <c r="H822" s="3"/>
      <c r="I822" s="3"/>
      <c r="J822" s="3"/>
      <c r="K822" s="3"/>
      <c r="L822" s="3"/>
      <c r="M822" s="3"/>
      <c r="N822" s="3"/>
      <c r="O822" s="3"/>
      <c r="P822" s="3"/>
      <c r="Q822" s="3"/>
      <c r="R822" s="3"/>
      <c r="S822" s="3"/>
      <c r="T822" s="3"/>
      <c r="U822" s="3"/>
      <c r="V822" s="3"/>
      <c r="W822" s="3"/>
      <c r="X822" s="3"/>
      <c r="Y822" s="3"/>
      <c r="Z822" s="3"/>
      <c r="AA822" s="3"/>
      <c r="AB822" s="3"/>
      <c r="AC822" s="3"/>
      <c r="AD822" s="3"/>
      <c r="AE822" s="3"/>
      <c r="AF822" s="3"/>
      <c r="AG822" s="3"/>
      <c r="AH822" s="3"/>
      <c r="AI822" s="3"/>
      <c r="AJ822" s="3"/>
      <c r="AK822" s="3"/>
      <c r="AL822" s="3"/>
      <c r="AM822" s="3"/>
      <c r="AN822" s="3"/>
      <c r="AO822" s="3"/>
      <c r="AP822" s="3"/>
      <c r="AQ822" s="3"/>
      <c r="AR822" s="3"/>
      <c r="AS822" s="3"/>
      <c r="AT822" s="3"/>
      <c r="AU822" s="3"/>
      <c r="AV822" s="3"/>
      <c r="AW822" s="3"/>
      <c r="AX822" s="3"/>
      <c r="AY822" s="3"/>
      <c r="AZ822" s="3"/>
    </row>
    <row r="823" spans="1:52" ht="18" customHeight="1" x14ac:dyDescent="0.2">
      <c r="A823" s="3" t="str">
        <f t="shared" si="12"/>
        <v xml:space="preserve">                                                  </v>
      </c>
      <c r="B823" s="20" t="s">
        <v>174</v>
      </c>
      <c r="C823" s="3"/>
      <c r="D823" s="3"/>
      <c r="E823" s="3"/>
      <c r="F823" s="3"/>
      <c r="G823" s="3"/>
      <c r="H823" s="3"/>
      <c r="I823" s="3"/>
      <c r="J823" s="3"/>
      <c r="K823" s="3"/>
      <c r="L823" s="3"/>
      <c r="M823" s="3"/>
      <c r="N823" s="3"/>
      <c r="O823" s="3"/>
      <c r="P823" s="3"/>
      <c r="Q823" s="3"/>
      <c r="R823" s="3"/>
      <c r="S823" s="3"/>
      <c r="T823" s="3"/>
      <c r="U823" s="3"/>
      <c r="V823" s="3"/>
      <c r="W823" s="3"/>
      <c r="X823" s="3"/>
      <c r="Y823" s="3"/>
      <c r="Z823" s="3"/>
      <c r="AA823" s="3"/>
      <c r="AB823" s="3"/>
      <c r="AC823" s="3"/>
      <c r="AD823" s="3"/>
      <c r="AE823" s="3"/>
      <c r="AF823" s="3"/>
      <c r="AG823" s="3"/>
      <c r="AH823" s="3"/>
      <c r="AI823" s="3"/>
      <c r="AJ823" s="3"/>
      <c r="AK823" s="3"/>
      <c r="AL823" s="3"/>
      <c r="AM823" s="3"/>
      <c r="AN823" s="3"/>
      <c r="AO823" s="3"/>
      <c r="AP823" s="3"/>
      <c r="AQ823" s="3"/>
      <c r="AR823" s="3"/>
      <c r="AS823" s="3"/>
      <c r="AT823" s="3"/>
      <c r="AU823" s="3"/>
      <c r="AV823" s="3"/>
      <c r="AW823" s="3"/>
      <c r="AX823" s="3"/>
      <c r="AY823" s="3"/>
      <c r="AZ823" s="3"/>
    </row>
    <row r="824" spans="1:52" ht="18" customHeight="1" x14ac:dyDescent="0.2">
      <c r="A824" s="3" t="str">
        <f t="shared" si="12"/>
        <v xml:space="preserve">                                                  </v>
      </c>
      <c r="B824" s="20" t="s">
        <v>174</v>
      </c>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row>
    <row r="825" spans="1:52" ht="18" customHeight="1" x14ac:dyDescent="0.2">
      <c r="A825" s="3" t="str">
        <f t="shared" si="12"/>
        <v xml:space="preserve">                                                  </v>
      </c>
      <c r="B825" s="20" t="s">
        <v>174</v>
      </c>
      <c r="C825" s="3"/>
      <c r="D825" s="3"/>
      <c r="E825" s="3"/>
      <c r="F825" s="3"/>
      <c r="G825" s="3"/>
      <c r="H825" s="3"/>
      <c r="I825" s="3"/>
      <c r="J825" s="3"/>
      <c r="K825" s="3"/>
      <c r="L825" s="3"/>
      <c r="M825" s="3"/>
      <c r="N825" s="3"/>
      <c r="O825" s="3"/>
      <c r="P825" s="3"/>
      <c r="Q825" s="3"/>
      <c r="R825" s="3"/>
      <c r="S825" s="3"/>
      <c r="T825" s="3"/>
      <c r="U825" s="3"/>
      <c r="V825" s="3"/>
      <c r="W825" s="3"/>
      <c r="X825" s="3"/>
      <c r="Y825" s="3"/>
      <c r="Z825" s="3"/>
      <c r="AA825" s="3"/>
      <c r="AB825" s="3"/>
      <c r="AC825" s="3"/>
      <c r="AD825" s="3"/>
      <c r="AE825" s="3"/>
      <c r="AF825" s="3"/>
      <c r="AG825" s="3"/>
      <c r="AH825" s="3"/>
      <c r="AI825" s="3"/>
      <c r="AJ825" s="3"/>
      <c r="AK825" s="3"/>
      <c r="AL825" s="3"/>
      <c r="AM825" s="3"/>
      <c r="AN825" s="3"/>
      <c r="AO825" s="3"/>
      <c r="AP825" s="3"/>
      <c r="AQ825" s="3"/>
      <c r="AR825" s="3"/>
      <c r="AS825" s="3"/>
      <c r="AT825" s="3"/>
      <c r="AU825" s="3"/>
      <c r="AV825" s="3"/>
      <c r="AW825" s="3"/>
      <c r="AX825" s="3"/>
      <c r="AY825" s="3"/>
      <c r="AZ825" s="3"/>
    </row>
    <row r="826" spans="1:52" ht="18" customHeight="1" x14ac:dyDescent="0.2">
      <c r="A826" s="3" t="str">
        <f t="shared" si="12"/>
        <v xml:space="preserve">                                                  </v>
      </c>
      <c r="B826" s="20" t="s">
        <v>174</v>
      </c>
      <c r="C826" s="3"/>
      <c r="D826" s="3"/>
      <c r="E826" s="3"/>
      <c r="F826" s="3"/>
      <c r="G826" s="3"/>
      <c r="H826" s="3"/>
      <c r="I826" s="3"/>
      <c r="J826" s="3"/>
      <c r="K826" s="3"/>
      <c r="L826" s="3"/>
      <c r="M826" s="3"/>
      <c r="N826" s="3"/>
      <c r="O826" s="3"/>
      <c r="P826" s="3"/>
      <c r="Q826" s="3"/>
      <c r="R826" s="3"/>
      <c r="S826" s="3"/>
      <c r="T826" s="3"/>
      <c r="U826" s="3"/>
      <c r="V826" s="3"/>
      <c r="W826" s="3"/>
      <c r="X826" s="3"/>
      <c r="Y826" s="3"/>
      <c r="Z826" s="3"/>
      <c r="AA826" s="3"/>
      <c r="AB826" s="3"/>
      <c r="AC826" s="3"/>
      <c r="AD826" s="3"/>
      <c r="AE826" s="3"/>
      <c r="AF826" s="3"/>
      <c r="AG826" s="3"/>
      <c r="AH826" s="3"/>
      <c r="AI826" s="3"/>
      <c r="AJ826" s="3"/>
      <c r="AK826" s="3"/>
      <c r="AL826" s="3"/>
      <c r="AM826" s="3"/>
      <c r="AN826" s="3"/>
      <c r="AO826" s="3"/>
      <c r="AP826" s="3"/>
      <c r="AQ826" s="3"/>
      <c r="AR826" s="3"/>
      <c r="AS826" s="3"/>
      <c r="AT826" s="3"/>
      <c r="AU826" s="3"/>
      <c r="AV826" s="3"/>
      <c r="AW826" s="3"/>
      <c r="AX826" s="3"/>
      <c r="AY826" s="3"/>
      <c r="AZ826" s="3"/>
    </row>
    <row r="827" spans="1:52" ht="18" customHeight="1" x14ac:dyDescent="0.2">
      <c r="A827" s="3" t="str">
        <f t="shared" si="12"/>
        <v xml:space="preserve">                                                  </v>
      </c>
      <c r="B827" s="20" t="s">
        <v>174</v>
      </c>
      <c r="C827" s="3"/>
      <c r="D827" s="3"/>
      <c r="E827" s="3"/>
      <c r="F827" s="3"/>
      <c r="G827" s="3"/>
      <c r="H827" s="3"/>
      <c r="I827" s="3"/>
      <c r="J827" s="3"/>
      <c r="K827" s="3"/>
      <c r="L827" s="3"/>
      <c r="M827" s="3"/>
      <c r="N827" s="3"/>
      <c r="O827" s="3"/>
      <c r="P827" s="3"/>
      <c r="Q827" s="3"/>
      <c r="R827" s="3"/>
      <c r="S827" s="3"/>
      <c r="T827" s="3"/>
      <c r="U827" s="3"/>
      <c r="V827" s="3"/>
      <c r="W827" s="3"/>
      <c r="X827" s="3"/>
      <c r="Y827" s="3"/>
      <c r="Z827" s="3"/>
      <c r="AA827" s="3"/>
      <c r="AB827" s="3"/>
      <c r="AC827" s="3"/>
      <c r="AD827" s="3"/>
      <c r="AE827" s="3"/>
      <c r="AF827" s="3"/>
      <c r="AG827" s="3"/>
      <c r="AH827" s="3"/>
      <c r="AI827" s="3"/>
      <c r="AJ827" s="3"/>
      <c r="AK827" s="3"/>
      <c r="AL827" s="3"/>
      <c r="AM827" s="3"/>
      <c r="AN827" s="3"/>
      <c r="AO827" s="3"/>
      <c r="AP827" s="3"/>
      <c r="AQ827" s="3"/>
      <c r="AR827" s="3"/>
      <c r="AS827" s="3"/>
      <c r="AT827" s="3"/>
      <c r="AU827" s="3"/>
      <c r="AV827" s="3"/>
      <c r="AW827" s="3"/>
      <c r="AX827" s="3"/>
      <c r="AY827" s="3"/>
      <c r="AZ827" s="3"/>
    </row>
    <row r="828" spans="1:52" ht="18" customHeight="1" x14ac:dyDescent="0.2">
      <c r="A828" s="3" t="str">
        <f t="shared" si="12"/>
        <v xml:space="preserve">                                                  </v>
      </c>
      <c r="B828" s="20" t="s">
        <v>174</v>
      </c>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row>
    <row r="829" spans="1:52" ht="18" customHeight="1" x14ac:dyDescent="0.2">
      <c r="A829" s="3" t="str">
        <f t="shared" si="12"/>
        <v xml:space="preserve">                                                  </v>
      </c>
      <c r="B829" s="20" t="s">
        <v>174</v>
      </c>
      <c r="C829" s="3"/>
      <c r="D829" s="3"/>
      <c r="E829" s="3"/>
      <c r="F829" s="3"/>
      <c r="G829" s="3"/>
      <c r="H829" s="3"/>
      <c r="I829" s="3"/>
      <c r="J829" s="3"/>
      <c r="K829" s="3"/>
      <c r="L829" s="3"/>
      <c r="M829" s="3"/>
      <c r="N829" s="3"/>
      <c r="O829" s="3"/>
      <c r="P829" s="3"/>
      <c r="Q829" s="3"/>
      <c r="R829" s="3"/>
      <c r="S829" s="3"/>
      <c r="T829" s="3"/>
      <c r="U829" s="3"/>
      <c r="V829" s="3"/>
      <c r="W829" s="3"/>
      <c r="X829" s="3"/>
      <c r="Y829" s="3"/>
      <c r="Z829" s="3"/>
      <c r="AA829" s="3"/>
      <c r="AB829" s="3"/>
      <c r="AC829" s="3"/>
      <c r="AD829" s="3"/>
      <c r="AE829" s="3"/>
      <c r="AF829" s="3"/>
      <c r="AG829" s="3"/>
      <c r="AH829" s="3"/>
      <c r="AI829" s="3"/>
      <c r="AJ829" s="3"/>
      <c r="AK829" s="3"/>
      <c r="AL829" s="3"/>
      <c r="AM829" s="3"/>
      <c r="AN829" s="3"/>
      <c r="AO829" s="3"/>
      <c r="AP829" s="3"/>
      <c r="AQ829" s="3"/>
      <c r="AR829" s="3"/>
      <c r="AS829" s="3"/>
      <c r="AT829" s="3"/>
      <c r="AU829" s="3"/>
      <c r="AV829" s="3"/>
      <c r="AW829" s="3"/>
      <c r="AX829" s="3"/>
      <c r="AY829" s="3"/>
      <c r="AZ829" s="3"/>
    </row>
    <row r="830" spans="1:52" ht="18" customHeight="1" x14ac:dyDescent="0.2">
      <c r="A830" s="3" t="str">
        <f t="shared" si="12"/>
        <v xml:space="preserve">                                                  </v>
      </c>
      <c r="B830" s="20" t="s">
        <v>174</v>
      </c>
      <c r="C830" s="3"/>
      <c r="D830" s="3"/>
      <c r="E830" s="3"/>
      <c r="F830" s="3"/>
      <c r="G830" s="3"/>
      <c r="H830" s="3"/>
      <c r="I830" s="3"/>
      <c r="J830" s="3"/>
      <c r="K830" s="3"/>
      <c r="L830" s="3"/>
      <c r="M830" s="3"/>
      <c r="N830" s="3"/>
      <c r="O830" s="3"/>
      <c r="P830" s="3"/>
      <c r="Q830" s="3"/>
      <c r="R830" s="3"/>
      <c r="S830" s="3"/>
      <c r="T830" s="3"/>
      <c r="U830" s="3"/>
      <c r="V830" s="3"/>
      <c r="W830" s="3"/>
      <c r="X830" s="3"/>
      <c r="Y830" s="3"/>
      <c r="Z830" s="3"/>
      <c r="AA830" s="3"/>
      <c r="AB830" s="3"/>
      <c r="AC830" s="3"/>
      <c r="AD830" s="3"/>
      <c r="AE830" s="3"/>
      <c r="AF830" s="3"/>
      <c r="AG830" s="3"/>
      <c r="AH830" s="3"/>
      <c r="AI830" s="3"/>
      <c r="AJ830" s="3"/>
      <c r="AK830" s="3"/>
      <c r="AL830" s="3"/>
      <c r="AM830" s="3"/>
      <c r="AN830" s="3"/>
      <c r="AO830" s="3"/>
      <c r="AP830" s="3"/>
      <c r="AQ830" s="3"/>
      <c r="AR830" s="3"/>
      <c r="AS830" s="3"/>
      <c r="AT830" s="3"/>
      <c r="AU830" s="3"/>
      <c r="AV830" s="3"/>
      <c r="AW830" s="3"/>
      <c r="AX830" s="3"/>
      <c r="AY830" s="3"/>
      <c r="AZ830" s="3"/>
    </row>
    <row r="831" spans="1:52" ht="18" customHeight="1" x14ac:dyDescent="0.2">
      <c r="A831" s="3" t="str">
        <f t="shared" si="12"/>
        <v xml:space="preserve">                                                  </v>
      </c>
      <c r="B831" s="20" t="s">
        <v>174</v>
      </c>
      <c r="C831" s="3"/>
      <c r="D831" s="3"/>
      <c r="E831" s="3"/>
      <c r="F831" s="3"/>
      <c r="G831" s="3"/>
      <c r="H831" s="3"/>
      <c r="I831" s="3"/>
      <c r="J831" s="3"/>
      <c r="K831" s="3"/>
      <c r="L831" s="3"/>
      <c r="M831" s="3"/>
      <c r="N831" s="3"/>
      <c r="O831" s="3"/>
      <c r="P831" s="3"/>
      <c r="Q831" s="3"/>
      <c r="R831" s="3"/>
      <c r="S831" s="3"/>
      <c r="T831" s="3"/>
      <c r="U831" s="3"/>
      <c r="V831" s="3"/>
      <c r="W831" s="3"/>
      <c r="X831" s="3"/>
      <c r="Y831" s="3"/>
      <c r="Z831" s="3"/>
      <c r="AA831" s="3"/>
      <c r="AB831" s="3"/>
      <c r="AC831" s="3"/>
      <c r="AD831" s="3"/>
      <c r="AE831" s="3"/>
      <c r="AF831" s="3"/>
      <c r="AG831" s="3"/>
      <c r="AH831" s="3"/>
      <c r="AI831" s="3"/>
      <c r="AJ831" s="3"/>
      <c r="AK831" s="3"/>
      <c r="AL831" s="3"/>
      <c r="AM831" s="3"/>
      <c r="AN831" s="3"/>
      <c r="AO831" s="3"/>
      <c r="AP831" s="3"/>
      <c r="AQ831" s="3"/>
      <c r="AR831" s="3"/>
      <c r="AS831" s="3"/>
      <c r="AT831" s="3"/>
      <c r="AU831" s="3"/>
      <c r="AV831" s="3"/>
      <c r="AW831" s="3"/>
      <c r="AX831" s="3"/>
      <c r="AY831" s="3"/>
      <c r="AZ831" s="3"/>
    </row>
    <row r="832" spans="1:52" ht="18" customHeight="1" x14ac:dyDescent="0.2">
      <c r="A832" s="3" t="str">
        <f t="shared" si="12"/>
        <v xml:space="preserve">                                                  </v>
      </c>
      <c r="B832" s="20" t="s">
        <v>174</v>
      </c>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row>
    <row r="833" spans="1:52" ht="18" customHeight="1" x14ac:dyDescent="0.2">
      <c r="A833" s="3" t="str">
        <f t="shared" si="12"/>
        <v xml:space="preserve">                                                  </v>
      </c>
      <c r="B833" s="20" t="s">
        <v>174</v>
      </c>
      <c r="C833" s="3"/>
      <c r="D833" s="3"/>
      <c r="E833" s="3"/>
      <c r="F833" s="3"/>
      <c r="G833" s="3"/>
      <c r="H833" s="3"/>
      <c r="I833" s="3"/>
      <c r="J833" s="3"/>
      <c r="K833" s="3"/>
      <c r="L833" s="3"/>
      <c r="M833" s="3"/>
      <c r="N833" s="3"/>
      <c r="O833" s="3"/>
      <c r="P833" s="3"/>
      <c r="Q833" s="3"/>
      <c r="R833" s="3"/>
      <c r="S833" s="3"/>
      <c r="T833" s="3"/>
      <c r="U833" s="3"/>
      <c r="V833" s="3"/>
      <c r="W833" s="3"/>
      <c r="X833" s="3"/>
      <c r="Y833" s="3"/>
      <c r="Z833" s="3"/>
      <c r="AA833" s="3"/>
      <c r="AB833" s="3"/>
      <c r="AC833" s="3"/>
      <c r="AD833" s="3"/>
      <c r="AE833" s="3"/>
      <c r="AF833" s="3"/>
      <c r="AG833" s="3"/>
      <c r="AH833" s="3"/>
      <c r="AI833" s="3"/>
      <c r="AJ833" s="3"/>
      <c r="AK833" s="3"/>
      <c r="AL833" s="3"/>
      <c r="AM833" s="3"/>
      <c r="AN833" s="3"/>
      <c r="AO833" s="3"/>
      <c r="AP833" s="3"/>
      <c r="AQ833" s="3"/>
      <c r="AR833" s="3"/>
      <c r="AS833" s="3"/>
      <c r="AT833" s="3"/>
      <c r="AU833" s="3"/>
      <c r="AV833" s="3"/>
      <c r="AW833" s="3"/>
      <c r="AX833" s="3"/>
      <c r="AY833" s="3"/>
      <c r="AZ833" s="3"/>
    </row>
    <row r="834" spans="1:52" ht="18" customHeight="1" x14ac:dyDescent="0.2">
      <c r="A834" s="3" t="str">
        <f t="shared" si="12"/>
        <v xml:space="preserve">                                                  </v>
      </c>
      <c r="B834" s="20" t="s">
        <v>174</v>
      </c>
      <c r="C834" s="3"/>
      <c r="D834" s="3"/>
      <c r="E834" s="3"/>
      <c r="F834" s="3"/>
      <c r="G834" s="3"/>
      <c r="H834" s="3"/>
      <c r="I834" s="3"/>
      <c r="J834" s="3"/>
      <c r="K834" s="3"/>
      <c r="L834" s="3"/>
      <c r="M834" s="3"/>
      <c r="N834" s="3"/>
      <c r="O834" s="3"/>
      <c r="P834" s="3"/>
      <c r="Q834" s="3"/>
      <c r="R834" s="3"/>
      <c r="S834" s="3"/>
      <c r="T834" s="3"/>
      <c r="U834" s="3"/>
      <c r="V834" s="3"/>
      <c r="W834" s="3"/>
      <c r="X834" s="3"/>
      <c r="Y834" s="3"/>
      <c r="Z834" s="3"/>
      <c r="AA834" s="3"/>
      <c r="AB834" s="3"/>
      <c r="AC834" s="3"/>
      <c r="AD834" s="3"/>
      <c r="AE834" s="3"/>
      <c r="AF834" s="3"/>
      <c r="AG834" s="3"/>
      <c r="AH834" s="3"/>
      <c r="AI834" s="3"/>
      <c r="AJ834" s="3"/>
      <c r="AK834" s="3"/>
      <c r="AL834" s="3"/>
      <c r="AM834" s="3"/>
      <c r="AN834" s="3"/>
      <c r="AO834" s="3"/>
      <c r="AP834" s="3"/>
      <c r="AQ834" s="3"/>
      <c r="AR834" s="3"/>
      <c r="AS834" s="3"/>
      <c r="AT834" s="3"/>
      <c r="AU834" s="3"/>
      <c r="AV834" s="3"/>
      <c r="AW834" s="3"/>
      <c r="AX834" s="3"/>
      <c r="AY834" s="3"/>
      <c r="AZ834" s="3"/>
    </row>
    <row r="835" spans="1:52" ht="18" customHeight="1" x14ac:dyDescent="0.2">
      <c r="A835" s="3" t="str">
        <f t="shared" si="12"/>
        <v xml:space="preserve">                                                  </v>
      </c>
      <c r="B835" s="20" t="s">
        <v>174</v>
      </c>
      <c r="C835" s="3"/>
      <c r="D835" s="3"/>
      <c r="E835" s="3"/>
      <c r="F835" s="3"/>
      <c r="G835" s="3"/>
      <c r="H835" s="3"/>
      <c r="I835" s="3"/>
      <c r="J835" s="3"/>
      <c r="K835" s="3"/>
      <c r="L835" s="3"/>
      <c r="M835" s="3"/>
      <c r="N835" s="3"/>
      <c r="O835" s="3"/>
      <c r="P835" s="3"/>
      <c r="Q835" s="3"/>
      <c r="R835" s="3"/>
      <c r="S835" s="3"/>
      <c r="T835" s="3"/>
      <c r="U835" s="3"/>
      <c r="V835" s="3"/>
      <c r="W835" s="3"/>
      <c r="X835" s="3"/>
      <c r="Y835" s="3"/>
      <c r="Z835" s="3"/>
      <c r="AA835" s="3"/>
      <c r="AB835" s="3"/>
      <c r="AC835" s="3"/>
      <c r="AD835" s="3"/>
      <c r="AE835" s="3"/>
      <c r="AF835" s="3"/>
      <c r="AG835" s="3"/>
      <c r="AH835" s="3"/>
      <c r="AI835" s="3"/>
      <c r="AJ835" s="3"/>
      <c r="AK835" s="3"/>
      <c r="AL835" s="3"/>
      <c r="AM835" s="3"/>
      <c r="AN835" s="3"/>
      <c r="AO835" s="3"/>
      <c r="AP835" s="3"/>
      <c r="AQ835" s="3"/>
      <c r="AR835" s="3"/>
      <c r="AS835" s="3"/>
      <c r="AT835" s="3"/>
      <c r="AU835" s="3"/>
      <c r="AV835" s="3"/>
      <c r="AW835" s="3"/>
      <c r="AX835" s="3"/>
      <c r="AY835" s="3"/>
      <c r="AZ835" s="3"/>
    </row>
    <row r="836" spans="1:52" ht="18" customHeight="1" x14ac:dyDescent="0.2">
      <c r="A836" s="3" t="str">
        <f t="shared" ref="A836:A899" si="13">CONCATENATE(C836," ",D836," ",E836," ",F836," ",G836," ",H836," ",I836," ",J836," ",K836," ",L836," ",M836," ",N836," ",O836," ",P836," ",Q836," ",R836," ",S836," ",T836," ",U836," ",V836," ",W836," ",X836," ",Y836," ",Z836," ",AA836," ",AB836," ",AC836," ",AD836," ",AE836," ",AF836," ",AG836," ",AH836," ",AI836," ",AJ836," ",AK836," ",AL836," ",AM836," ",AN836," ",AO836," ",AP836," ",AQ836," ",AR836," ",AS836," ",AT836," ",AU836," ",AV836," ",AW836," ",AX836," ",AY836," ",AZ836," ",
)</f>
        <v xml:space="preserve">                                                  </v>
      </c>
      <c r="B836" s="20" t="s">
        <v>174</v>
      </c>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row>
    <row r="837" spans="1:52" ht="18" customHeight="1" x14ac:dyDescent="0.2">
      <c r="A837" s="3" t="str">
        <f t="shared" si="13"/>
        <v xml:space="preserve">                                                  </v>
      </c>
      <c r="B837" s="20" t="s">
        <v>174</v>
      </c>
      <c r="C837" s="3"/>
      <c r="D837" s="3"/>
      <c r="E837" s="3"/>
      <c r="F837" s="3"/>
      <c r="G837" s="3"/>
      <c r="H837" s="3"/>
      <c r="I837" s="3"/>
      <c r="J837" s="3"/>
      <c r="K837" s="3"/>
      <c r="L837" s="3"/>
      <c r="M837" s="3"/>
      <c r="N837" s="3"/>
      <c r="O837" s="3"/>
      <c r="P837" s="3"/>
      <c r="Q837" s="3"/>
      <c r="R837" s="3"/>
      <c r="S837" s="3"/>
      <c r="T837" s="3"/>
      <c r="U837" s="3"/>
      <c r="V837" s="3"/>
      <c r="W837" s="3"/>
      <c r="X837" s="3"/>
      <c r="Y837" s="3"/>
      <c r="Z837" s="3"/>
      <c r="AA837" s="3"/>
      <c r="AB837" s="3"/>
      <c r="AC837" s="3"/>
      <c r="AD837" s="3"/>
      <c r="AE837" s="3"/>
      <c r="AF837" s="3"/>
      <c r="AG837" s="3"/>
      <c r="AH837" s="3"/>
      <c r="AI837" s="3"/>
      <c r="AJ837" s="3"/>
      <c r="AK837" s="3"/>
      <c r="AL837" s="3"/>
      <c r="AM837" s="3"/>
      <c r="AN837" s="3"/>
      <c r="AO837" s="3"/>
      <c r="AP837" s="3"/>
      <c r="AQ837" s="3"/>
      <c r="AR837" s="3"/>
      <c r="AS837" s="3"/>
      <c r="AT837" s="3"/>
      <c r="AU837" s="3"/>
      <c r="AV837" s="3"/>
      <c r="AW837" s="3"/>
      <c r="AX837" s="3"/>
      <c r="AY837" s="3"/>
      <c r="AZ837" s="3"/>
    </row>
    <row r="838" spans="1:52" ht="18" customHeight="1" x14ac:dyDescent="0.2">
      <c r="A838" s="3" t="str">
        <f t="shared" si="13"/>
        <v xml:space="preserve">                                                  </v>
      </c>
      <c r="B838" s="20" t="s">
        <v>174</v>
      </c>
      <c r="C838" s="3"/>
      <c r="D838" s="3"/>
      <c r="E838" s="3"/>
      <c r="F838" s="3"/>
      <c r="G838" s="3"/>
      <c r="H838" s="3"/>
      <c r="I838" s="3"/>
      <c r="J838" s="3"/>
      <c r="K838" s="3"/>
      <c r="L838" s="3"/>
      <c r="M838" s="3"/>
      <c r="N838" s="3"/>
      <c r="O838" s="3"/>
      <c r="P838" s="3"/>
      <c r="Q838" s="3"/>
      <c r="R838" s="3"/>
      <c r="S838" s="3"/>
      <c r="T838" s="3"/>
      <c r="U838" s="3"/>
      <c r="V838" s="3"/>
      <c r="W838" s="3"/>
      <c r="X838" s="3"/>
      <c r="Y838" s="3"/>
      <c r="Z838" s="3"/>
      <c r="AA838" s="3"/>
      <c r="AB838" s="3"/>
      <c r="AC838" s="3"/>
      <c r="AD838" s="3"/>
      <c r="AE838" s="3"/>
      <c r="AF838" s="3"/>
      <c r="AG838" s="3"/>
      <c r="AH838" s="3"/>
      <c r="AI838" s="3"/>
      <c r="AJ838" s="3"/>
      <c r="AK838" s="3"/>
      <c r="AL838" s="3"/>
      <c r="AM838" s="3"/>
      <c r="AN838" s="3"/>
      <c r="AO838" s="3"/>
      <c r="AP838" s="3"/>
      <c r="AQ838" s="3"/>
      <c r="AR838" s="3"/>
      <c r="AS838" s="3"/>
      <c r="AT838" s="3"/>
      <c r="AU838" s="3"/>
      <c r="AV838" s="3"/>
      <c r="AW838" s="3"/>
      <c r="AX838" s="3"/>
      <c r="AY838" s="3"/>
      <c r="AZ838" s="3"/>
    </row>
    <row r="839" spans="1:52" ht="18" customHeight="1" x14ac:dyDescent="0.2">
      <c r="A839" s="3" t="str">
        <f t="shared" si="13"/>
        <v xml:space="preserve">                                                  </v>
      </c>
      <c r="B839" s="20" t="s">
        <v>174</v>
      </c>
      <c r="C839" s="3"/>
      <c r="D839" s="3"/>
      <c r="E839" s="3"/>
      <c r="F839" s="3"/>
      <c r="G839" s="3"/>
      <c r="H839" s="3"/>
      <c r="I839" s="3"/>
      <c r="J839" s="3"/>
      <c r="K839" s="3"/>
      <c r="L839" s="3"/>
      <c r="M839" s="3"/>
      <c r="N839" s="3"/>
      <c r="O839" s="3"/>
      <c r="P839" s="3"/>
      <c r="Q839" s="3"/>
      <c r="R839" s="3"/>
      <c r="S839" s="3"/>
      <c r="T839" s="3"/>
      <c r="U839" s="3"/>
      <c r="V839" s="3"/>
      <c r="W839" s="3"/>
      <c r="X839" s="3"/>
      <c r="Y839" s="3"/>
      <c r="Z839" s="3"/>
      <c r="AA839" s="3"/>
      <c r="AB839" s="3"/>
      <c r="AC839" s="3"/>
      <c r="AD839" s="3"/>
      <c r="AE839" s="3"/>
      <c r="AF839" s="3"/>
      <c r="AG839" s="3"/>
      <c r="AH839" s="3"/>
      <c r="AI839" s="3"/>
      <c r="AJ839" s="3"/>
      <c r="AK839" s="3"/>
      <c r="AL839" s="3"/>
      <c r="AM839" s="3"/>
      <c r="AN839" s="3"/>
      <c r="AO839" s="3"/>
      <c r="AP839" s="3"/>
      <c r="AQ839" s="3"/>
      <c r="AR839" s="3"/>
      <c r="AS839" s="3"/>
      <c r="AT839" s="3"/>
      <c r="AU839" s="3"/>
      <c r="AV839" s="3"/>
      <c r="AW839" s="3"/>
      <c r="AX839" s="3"/>
      <c r="AY839" s="3"/>
      <c r="AZ839" s="3"/>
    </row>
    <row r="840" spans="1:52" ht="18" customHeight="1" x14ac:dyDescent="0.2">
      <c r="A840" s="3" t="str">
        <f t="shared" si="13"/>
        <v xml:space="preserve">                                                  </v>
      </c>
      <c r="B840" s="20" t="s">
        <v>174</v>
      </c>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row>
    <row r="841" spans="1:52" ht="18" customHeight="1" x14ac:dyDescent="0.2">
      <c r="A841" s="3" t="str">
        <f t="shared" si="13"/>
        <v xml:space="preserve">                                                  </v>
      </c>
      <c r="B841" s="20" t="s">
        <v>174</v>
      </c>
      <c r="C841" s="3"/>
      <c r="D841" s="3"/>
      <c r="E841" s="3"/>
      <c r="F841" s="3"/>
      <c r="G841" s="3"/>
      <c r="H841" s="3"/>
      <c r="I841" s="3"/>
      <c r="J841" s="3"/>
      <c r="K841" s="3"/>
      <c r="L841" s="3"/>
      <c r="M841" s="3"/>
      <c r="N841" s="3"/>
      <c r="O841" s="3"/>
      <c r="P841" s="3"/>
      <c r="Q841" s="3"/>
      <c r="R841" s="3"/>
      <c r="S841" s="3"/>
      <c r="T841" s="3"/>
      <c r="U841" s="3"/>
      <c r="V841" s="3"/>
      <c r="W841" s="3"/>
      <c r="X841" s="3"/>
      <c r="Y841" s="3"/>
      <c r="Z841" s="3"/>
      <c r="AA841" s="3"/>
      <c r="AB841" s="3"/>
      <c r="AC841" s="3"/>
      <c r="AD841" s="3"/>
      <c r="AE841" s="3"/>
      <c r="AF841" s="3"/>
      <c r="AG841" s="3"/>
      <c r="AH841" s="3"/>
      <c r="AI841" s="3"/>
      <c r="AJ841" s="3"/>
      <c r="AK841" s="3"/>
      <c r="AL841" s="3"/>
      <c r="AM841" s="3"/>
      <c r="AN841" s="3"/>
      <c r="AO841" s="3"/>
      <c r="AP841" s="3"/>
      <c r="AQ841" s="3"/>
      <c r="AR841" s="3"/>
      <c r="AS841" s="3"/>
      <c r="AT841" s="3"/>
      <c r="AU841" s="3"/>
      <c r="AV841" s="3"/>
      <c r="AW841" s="3"/>
      <c r="AX841" s="3"/>
      <c r="AY841" s="3"/>
      <c r="AZ841" s="3"/>
    </row>
    <row r="842" spans="1:52" ht="18" customHeight="1" x14ac:dyDescent="0.2">
      <c r="A842" s="3" t="str">
        <f t="shared" si="13"/>
        <v xml:space="preserve">                                                  </v>
      </c>
      <c r="B842" s="20" t="s">
        <v>174</v>
      </c>
      <c r="C842" s="3"/>
      <c r="D842" s="3"/>
      <c r="E842" s="3"/>
      <c r="F842" s="3"/>
      <c r="G842" s="3"/>
      <c r="H842" s="3"/>
      <c r="I842" s="3"/>
      <c r="J842" s="3"/>
      <c r="K842" s="3"/>
      <c r="L842" s="3"/>
      <c r="M842" s="3"/>
      <c r="N842" s="3"/>
      <c r="O842" s="3"/>
      <c r="P842" s="3"/>
      <c r="Q842" s="3"/>
      <c r="R842" s="3"/>
      <c r="S842" s="3"/>
      <c r="T842" s="3"/>
      <c r="U842" s="3"/>
      <c r="V842" s="3"/>
      <c r="W842" s="3"/>
      <c r="X842" s="3"/>
      <c r="Y842" s="3"/>
      <c r="Z842" s="3"/>
      <c r="AA842" s="3"/>
      <c r="AB842" s="3"/>
      <c r="AC842" s="3"/>
      <c r="AD842" s="3"/>
      <c r="AE842" s="3"/>
      <c r="AF842" s="3"/>
      <c r="AG842" s="3"/>
      <c r="AH842" s="3"/>
      <c r="AI842" s="3"/>
      <c r="AJ842" s="3"/>
      <c r="AK842" s="3"/>
      <c r="AL842" s="3"/>
      <c r="AM842" s="3"/>
      <c r="AN842" s="3"/>
      <c r="AO842" s="3"/>
      <c r="AP842" s="3"/>
      <c r="AQ842" s="3"/>
      <c r="AR842" s="3"/>
      <c r="AS842" s="3"/>
      <c r="AT842" s="3"/>
      <c r="AU842" s="3"/>
      <c r="AV842" s="3"/>
      <c r="AW842" s="3"/>
      <c r="AX842" s="3"/>
      <c r="AY842" s="3"/>
      <c r="AZ842" s="3"/>
    </row>
    <row r="843" spans="1:52" ht="18" customHeight="1" x14ac:dyDescent="0.2">
      <c r="A843" s="3" t="str">
        <f t="shared" si="13"/>
        <v xml:space="preserve">                                                  </v>
      </c>
      <c r="B843" s="20" t="s">
        <v>174</v>
      </c>
      <c r="C843" s="3"/>
      <c r="D843" s="3"/>
      <c r="E843" s="3"/>
      <c r="F843" s="3"/>
      <c r="G843" s="3"/>
      <c r="H843" s="3"/>
      <c r="I843" s="3"/>
      <c r="J843" s="3"/>
      <c r="K843" s="3"/>
      <c r="L843" s="3"/>
      <c r="M843" s="3"/>
      <c r="N843" s="3"/>
      <c r="O843" s="3"/>
      <c r="P843" s="3"/>
      <c r="Q843" s="3"/>
      <c r="R843" s="3"/>
      <c r="S843" s="3"/>
      <c r="T843" s="3"/>
      <c r="U843" s="3"/>
      <c r="V843" s="3"/>
      <c r="W843" s="3"/>
      <c r="X843" s="3"/>
      <c r="Y843" s="3"/>
      <c r="Z843" s="3"/>
      <c r="AA843" s="3"/>
      <c r="AB843" s="3"/>
      <c r="AC843" s="3"/>
      <c r="AD843" s="3"/>
      <c r="AE843" s="3"/>
      <c r="AF843" s="3"/>
      <c r="AG843" s="3"/>
      <c r="AH843" s="3"/>
      <c r="AI843" s="3"/>
      <c r="AJ843" s="3"/>
      <c r="AK843" s="3"/>
      <c r="AL843" s="3"/>
      <c r="AM843" s="3"/>
      <c r="AN843" s="3"/>
      <c r="AO843" s="3"/>
      <c r="AP843" s="3"/>
      <c r="AQ843" s="3"/>
      <c r="AR843" s="3"/>
      <c r="AS843" s="3"/>
      <c r="AT843" s="3"/>
      <c r="AU843" s="3"/>
      <c r="AV843" s="3"/>
      <c r="AW843" s="3"/>
      <c r="AX843" s="3"/>
      <c r="AY843" s="3"/>
      <c r="AZ843" s="3"/>
    </row>
    <row r="844" spans="1:52" ht="18" customHeight="1" x14ac:dyDescent="0.2">
      <c r="A844" s="3" t="str">
        <f t="shared" si="13"/>
        <v xml:space="preserve">                                                  </v>
      </c>
      <c r="B844" s="20" t="s">
        <v>174</v>
      </c>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row>
    <row r="845" spans="1:52" ht="18" customHeight="1" x14ac:dyDescent="0.2">
      <c r="A845" s="3" t="str">
        <f t="shared" si="13"/>
        <v xml:space="preserve">                                                  </v>
      </c>
      <c r="B845" s="20" t="s">
        <v>174</v>
      </c>
      <c r="C845" s="3"/>
      <c r="D845" s="3"/>
      <c r="E845" s="3"/>
      <c r="F845" s="3"/>
      <c r="G845" s="3"/>
      <c r="H845" s="3"/>
      <c r="I845" s="3"/>
      <c r="J845" s="3"/>
      <c r="K845" s="3"/>
      <c r="L845" s="3"/>
      <c r="M845" s="3"/>
      <c r="N845" s="3"/>
      <c r="O845" s="3"/>
      <c r="P845" s="3"/>
      <c r="Q845" s="3"/>
      <c r="R845" s="3"/>
      <c r="S845" s="3"/>
      <c r="T845" s="3"/>
      <c r="U845" s="3"/>
      <c r="V845" s="3"/>
      <c r="W845" s="3"/>
      <c r="X845" s="3"/>
      <c r="Y845" s="3"/>
      <c r="Z845" s="3"/>
      <c r="AA845" s="3"/>
      <c r="AB845" s="3"/>
      <c r="AC845" s="3"/>
      <c r="AD845" s="3"/>
      <c r="AE845" s="3"/>
      <c r="AF845" s="3"/>
      <c r="AG845" s="3"/>
      <c r="AH845" s="3"/>
      <c r="AI845" s="3"/>
      <c r="AJ845" s="3"/>
      <c r="AK845" s="3"/>
      <c r="AL845" s="3"/>
      <c r="AM845" s="3"/>
      <c r="AN845" s="3"/>
      <c r="AO845" s="3"/>
      <c r="AP845" s="3"/>
      <c r="AQ845" s="3"/>
      <c r="AR845" s="3"/>
      <c r="AS845" s="3"/>
      <c r="AT845" s="3"/>
      <c r="AU845" s="3"/>
      <c r="AV845" s="3"/>
      <c r="AW845" s="3"/>
      <c r="AX845" s="3"/>
      <c r="AY845" s="3"/>
      <c r="AZ845" s="3"/>
    </row>
    <row r="846" spans="1:52" ht="18" customHeight="1" x14ac:dyDescent="0.2">
      <c r="A846" s="3" t="str">
        <f t="shared" si="13"/>
        <v xml:space="preserve">                                                  </v>
      </c>
      <c r="B846" s="20" t="s">
        <v>174</v>
      </c>
      <c r="C846" s="3"/>
      <c r="D846" s="3"/>
      <c r="E846" s="3"/>
      <c r="F846" s="3"/>
      <c r="G846" s="3"/>
      <c r="H846" s="3"/>
      <c r="I846" s="3"/>
      <c r="J846" s="3"/>
      <c r="K846" s="3"/>
      <c r="L846" s="3"/>
      <c r="M846" s="3"/>
      <c r="N846" s="3"/>
      <c r="O846" s="3"/>
      <c r="P846" s="3"/>
      <c r="Q846" s="3"/>
      <c r="R846" s="3"/>
      <c r="S846" s="3"/>
      <c r="T846" s="3"/>
      <c r="U846" s="3"/>
      <c r="V846" s="3"/>
      <c r="W846" s="3"/>
      <c r="X846" s="3"/>
      <c r="Y846" s="3"/>
      <c r="Z846" s="3"/>
      <c r="AA846" s="3"/>
      <c r="AB846" s="3"/>
      <c r="AC846" s="3"/>
      <c r="AD846" s="3"/>
      <c r="AE846" s="3"/>
      <c r="AF846" s="3"/>
      <c r="AG846" s="3"/>
      <c r="AH846" s="3"/>
      <c r="AI846" s="3"/>
      <c r="AJ846" s="3"/>
      <c r="AK846" s="3"/>
      <c r="AL846" s="3"/>
      <c r="AM846" s="3"/>
      <c r="AN846" s="3"/>
      <c r="AO846" s="3"/>
      <c r="AP846" s="3"/>
      <c r="AQ846" s="3"/>
      <c r="AR846" s="3"/>
      <c r="AS846" s="3"/>
      <c r="AT846" s="3"/>
      <c r="AU846" s="3"/>
      <c r="AV846" s="3"/>
      <c r="AW846" s="3"/>
      <c r="AX846" s="3"/>
      <c r="AY846" s="3"/>
      <c r="AZ846" s="3"/>
    </row>
    <row r="847" spans="1:52" ht="18" customHeight="1" x14ac:dyDescent="0.2">
      <c r="A847" s="3" t="str">
        <f t="shared" si="13"/>
        <v xml:space="preserve">                                                  </v>
      </c>
      <c r="B847" s="20" t="s">
        <v>174</v>
      </c>
      <c r="C847" s="3"/>
      <c r="D847" s="3"/>
      <c r="E847" s="3"/>
      <c r="F847" s="3"/>
      <c r="G847" s="3"/>
      <c r="H847" s="3"/>
      <c r="I847" s="3"/>
      <c r="J847" s="3"/>
      <c r="K847" s="3"/>
      <c r="L847" s="3"/>
      <c r="M847" s="3"/>
      <c r="N847" s="3"/>
      <c r="O847" s="3"/>
      <c r="P847" s="3"/>
      <c r="Q847" s="3"/>
      <c r="R847" s="3"/>
      <c r="S847" s="3"/>
      <c r="T847" s="3"/>
      <c r="U847" s="3"/>
      <c r="V847" s="3"/>
      <c r="W847" s="3"/>
      <c r="X847" s="3"/>
      <c r="Y847" s="3"/>
      <c r="Z847" s="3"/>
      <c r="AA847" s="3"/>
      <c r="AB847" s="3"/>
      <c r="AC847" s="3"/>
      <c r="AD847" s="3"/>
      <c r="AE847" s="3"/>
      <c r="AF847" s="3"/>
      <c r="AG847" s="3"/>
      <c r="AH847" s="3"/>
      <c r="AI847" s="3"/>
      <c r="AJ847" s="3"/>
      <c r="AK847" s="3"/>
      <c r="AL847" s="3"/>
      <c r="AM847" s="3"/>
      <c r="AN847" s="3"/>
      <c r="AO847" s="3"/>
      <c r="AP847" s="3"/>
      <c r="AQ847" s="3"/>
      <c r="AR847" s="3"/>
      <c r="AS847" s="3"/>
      <c r="AT847" s="3"/>
      <c r="AU847" s="3"/>
      <c r="AV847" s="3"/>
      <c r="AW847" s="3"/>
      <c r="AX847" s="3"/>
      <c r="AY847" s="3"/>
      <c r="AZ847" s="3"/>
    </row>
    <row r="848" spans="1:52" ht="18" customHeight="1" x14ac:dyDescent="0.2">
      <c r="A848" s="3" t="str">
        <f t="shared" si="13"/>
        <v xml:space="preserve">                                                  </v>
      </c>
      <c r="B848" s="20" t="s">
        <v>174</v>
      </c>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row>
    <row r="849" spans="1:52" ht="18" customHeight="1" x14ac:dyDescent="0.2">
      <c r="A849" s="3" t="str">
        <f t="shared" si="13"/>
        <v xml:space="preserve">                                                  </v>
      </c>
      <c r="B849" s="20" t="s">
        <v>174</v>
      </c>
      <c r="C849" s="3"/>
      <c r="D849" s="3"/>
      <c r="E849" s="3"/>
      <c r="F849" s="3"/>
      <c r="G849" s="3"/>
      <c r="H849" s="3"/>
      <c r="I849" s="3"/>
      <c r="J849" s="3"/>
      <c r="K849" s="3"/>
      <c r="L849" s="3"/>
      <c r="M849" s="3"/>
      <c r="N849" s="3"/>
      <c r="O849" s="3"/>
      <c r="P849" s="3"/>
      <c r="Q849" s="3"/>
      <c r="R849" s="3"/>
      <c r="S849" s="3"/>
      <c r="T849" s="3"/>
      <c r="U849" s="3"/>
      <c r="V849" s="3"/>
      <c r="W849" s="3"/>
      <c r="X849" s="3"/>
      <c r="Y849" s="3"/>
      <c r="Z849" s="3"/>
      <c r="AA849" s="3"/>
      <c r="AB849" s="3"/>
      <c r="AC849" s="3"/>
      <c r="AD849" s="3"/>
      <c r="AE849" s="3"/>
      <c r="AF849" s="3"/>
      <c r="AG849" s="3"/>
      <c r="AH849" s="3"/>
      <c r="AI849" s="3"/>
      <c r="AJ849" s="3"/>
      <c r="AK849" s="3"/>
      <c r="AL849" s="3"/>
      <c r="AM849" s="3"/>
      <c r="AN849" s="3"/>
      <c r="AO849" s="3"/>
      <c r="AP849" s="3"/>
      <c r="AQ849" s="3"/>
      <c r="AR849" s="3"/>
      <c r="AS849" s="3"/>
      <c r="AT849" s="3"/>
      <c r="AU849" s="3"/>
      <c r="AV849" s="3"/>
      <c r="AW849" s="3"/>
      <c r="AX849" s="3"/>
      <c r="AY849" s="3"/>
      <c r="AZ849" s="3"/>
    </row>
    <row r="850" spans="1:52" ht="18" customHeight="1" x14ac:dyDescent="0.2">
      <c r="A850" s="3" t="str">
        <f t="shared" si="13"/>
        <v xml:space="preserve">                                                  </v>
      </c>
      <c r="B850" s="20" t="s">
        <v>174</v>
      </c>
      <c r="C850" s="3"/>
      <c r="D850" s="3"/>
      <c r="E850" s="3"/>
      <c r="F850" s="3"/>
      <c r="G850" s="3"/>
      <c r="H850" s="3"/>
      <c r="I850" s="3"/>
      <c r="J850" s="3"/>
      <c r="K850" s="3"/>
      <c r="L850" s="3"/>
      <c r="M850" s="3"/>
      <c r="N850" s="3"/>
      <c r="O850" s="3"/>
      <c r="P850" s="3"/>
      <c r="Q850" s="3"/>
      <c r="R850" s="3"/>
      <c r="S850" s="3"/>
      <c r="T850" s="3"/>
      <c r="U850" s="3"/>
      <c r="V850" s="3"/>
      <c r="W850" s="3"/>
      <c r="X850" s="3"/>
      <c r="Y850" s="3"/>
      <c r="Z850" s="3"/>
      <c r="AA850" s="3"/>
      <c r="AB850" s="3"/>
      <c r="AC850" s="3"/>
      <c r="AD850" s="3"/>
      <c r="AE850" s="3"/>
      <c r="AF850" s="3"/>
      <c r="AG850" s="3"/>
      <c r="AH850" s="3"/>
      <c r="AI850" s="3"/>
      <c r="AJ850" s="3"/>
      <c r="AK850" s="3"/>
      <c r="AL850" s="3"/>
      <c r="AM850" s="3"/>
      <c r="AN850" s="3"/>
      <c r="AO850" s="3"/>
      <c r="AP850" s="3"/>
      <c r="AQ850" s="3"/>
      <c r="AR850" s="3"/>
      <c r="AS850" s="3"/>
      <c r="AT850" s="3"/>
      <c r="AU850" s="3"/>
      <c r="AV850" s="3"/>
      <c r="AW850" s="3"/>
      <c r="AX850" s="3"/>
      <c r="AY850" s="3"/>
      <c r="AZ850" s="3"/>
    </row>
    <row r="851" spans="1:52" ht="18" customHeight="1" x14ac:dyDescent="0.2">
      <c r="A851" s="3" t="str">
        <f t="shared" si="13"/>
        <v xml:space="preserve">                                                  </v>
      </c>
      <c r="B851" s="20" t="s">
        <v>174</v>
      </c>
      <c r="C851" s="3"/>
      <c r="D851" s="3"/>
      <c r="E851" s="3"/>
      <c r="F851" s="3"/>
      <c r="G851" s="3"/>
      <c r="H851" s="3"/>
      <c r="I851" s="3"/>
      <c r="J851" s="3"/>
      <c r="K851" s="3"/>
      <c r="L851" s="3"/>
      <c r="M851" s="3"/>
      <c r="N851" s="3"/>
      <c r="O851" s="3"/>
      <c r="P851" s="3"/>
      <c r="Q851" s="3"/>
      <c r="R851" s="3"/>
      <c r="S851" s="3"/>
      <c r="T851" s="3"/>
      <c r="U851" s="3"/>
      <c r="V851" s="3"/>
      <c r="W851" s="3"/>
      <c r="X851" s="3"/>
      <c r="Y851" s="3"/>
      <c r="Z851" s="3"/>
      <c r="AA851" s="3"/>
      <c r="AB851" s="3"/>
      <c r="AC851" s="3"/>
      <c r="AD851" s="3"/>
      <c r="AE851" s="3"/>
      <c r="AF851" s="3"/>
      <c r="AG851" s="3"/>
      <c r="AH851" s="3"/>
      <c r="AI851" s="3"/>
      <c r="AJ851" s="3"/>
      <c r="AK851" s="3"/>
      <c r="AL851" s="3"/>
      <c r="AM851" s="3"/>
      <c r="AN851" s="3"/>
      <c r="AO851" s="3"/>
      <c r="AP851" s="3"/>
      <c r="AQ851" s="3"/>
      <c r="AR851" s="3"/>
      <c r="AS851" s="3"/>
      <c r="AT851" s="3"/>
      <c r="AU851" s="3"/>
      <c r="AV851" s="3"/>
      <c r="AW851" s="3"/>
      <c r="AX851" s="3"/>
      <c r="AY851" s="3"/>
      <c r="AZ851" s="3"/>
    </row>
    <row r="852" spans="1:52" ht="18" customHeight="1" x14ac:dyDescent="0.2">
      <c r="A852" s="3" t="str">
        <f t="shared" si="13"/>
        <v xml:space="preserve">                                                  </v>
      </c>
      <c r="B852" s="20" t="s">
        <v>174</v>
      </c>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row>
    <row r="853" spans="1:52" ht="18" customHeight="1" x14ac:dyDescent="0.2">
      <c r="A853" s="3" t="str">
        <f t="shared" si="13"/>
        <v xml:space="preserve">                                                  </v>
      </c>
      <c r="B853" s="20" t="s">
        <v>174</v>
      </c>
      <c r="C853" s="3"/>
      <c r="D853" s="3"/>
      <c r="E853" s="3"/>
      <c r="F853" s="3"/>
      <c r="G853" s="3"/>
      <c r="H853" s="3"/>
      <c r="I853" s="3"/>
      <c r="J853" s="3"/>
      <c r="K853" s="3"/>
      <c r="L853" s="3"/>
      <c r="M853" s="3"/>
      <c r="N853" s="3"/>
      <c r="O853" s="3"/>
      <c r="P853" s="3"/>
      <c r="Q853" s="3"/>
      <c r="R853" s="3"/>
      <c r="S853" s="3"/>
      <c r="T853" s="3"/>
      <c r="U853" s="3"/>
      <c r="V853" s="3"/>
      <c r="W853" s="3"/>
      <c r="X853" s="3"/>
      <c r="Y853" s="3"/>
      <c r="Z853" s="3"/>
      <c r="AA853" s="3"/>
      <c r="AB853" s="3"/>
      <c r="AC853" s="3"/>
      <c r="AD853" s="3"/>
      <c r="AE853" s="3"/>
      <c r="AF853" s="3"/>
      <c r="AG853" s="3"/>
      <c r="AH853" s="3"/>
      <c r="AI853" s="3"/>
      <c r="AJ853" s="3"/>
      <c r="AK853" s="3"/>
      <c r="AL853" s="3"/>
      <c r="AM853" s="3"/>
      <c r="AN853" s="3"/>
      <c r="AO853" s="3"/>
      <c r="AP853" s="3"/>
      <c r="AQ853" s="3"/>
      <c r="AR853" s="3"/>
      <c r="AS853" s="3"/>
      <c r="AT853" s="3"/>
      <c r="AU853" s="3"/>
      <c r="AV853" s="3"/>
      <c r="AW853" s="3"/>
      <c r="AX853" s="3"/>
      <c r="AY853" s="3"/>
      <c r="AZ853" s="3"/>
    </row>
    <row r="854" spans="1:52" ht="18" customHeight="1" x14ac:dyDescent="0.2">
      <c r="A854" s="3" t="str">
        <f t="shared" si="13"/>
        <v xml:space="preserve">                                                  </v>
      </c>
      <c r="B854" s="20" t="s">
        <v>174</v>
      </c>
      <c r="C854" s="3"/>
      <c r="D854" s="3"/>
      <c r="E854" s="3"/>
      <c r="F854" s="3"/>
      <c r="G854" s="3"/>
      <c r="H854" s="3"/>
      <c r="I854" s="3"/>
      <c r="J854" s="3"/>
      <c r="K854" s="3"/>
      <c r="L854" s="3"/>
      <c r="M854" s="3"/>
      <c r="N854" s="3"/>
      <c r="O854" s="3"/>
      <c r="P854" s="3"/>
      <c r="Q854" s="3"/>
      <c r="R854" s="3"/>
      <c r="S854" s="3"/>
      <c r="T854" s="3"/>
      <c r="U854" s="3"/>
      <c r="V854" s="3"/>
      <c r="W854" s="3"/>
      <c r="X854" s="3"/>
      <c r="Y854" s="3"/>
      <c r="Z854" s="3"/>
      <c r="AA854" s="3"/>
      <c r="AB854" s="3"/>
      <c r="AC854" s="3"/>
      <c r="AD854" s="3"/>
      <c r="AE854" s="3"/>
      <c r="AF854" s="3"/>
      <c r="AG854" s="3"/>
      <c r="AH854" s="3"/>
      <c r="AI854" s="3"/>
      <c r="AJ854" s="3"/>
      <c r="AK854" s="3"/>
      <c r="AL854" s="3"/>
      <c r="AM854" s="3"/>
      <c r="AN854" s="3"/>
      <c r="AO854" s="3"/>
      <c r="AP854" s="3"/>
      <c r="AQ854" s="3"/>
      <c r="AR854" s="3"/>
      <c r="AS854" s="3"/>
      <c r="AT854" s="3"/>
      <c r="AU854" s="3"/>
      <c r="AV854" s="3"/>
      <c r="AW854" s="3"/>
      <c r="AX854" s="3"/>
      <c r="AY854" s="3"/>
      <c r="AZ854" s="3"/>
    </row>
    <row r="855" spans="1:52" ht="18" customHeight="1" x14ac:dyDescent="0.2">
      <c r="A855" s="3" t="str">
        <f t="shared" si="13"/>
        <v xml:space="preserve">                                                  </v>
      </c>
      <c r="B855" s="20" t="s">
        <v>174</v>
      </c>
      <c r="C855" s="3"/>
      <c r="D855" s="3"/>
      <c r="E855" s="3"/>
      <c r="F855" s="3"/>
      <c r="G855" s="3"/>
      <c r="H855" s="3"/>
      <c r="I855" s="3"/>
      <c r="J855" s="3"/>
      <c r="K855" s="3"/>
      <c r="L855" s="3"/>
      <c r="M855" s="3"/>
      <c r="N855" s="3"/>
      <c r="O855" s="3"/>
      <c r="P855" s="3"/>
      <c r="Q855" s="3"/>
      <c r="R855" s="3"/>
      <c r="S855" s="3"/>
      <c r="T855" s="3"/>
      <c r="U855" s="3"/>
      <c r="V855" s="3"/>
      <c r="W855" s="3"/>
      <c r="X855" s="3"/>
      <c r="Y855" s="3"/>
      <c r="Z855" s="3"/>
      <c r="AA855" s="3"/>
      <c r="AB855" s="3"/>
      <c r="AC855" s="3"/>
      <c r="AD855" s="3"/>
      <c r="AE855" s="3"/>
      <c r="AF855" s="3"/>
      <c r="AG855" s="3"/>
      <c r="AH855" s="3"/>
      <c r="AI855" s="3"/>
      <c r="AJ855" s="3"/>
      <c r="AK855" s="3"/>
      <c r="AL855" s="3"/>
      <c r="AM855" s="3"/>
      <c r="AN855" s="3"/>
      <c r="AO855" s="3"/>
      <c r="AP855" s="3"/>
      <c r="AQ855" s="3"/>
      <c r="AR855" s="3"/>
      <c r="AS855" s="3"/>
      <c r="AT855" s="3"/>
      <c r="AU855" s="3"/>
      <c r="AV855" s="3"/>
      <c r="AW855" s="3"/>
      <c r="AX855" s="3"/>
      <c r="AY855" s="3"/>
      <c r="AZ855" s="3"/>
    </row>
    <row r="856" spans="1:52" ht="18" customHeight="1" x14ac:dyDescent="0.2">
      <c r="A856" s="3" t="str">
        <f t="shared" si="13"/>
        <v xml:space="preserve">                                                  </v>
      </c>
      <c r="B856" s="20" t="s">
        <v>174</v>
      </c>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row>
    <row r="857" spans="1:52" ht="18" customHeight="1" x14ac:dyDescent="0.2">
      <c r="A857" s="3" t="str">
        <f t="shared" si="13"/>
        <v xml:space="preserve">                                                  </v>
      </c>
      <c r="B857" s="20" t="s">
        <v>174</v>
      </c>
      <c r="C857" s="3"/>
      <c r="D857" s="3"/>
      <c r="E857" s="3"/>
      <c r="F857" s="3"/>
      <c r="G857" s="3"/>
      <c r="H857" s="3"/>
      <c r="I857" s="3"/>
      <c r="J857" s="3"/>
      <c r="K857" s="3"/>
      <c r="L857" s="3"/>
      <c r="M857" s="3"/>
      <c r="N857" s="3"/>
      <c r="O857" s="3"/>
      <c r="P857" s="3"/>
      <c r="Q857" s="3"/>
      <c r="R857" s="3"/>
      <c r="S857" s="3"/>
      <c r="T857" s="3"/>
      <c r="U857" s="3"/>
      <c r="V857" s="3"/>
      <c r="W857" s="3"/>
      <c r="X857" s="3"/>
      <c r="Y857" s="3"/>
      <c r="Z857" s="3"/>
      <c r="AA857" s="3"/>
      <c r="AB857" s="3"/>
      <c r="AC857" s="3"/>
      <c r="AD857" s="3"/>
      <c r="AE857" s="3"/>
      <c r="AF857" s="3"/>
      <c r="AG857" s="3"/>
      <c r="AH857" s="3"/>
      <c r="AI857" s="3"/>
      <c r="AJ857" s="3"/>
      <c r="AK857" s="3"/>
      <c r="AL857" s="3"/>
      <c r="AM857" s="3"/>
      <c r="AN857" s="3"/>
      <c r="AO857" s="3"/>
      <c r="AP857" s="3"/>
      <c r="AQ857" s="3"/>
      <c r="AR857" s="3"/>
      <c r="AS857" s="3"/>
      <c r="AT857" s="3"/>
      <c r="AU857" s="3"/>
      <c r="AV857" s="3"/>
      <c r="AW857" s="3"/>
      <c r="AX857" s="3"/>
      <c r="AY857" s="3"/>
      <c r="AZ857" s="3"/>
    </row>
    <row r="858" spans="1:52" ht="18" customHeight="1" x14ac:dyDescent="0.2">
      <c r="A858" s="3" t="str">
        <f t="shared" si="13"/>
        <v xml:space="preserve">                                                  </v>
      </c>
      <c r="B858" s="20" t="s">
        <v>174</v>
      </c>
      <c r="C858" s="3"/>
      <c r="D858" s="3"/>
      <c r="E858" s="3"/>
      <c r="F858" s="3"/>
      <c r="G858" s="3"/>
      <c r="H858" s="3"/>
      <c r="I858" s="3"/>
      <c r="J858" s="3"/>
      <c r="K858" s="3"/>
      <c r="L858" s="3"/>
      <c r="M858" s="3"/>
      <c r="N858" s="3"/>
      <c r="O858" s="3"/>
      <c r="P858" s="3"/>
      <c r="Q858" s="3"/>
      <c r="R858" s="3"/>
      <c r="S858" s="3"/>
      <c r="T858" s="3"/>
      <c r="U858" s="3"/>
      <c r="V858" s="3"/>
      <c r="W858" s="3"/>
      <c r="X858" s="3"/>
      <c r="Y858" s="3"/>
      <c r="Z858" s="3"/>
      <c r="AA858" s="3"/>
      <c r="AB858" s="3"/>
      <c r="AC858" s="3"/>
      <c r="AD858" s="3"/>
      <c r="AE858" s="3"/>
      <c r="AF858" s="3"/>
      <c r="AG858" s="3"/>
      <c r="AH858" s="3"/>
      <c r="AI858" s="3"/>
      <c r="AJ858" s="3"/>
      <c r="AK858" s="3"/>
      <c r="AL858" s="3"/>
      <c r="AM858" s="3"/>
      <c r="AN858" s="3"/>
      <c r="AO858" s="3"/>
      <c r="AP858" s="3"/>
      <c r="AQ858" s="3"/>
      <c r="AR858" s="3"/>
      <c r="AS858" s="3"/>
      <c r="AT858" s="3"/>
      <c r="AU858" s="3"/>
      <c r="AV858" s="3"/>
      <c r="AW858" s="3"/>
      <c r="AX858" s="3"/>
      <c r="AY858" s="3"/>
      <c r="AZ858" s="3"/>
    </row>
    <row r="859" spans="1:52" ht="18" customHeight="1" x14ac:dyDescent="0.2">
      <c r="A859" s="3" t="str">
        <f t="shared" si="13"/>
        <v xml:space="preserve">                                                  </v>
      </c>
      <c r="B859" s="20" t="s">
        <v>174</v>
      </c>
      <c r="C859" s="3"/>
      <c r="D859" s="3"/>
      <c r="E859" s="3"/>
      <c r="F859" s="3"/>
      <c r="G859" s="3"/>
      <c r="H859" s="3"/>
      <c r="I859" s="3"/>
      <c r="J859" s="3"/>
      <c r="K859" s="3"/>
      <c r="L859" s="3"/>
      <c r="M859" s="3"/>
      <c r="N859" s="3"/>
      <c r="O859" s="3"/>
      <c r="P859" s="3"/>
      <c r="Q859" s="3"/>
      <c r="R859" s="3"/>
      <c r="S859" s="3"/>
      <c r="T859" s="3"/>
      <c r="U859" s="3"/>
      <c r="V859" s="3"/>
      <c r="W859" s="3"/>
      <c r="X859" s="3"/>
      <c r="Y859" s="3"/>
      <c r="Z859" s="3"/>
      <c r="AA859" s="3"/>
      <c r="AB859" s="3"/>
      <c r="AC859" s="3"/>
      <c r="AD859" s="3"/>
      <c r="AE859" s="3"/>
      <c r="AF859" s="3"/>
      <c r="AG859" s="3"/>
      <c r="AH859" s="3"/>
      <c r="AI859" s="3"/>
      <c r="AJ859" s="3"/>
      <c r="AK859" s="3"/>
      <c r="AL859" s="3"/>
      <c r="AM859" s="3"/>
      <c r="AN859" s="3"/>
      <c r="AO859" s="3"/>
      <c r="AP859" s="3"/>
      <c r="AQ859" s="3"/>
      <c r="AR859" s="3"/>
      <c r="AS859" s="3"/>
      <c r="AT859" s="3"/>
      <c r="AU859" s="3"/>
      <c r="AV859" s="3"/>
      <c r="AW859" s="3"/>
      <c r="AX859" s="3"/>
      <c r="AY859" s="3"/>
      <c r="AZ859" s="3"/>
    </row>
    <row r="860" spans="1:52" ht="18" customHeight="1" x14ac:dyDescent="0.2">
      <c r="A860" s="3" t="str">
        <f t="shared" si="13"/>
        <v xml:space="preserve">                                                  </v>
      </c>
      <c r="B860" s="20" t="s">
        <v>174</v>
      </c>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row>
    <row r="861" spans="1:52" ht="18" customHeight="1" x14ac:dyDescent="0.2">
      <c r="A861" s="3" t="str">
        <f t="shared" si="13"/>
        <v xml:space="preserve">                                                  </v>
      </c>
      <c r="B861" s="20" t="s">
        <v>174</v>
      </c>
      <c r="C861" s="3"/>
      <c r="D861" s="3"/>
      <c r="E861" s="3"/>
      <c r="F861" s="3"/>
      <c r="G861" s="3"/>
      <c r="H861" s="3"/>
      <c r="I861" s="3"/>
      <c r="J861" s="3"/>
      <c r="K861" s="3"/>
      <c r="L861" s="3"/>
      <c r="M861" s="3"/>
      <c r="N861" s="3"/>
      <c r="O861" s="3"/>
      <c r="P861" s="3"/>
      <c r="Q861" s="3"/>
      <c r="R861" s="3"/>
      <c r="S861" s="3"/>
      <c r="T861" s="3"/>
      <c r="U861" s="3"/>
      <c r="V861" s="3"/>
      <c r="W861" s="3"/>
      <c r="X861" s="3"/>
      <c r="Y861" s="3"/>
      <c r="Z861" s="3"/>
      <c r="AA861" s="3"/>
      <c r="AB861" s="3"/>
      <c r="AC861" s="3"/>
      <c r="AD861" s="3"/>
      <c r="AE861" s="3"/>
      <c r="AF861" s="3"/>
      <c r="AG861" s="3"/>
      <c r="AH861" s="3"/>
      <c r="AI861" s="3"/>
      <c r="AJ861" s="3"/>
      <c r="AK861" s="3"/>
      <c r="AL861" s="3"/>
      <c r="AM861" s="3"/>
      <c r="AN861" s="3"/>
      <c r="AO861" s="3"/>
      <c r="AP861" s="3"/>
      <c r="AQ861" s="3"/>
      <c r="AR861" s="3"/>
      <c r="AS861" s="3"/>
      <c r="AT861" s="3"/>
      <c r="AU861" s="3"/>
      <c r="AV861" s="3"/>
      <c r="AW861" s="3"/>
      <c r="AX861" s="3"/>
      <c r="AY861" s="3"/>
      <c r="AZ861" s="3"/>
    </row>
    <row r="862" spans="1:52" ht="18" customHeight="1" x14ac:dyDescent="0.2">
      <c r="A862" s="3" t="str">
        <f t="shared" si="13"/>
        <v xml:space="preserve">                                                  </v>
      </c>
      <c r="B862" s="20" t="s">
        <v>174</v>
      </c>
      <c r="C862" s="3"/>
      <c r="D862" s="3"/>
      <c r="E862" s="3"/>
      <c r="F862" s="3"/>
      <c r="G862" s="3"/>
      <c r="H862" s="3"/>
      <c r="I862" s="3"/>
      <c r="J862" s="3"/>
      <c r="K862" s="3"/>
      <c r="L862" s="3"/>
      <c r="M862" s="3"/>
      <c r="N862" s="3"/>
      <c r="O862" s="3"/>
      <c r="P862" s="3"/>
      <c r="Q862" s="3"/>
      <c r="R862" s="3"/>
      <c r="S862" s="3"/>
      <c r="T862" s="3"/>
      <c r="U862" s="3"/>
      <c r="V862" s="3"/>
      <c r="W862" s="3"/>
      <c r="X862" s="3"/>
      <c r="Y862" s="3"/>
      <c r="Z862" s="3"/>
      <c r="AA862" s="3"/>
      <c r="AB862" s="3"/>
      <c r="AC862" s="3"/>
      <c r="AD862" s="3"/>
      <c r="AE862" s="3"/>
      <c r="AF862" s="3"/>
      <c r="AG862" s="3"/>
      <c r="AH862" s="3"/>
      <c r="AI862" s="3"/>
      <c r="AJ862" s="3"/>
      <c r="AK862" s="3"/>
      <c r="AL862" s="3"/>
      <c r="AM862" s="3"/>
      <c r="AN862" s="3"/>
      <c r="AO862" s="3"/>
      <c r="AP862" s="3"/>
      <c r="AQ862" s="3"/>
      <c r="AR862" s="3"/>
      <c r="AS862" s="3"/>
      <c r="AT862" s="3"/>
      <c r="AU862" s="3"/>
      <c r="AV862" s="3"/>
      <c r="AW862" s="3"/>
      <c r="AX862" s="3"/>
      <c r="AY862" s="3"/>
      <c r="AZ862" s="3"/>
    </row>
    <row r="863" spans="1:52" ht="18" customHeight="1" x14ac:dyDescent="0.2">
      <c r="A863" s="3" t="str">
        <f t="shared" si="13"/>
        <v xml:space="preserve">                                                  </v>
      </c>
      <c r="B863" s="20" t="s">
        <v>174</v>
      </c>
      <c r="C863" s="3"/>
      <c r="D863" s="3"/>
      <c r="E863" s="3"/>
      <c r="F863" s="3"/>
      <c r="G863" s="3"/>
      <c r="H863" s="3"/>
      <c r="I863" s="3"/>
      <c r="J863" s="3"/>
      <c r="K863" s="3"/>
      <c r="L863" s="3"/>
      <c r="M863" s="3"/>
      <c r="N863" s="3"/>
      <c r="O863" s="3"/>
      <c r="P863" s="3"/>
      <c r="Q863" s="3"/>
      <c r="R863" s="3"/>
      <c r="S863" s="3"/>
      <c r="T863" s="3"/>
      <c r="U863" s="3"/>
      <c r="V863" s="3"/>
      <c r="W863" s="3"/>
      <c r="X863" s="3"/>
      <c r="Y863" s="3"/>
      <c r="Z863" s="3"/>
      <c r="AA863" s="3"/>
      <c r="AB863" s="3"/>
      <c r="AC863" s="3"/>
      <c r="AD863" s="3"/>
      <c r="AE863" s="3"/>
      <c r="AF863" s="3"/>
      <c r="AG863" s="3"/>
      <c r="AH863" s="3"/>
      <c r="AI863" s="3"/>
      <c r="AJ863" s="3"/>
      <c r="AK863" s="3"/>
      <c r="AL863" s="3"/>
      <c r="AM863" s="3"/>
      <c r="AN863" s="3"/>
      <c r="AO863" s="3"/>
      <c r="AP863" s="3"/>
      <c r="AQ863" s="3"/>
      <c r="AR863" s="3"/>
      <c r="AS863" s="3"/>
      <c r="AT863" s="3"/>
      <c r="AU863" s="3"/>
      <c r="AV863" s="3"/>
      <c r="AW863" s="3"/>
      <c r="AX863" s="3"/>
      <c r="AY863" s="3"/>
      <c r="AZ863" s="3"/>
    </row>
    <row r="864" spans="1:52" ht="18" customHeight="1" x14ac:dyDescent="0.2">
      <c r="A864" s="3" t="str">
        <f t="shared" si="13"/>
        <v xml:space="preserve">                                                  </v>
      </c>
      <c r="B864" s="20" t="s">
        <v>174</v>
      </c>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row>
    <row r="865" spans="1:52" ht="18" customHeight="1" x14ac:dyDescent="0.2">
      <c r="A865" s="3" t="str">
        <f t="shared" si="13"/>
        <v xml:space="preserve">                                                  </v>
      </c>
      <c r="B865" s="20" t="s">
        <v>174</v>
      </c>
      <c r="C865" s="3"/>
      <c r="D865" s="3"/>
      <c r="E865" s="3"/>
      <c r="F865" s="3"/>
      <c r="G865" s="3"/>
      <c r="H865" s="3"/>
      <c r="I865" s="3"/>
      <c r="J865" s="3"/>
      <c r="K865" s="3"/>
      <c r="L865" s="3"/>
      <c r="M865" s="3"/>
      <c r="N865" s="3"/>
      <c r="O865" s="3"/>
      <c r="P865" s="3"/>
      <c r="Q865" s="3"/>
      <c r="R865" s="3"/>
      <c r="S865" s="3"/>
      <c r="T865" s="3"/>
      <c r="U865" s="3"/>
      <c r="V865" s="3"/>
      <c r="W865" s="3"/>
      <c r="X865" s="3"/>
      <c r="Y865" s="3"/>
      <c r="Z865" s="3"/>
      <c r="AA865" s="3"/>
      <c r="AB865" s="3"/>
      <c r="AC865" s="3"/>
      <c r="AD865" s="3"/>
      <c r="AE865" s="3"/>
      <c r="AF865" s="3"/>
      <c r="AG865" s="3"/>
      <c r="AH865" s="3"/>
      <c r="AI865" s="3"/>
      <c r="AJ865" s="3"/>
      <c r="AK865" s="3"/>
      <c r="AL865" s="3"/>
      <c r="AM865" s="3"/>
      <c r="AN865" s="3"/>
      <c r="AO865" s="3"/>
      <c r="AP865" s="3"/>
      <c r="AQ865" s="3"/>
      <c r="AR865" s="3"/>
      <c r="AS865" s="3"/>
      <c r="AT865" s="3"/>
      <c r="AU865" s="3"/>
      <c r="AV865" s="3"/>
      <c r="AW865" s="3"/>
      <c r="AX865" s="3"/>
      <c r="AY865" s="3"/>
      <c r="AZ865" s="3"/>
    </row>
    <row r="866" spans="1:52" ht="18" customHeight="1" x14ac:dyDescent="0.2">
      <c r="A866" s="3" t="str">
        <f t="shared" si="13"/>
        <v xml:space="preserve">                                                  </v>
      </c>
      <c r="B866" s="20" t="s">
        <v>174</v>
      </c>
      <c r="C866" s="3"/>
      <c r="D866" s="3"/>
      <c r="E866" s="3"/>
      <c r="F866" s="3"/>
      <c r="G866" s="3"/>
      <c r="H866" s="3"/>
      <c r="I866" s="3"/>
      <c r="J866" s="3"/>
      <c r="K866" s="3"/>
      <c r="L866" s="3"/>
      <c r="M866" s="3"/>
      <c r="N866" s="3"/>
      <c r="O866" s="3"/>
      <c r="P866" s="3"/>
      <c r="Q866" s="3"/>
      <c r="R866" s="3"/>
      <c r="S866" s="3"/>
      <c r="T866" s="3"/>
      <c r="U866" s="3"/>
      <c r="V866" s="3"/>
      <c r="W866" s="3"/>
      <c r="X866" s="3"/>
      <c r="Y866" s="3"/>
      <c r="Z866" s="3"/>
      <c r="AA866" s="3"/>
      <c r="AB866" s="3"/>
      <c r="AC866" s="3"/>
      <c r="AD866" s="3"/>
      <c r="AE866" s="3"/>
      <c r="AF866" s="3"/>
      <c r="AG866" s="3"/>
      <c r="AH866" s="3"/>
      <c r="AI866" s="3"/>
      <c r="AJ866" s="3"/>
      <c r="AK866" s="3"/>
      <c r="AL866" s="3"/>
      <c r="AM866" s="3"/>
      <c r="AN866" s="3"/>
      <c r="AO866" s="3"/>
      <c r="AP866" s="3"/>
      <c r="AQ866" s="3"/>
      <c r="AR866" s="3"/>
      <c r="AS866" s="3"/>
      <c r="AT866" s="3"/>
      <c r="AU866" s="3"/>
      <c r="AV866" s="3"/>
      <c r="AW866" s="3"/>
      <c r="AX866" s="3"/>
      <c r="AY866" s="3"/>
      <c r="AZ866" s="3"/>
    </row>
    <row r="867" spans="1:52" ht="18" customHeight="1" x14ac:dyDescent="0.2">
      <c r="A867" s="3" t="str">
        <f t="shared" si="13"/>
        <v xml:space="preserve">                                                  </v>
      </c>
      <c r="B867" s="20" t="s">
        <v>174</v>
      </c>
      <c r="C867" s="3"/>
      <c r="D867" s="3"/>
      <c r="E867" s="3"/>
      <c r="F867" s="3"/>
      <c r="G867" s="3"/>
      <c r="H867" s="3"/>
      <c r="I867" s="3"/>
      <c r="J867" s="3"/>
      <c r="K867" s="3"/>
      <c r="L867" s="3"/>
      <c r="M867" s="3"/>
      <c r="N867" s="3"/>
      <c r="O867" s="3"/>
      <c r="P867" s="3"/>
      <c r="Q867" s="3"/>
      <c r="R867" s="3"/>
      <c r="S867" s="3"/>
      <c r="T867" s="3"/>
      <c r="U867" s="3"/>
      <c r="V867" s="3"/>
      <c r="W867" s="3"/>
      <c r="X867" s="3"/>
      <c r="Y867" s="3"/>
      <c r="Z867" s="3"/>
      <c r="AA867" s="3"/>
      <c r="AB867" s="3"/>
      <c r="AC867" s="3"/>
      <c r="AD867" s="3"/>
      <c r="AE867" s="3"/>
      <c r="AF867" s="3"/>
      <c r="AG867" s="3"/>
      <c r="AH867" s="3"/>
      <c r="AI867" s="3"/>
      <c r="AJ867" s="3"/>
      <c r="AK867" s="3"/>
      <c r="AL867" s="3"/>
      <c r="AM867" s="3"/>
      <c r="AN867" s="3"/>
      <c r="AO867" s="3"/>
      <c r="AP867" s="3"/>
      <c r="AQ867" s="3"/>
      <c r="AR867" s="3"/>
      <c r="AS867" s="3"/>
      <c r="AT867" s="3"/>
      <c r="AU867" s="3"/>
      <c r="AV867" s="3"/>
      <c r="AW867" s="3"/>
      <c r="AX867" s="3"/>
      <c r="AY867" s="3"/>
      <c r="AZ867" s="3"/>
    </row>
    <row r="868" spans="1:52" ht="18" customHeight="1" x14ac:dyDescent="0.2">
      <c r="A868" s="3" t="str">
        <f t="shared" si="13"/>
        <v xml:space="preserve">                                                  </v>
      </c>
      <c r="B868" s="20" t="s">
        <v>174</v>
      </c>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row>
    <row r="869" spans="1:52" ht="18" customHeight="1" x14ac:dyDescent="0.2">
      <c r="A869" s="3" t="str">
        <f t="shared" si="13"/>
        <v xml:space="preserve">                                                  </v>
      </c>
      <c r="B869" s="20" t="s">
        <v>174</v>
      </c>
      <c r="C869" s="3"/>
      <c r="D869" s="3"/>
      <c r="E869" s="3"/>
      <c r="F869" s="3"/>
      <c r="G869" s="3"/>
      <c r="H869" s="3"/>
      <c r="I869" s="3"/>
      <c r="J869" s="3"/>
      <c r="K869" s="3"/>
      <c r="L869" s="3"/>
      <c r="M869" s="3"/>
      <c r="N869" s="3"/>
      <c r="O869" s="3"/>
      <c r="P869" s="3"/>
      <c r="Q869" s="3"/>
      <c r="R869" s="3"/>
      <c r="S869" s="3"/>
      <c r="T869" s="3"/>
      <c r="U869" s="3"/>
      <c r="V869" s="3"/>
      <c r="W869" s="3"/>
      <c r="X869" s="3"/>
      <c r="Y869" s="3"/>
      <c r="Z869" s="3"/>
      <c r="AA869" s="3"/>
      <c r="AB869" s="3"/>
      <c r="AC869" s="3"/>
      <c r="AD869" s="3"/>
      <c r="AE869" s="3"/>
      <c r="AF869" s="3"/>
      <c r="AG869" s="3"/>
      <c r="AH869" s="3"/>
      <c r="AI869" s="3"/>
      <c r="AJ869" s="3"/>
      <c r="AK869" s="3"/>
      <c r="AL869" s="3"/>
      <c r="AM869" s="3"/>
      <c r="AN869" s="3"/>
      <c r="AO869" s="3"/>
      <c r="AP869" s="3"/>
      <c r="AQ869" s="3"/>
      <c r="AR869" s="3"/>
      <c r="AS869" s="3"/>
      <c r="AT869" s="3"/>
      <c r="AU869" s="3"/>
      <c r="AV869" s="3"/>
      <c r="AW869" s="3"/>
      <c r="AX869" s="3"/>
      <c r="AY869" s="3"/>
      <c r="AZ869" s="3"/>
    </row>
    <row r="870" spans="1:52" ht="18" customHeight="1" x14ac:dyDescent="0.2">
      <c r="A870" s="3" t="str">
        <f t="shared" si="13"/>
        <v xml:space="preserve">                                                  </v>
      </c>
      <c r="B870" s="20" t="s">
        <v>174</v>
      </c>
      <c r="C870" s="3"/>
      <c r="D870" s="3"/>
      <c r="E870" s="3"/>
      <c r="F870" s="3"/>
      <c r="G870" s="3"/>
      <c r="H870" s="3"/>
      <c r="I870" s="3"/>
      <c r="J870" s="3"/>
      <c r="K870" s="3"/>
      <c r="L870" s="3"/>
      <c r="M870" s="3"/>
      <c r="N870" s="3"/>
      <c r="O870" s="3"/>
      <c r="P870" s="3"/>
      <c r="Q870" s="3"/>
      <c r="R870" s="3"/>
      <c r="S870" s="3"/>
      <c r="T870" s="3"/>
      <c r="U870" s="3"/>
      <c r="V870" s="3"/>
      <c r="W870" s="3"/>
      <c r="X870" s="3"/>
      <c r="Y870" s="3"/>
      <c r="Z870" s="3"/>
      <c r="AA870" s="3"/>
      <c r="AB870" s="3"/>
      <c r="AC870" s="3"/>
      <c r="AD870" s="3"/>
      <c r="AE870" s="3"/>
      <c r="AF870" s="3"/>
      <c r="AG870" s="3"/>
      <c r="AH870" s="3"/>
      <c r="AI870" s="3"/>
      <c r="AJ870" s="3"/>
      <c r="AK870" s="3"/>
      <c r="AL870" s="3"/>
      <c r="AM870" s="3"/>
      <c r="AN870" s="3"/>
      <c r="AO870" s="3"/>
      <c r="AP870" s="3"/>
      <c r="AQ870" s="3"/>
      <c r="AR870" s="3"/>
      <c r="AS870" s="3"/>
      <c r="AT870" s="3"/>
      <c r="AU870" s="3"/>
      <c r="AV870" s="3"/>
      <c r="AW870" s="3"/>
      <c r="AX870" s="3"/>
      <c r="AY870" s="3"/>
      <c r="AZ870" s="3"/>
    </row>
    <row r="871" spans="1:52" ht="18" customHeight="1" x14ac:dyDescent="0.2">
      <c r="A871" s="3" t="str">
        <f t="shared" si="13"/>
        <v xml:space="preserve">                                                  </v>
      </c>
      <c r="B871" s="20" t="s">
        <v>174</v>
      </c>
      <c r="C871" s="3"/>
      <c r="D871" s="3"/>
      <c r="E871" s="3"/>
      <c r="F871" s="3"/>
      <c r="G871" s="3"/>
      <c r="H871" s="3"/>
      <c r="I871" s="3"/>
      <c r="J871" s="3"/>
      <c r="K871" s="3"/>
      <c r="L871" s="3"/>
      <c r="M871" s="3"/>
      <c r="N871" s="3"/>
      <c r="O871" s="3"/>
      <c r="P871" s="3"/>
      <c r="Q871" s="3"/>
      <c r="R871" s="3"/>
      <c r="S871" s="3"/>
      <c r="T871" s="3"/>
      <c r="U871" s="3"/>
      <c r="V871" s="3"/>
      <c r="W871" s="3"/>
      <c r="X871" s="3"/>
      <c r="Y871" s="3"/>
      <c r="Z871" s="3"/>
      <c r="AA871" s="3"/>
      <c r="AB871" s="3"/>
      <c r="AC871" s="3"/>
      <c r="AD871" s="3"/>
      <c r="AE871" s="3"/>
      <c r="AF871" s="3"/>
      <c r="AG871" s="3"/>
      <c r="AH871" s="3"/>
      <c r="AI871" s="3"/>
      <c r="AJ871" s="3"/>
      <c r="AK871" s="3"/>
      <c r="AL871" s="3"/>
      <c r="AM871" s="3"/>
      <c r="AN871" s="3"/>
      <c r="AO871" s="3"/>
      <c r="AP871" s="3"/>
      <c r="AQ871" s="3"/>
      <c r="AR871" s="3"/>
      <c r="AS871" s="3"/>
      <c r="AT871" s="3"/>
      <c r="AU871" s="3"/>
      <c r="AV871" s="3"/>
      <c r="AW871" s="3"/>
      <c r="AX871" s="3"/>
      <c r="AY871" s="3"/>
      <c r="AZ871" s="3"/>
    </row>
    <row r="872" spans="1:52" ht="18" customHeight="1" x14ac:dyDescent="0.2">
      <c r="A872" s="3" t="str">
        <f t="shared" si="13"/>
        <v xml:space="preserve">                                                  </v>
      </c>
      <c r="B872" s="20" t="s">
        <v>174</v>
      </c>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row>
    <row r="873" spans="1:52" ht="18" customHeight="1" x14ac:dyDescent="0.2">
      <c r="A873" s="3" t="str">
        <f t="shared" si="13"/>
        <v xml:space="preserve">                                                  </v>
      </c>
      <c r="B873" s="20" t="s">
        <v>174</v>
      </c>
      <c r="C873" s="3"/>
      <c r="D873" s="3"/>
      <c r="E873" s="3"/>
      <c r="F873" s="3"/>
      <c r="G873" s="3"/>
      <c r="H873" s="3"/>
      <c r="I873" s="3"/>
      <c r="J873" s="3"/>
      <c r="K873" s="3"/>
      <c r="L873" s="3"/>
      <c r="M873" s="3"/>
      <c r="N873" s="3"/>
      <c r="O873" s="3"/>
      <c r="P873" s="3"/>
      <c r="Q873" s="3"/>
      <c r="R873" s="3"/>
      <c r="S873" s="3"/>
      <c r="T873" s="3"/>
      <c r="U873" s="3"/>
      <c r="V873" s="3"/>
      <c r="W873" s="3"/>
      <c r="X873" s="3"/>
      <c r="Y873" s="3"/>
      <c r="Z873" s="3"/>
      <c r="AA873" s="3"/>
      <c r="AB873" s="3"/>
      <c r="AC873" s="3"/>
      <c r="AD873" s="3"/>
      <c r="AE873" s="3"/>
      <c r="AF873" s="3"/>
      <c r="AG873" s="3"/>
      <c r="AH873" s="3"/>
      <c r="AI873" s="3"/>
      <c r="AJ873" s="3"/>
      <c r="AK873" s="3"/>
      <c r="AL873" s="3"/>
      <c r="AM873" s="3"/>
      <c r="AN873" s="3"/>
      <c r="AO873" s="3"/>
      <c r="AP873" s="3"/>
      <c r="AQ873" s="3"/>
      <c r="AR873" s="3"/>
      <c r="AS873" s="3"/>
      <c r="AT873" s="3"/>
      <c r="AU873" s="3"/>
      <c r="AV873" s="3"/>
      <c r="AW873" s="3"/>
      <c r="AX873" s="3"/>
      <c r="AY873" s="3"/>
      <c r="AZ873" s="3"/>
    </row>
    <row r="874" spans="1:52" ht="18" customHeight="1" x14ac:dyDescent="0.2">
      <c r="A874" s="3" t="str">
        <f t="shared" si="13"/>
        <v xml:space="preserve">                                                  </v>
      </c>
      <c r="B874" s="20" t="s">
        <v>174</v>
      </c>
      <c r="C874" s="3"/>
      <c r="D874" s="3"/>
      <c r="E874" s="3"/>
      <c r="F874" s="3"/>
      <c r="G874" s="3"/>
      <c r="H874" s="3"/>
      <c r="I874" s="3"/>
      <c r="J874" s="3"/>
      <c r="K874" s="3"/>
      <c r="L874" s="3"/>
      <c r="M874" s="3"/>
      <c r="N874" s="3"/>
      <c r="O874" s="3"/>
      <c r="P874" s="3"/>
      <c r="Q874" s="3"/>
      <c r="R874" s="3"/>
      <c r="S874" s="3"/>
      <c r="T874" s="3"/>
      <c r="U874" s="3"/>
      <c r="V874" s="3"/>
      <c r="W874" s="3"/>
      <c r="X874" s="3"/>
      <c r="Y874" s="3"/>
      <c r="Z874" s="3"/>
      <c r="AA874" s="3"/>
      <c r="AB874" s="3"/>
      <c r="AC874" s="3"/>
      <c r="AD874" s="3"/>
      <c r="AE874" s="3"/>
      <c r="AF874" s="3"/>
      <c r="AG874" s="3"/>
      <c r="AH874" s="3"/>
      <c r="AI874" s="3"/>
      <c r="AJ874" s="3"/>
      <c r="AK874" s="3"/>
      <c r="AL874" s="3"/>
      <c r="AM874" s="3"/>
      <c r="AN874" s="3"/>
      <c r="AO874" s="3"/>
      <c r="AP874" s="3"/>
      <c r="AQ874" s="3"/>
      <c r="AR874" s="3"/>
      <c r="AS874" s="3"/>
      <c r="AT874" s="3"/>
      <c r="AU874" s="3"/>
      <c r="AV874" s="3"/>
      <c r="AW874" s="3"/>
      <c r="AX874" s="3"/>
      <c r="AY874" s="3"/>
      <c r="AZ874" s="3"/>
    </row>
    <row r="875" spans="1:52" ht="18" customHeight="1" x14ac:dyDescent="0.2">
      <c r="A875" s="3" t="str">
        <f t="shared" si="13"/>
        <v xml:space="preserve">                                                  </v>
      </c>
      <c r="B875" s="20" t="s">
        <v>174</v>
      </c>
      <c r="C875" s="3"/>
      <c r="D875" s="3"/>
      <c r="E875" s="3"/>
      <c r="F875" s="3"/>
      <c r="G875" s="3"/>
      <c r="H875" s="3"/>
      <c r="I875" s="3"/>
      <c r="J875" s="3"/>
      <c r="K875" s="3"/>
      <c r="L875" s="3"/>
      <c r="M875" s="3"/>
      <c r="N875" s="3"/>
      <c r="O875" s="3"/>
      <c r="P875" s="3"/>
      <c r="Q875" s="3"/>
      <c r="R875" s="3"/>
      <c r="S875" s="3"/>
      <c r="T875" s="3"/>
      <c r="U875" s="3"/>
      <c r="V875" s="3"/>
      <c r="W875" s="3"/>
      <c r="X875" s="3"/>
      <c r="Y875" s="3"/>
      <c r="Z875" s="3"/>
      <c r="AA875" s="3"/>
      <c r="AB875" s="3"/>
      <c r="AC875" s="3"/>
      <c r="AD875" s="3"/>
      <c r="AE875" s="3"/>
      <c r="AF875" s="3"/>
      <c r="AG875" s="3"/>
      <c r="AH875" s="3"/>
      <c r="AI875" s="3"/>
      <c r="AJ875" s="3"/>
      <c r="AK875" s="3"/>
      <c r="AL875" s="3"/>
      <c r="AM875" s="3"/>
      <c r="AN875" s="3"/>
      <c r="AO875" s="3"/>
      <c r="AP875" s="3"/>
      <c r="AQ875" s="3"/>
      <c r="AR875" s="3"/>
      <c r="AS875" s="3"/>
      <c r="AT875" s="3"/>
      <c r="AU875" s="3"/>
      <c r="AV875" s="3"/>
      <c r="AW875" s="3"/>
      <c r="AX875" s="3"/>
      <c r="AY875" s="3"/>
      <c r="AZ875" s="3"/>
    </row>
    <row r="876" spans="1:52" ht="18" customHeight="1" x14ac:dyDescent="0.2">
      <c r="A876" s="3" t="str">
        <f t="shared" si="13"/>
        <v xml:space="preserve">                                                  </v>
      </c>
      <c r="B876" s="20" t="s">
        <v>174</v>
      </c>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row>
    <row r="877" spans="1:52" ht="18" customHeight="1" x14ac:dyDescent="0.2">
      <c r="A877" s="3" t="str">
        <f t="shared" si="13"/>
        <v xml:space="preserve">                                                  </v>
      </c>
      <c r="B877" s="20" t="s">
        <v>174</v>
      </c>
      <c r="C877" s="3"/>
      <c r="D877" s="3"/>
      <c r="E877" s="3"/>
      <c r="F877" s="3"/>
      <c r="G877" s="3"/>
      <c r="H877" s="3"/>
      <c r="I877" s="3"/>
      <c r="J877" s="3"/>
      <c r="K877" s="3"/>
      <c r="L877" s="3"/>
      <c r="M877" s="3"/>
      <c r="N877" s="3"/>
      <c r="O877" s="3"/>
      <c r="P877" s="3"/>
      <c r="Q877" s="3"/>
      <c r="R877" s="3"/>
      <c r="S877" s="3"/>
      <c r="T877" s="3"/>
      <c r="U877" s="3"/>
      <c r="V877" s="3"/>
      <c r="W877" s="3"/>
      <c r="X877" s="3"/>
      <c r="Y877" s="3"/>
      <c r="Z877" s="3"/>
      <c r="AA877" s="3"/>
      <c r="AB877" s="3"/>
      <c r="AC877" s="3"/>
      <c r="AD877" s="3"/>
      <c r="AE877" s="3"/>
      <c r="AF877" s="3"/>
      <c r="AG877" s="3"/>
      <c r="AH877" s="3"/>
      <c r="AI877" s="3"/>
      <c r="AJ877" s="3"/>
      <c r="AK877" s="3"/>
      <c r="AL877" s="3"/>
      <c r="AM877" s="3"/>
      <c r="AN877" s="3"/>
      <c r="AO877" s="3"/>
      <c r="AP877" s="3"/>
      <c r="AQ877" s="3"/>
      <c r="AR877" s="3"/>
      <c r="AS877" s="3"/>
      <c r="AT877" s="3"/>
      <c r="AU877" s="3"/>
      <c r="AV877" s="3"/>
      <c r="AW877" s="3"/>
      <c r="AX877" s="3"/>
      <c r="AY877" s="3"/>
      <c r="AZ877" s="3"/>
    </row>
    <row r="878" spans="1:52" ht="18" customHeight="1" x14ac:dyDescent="0.2">
      <c r="A878" s="3" t="str">
        <f t="shared" si="13"/>
        <v xml:space="preserve">                                                  </v>
      </c>
      <c r="B878" s="20" t="s">
        <v>174</v>
      </c>
      <c r="C878" s="3"/>
      <c r="D878" s="3"/>
      <c r="E878" s="3"/>
      <c r="F878" s="3"/>
      <c r="G878" s="3"/>
      <c r="H878" s="3"/>
      <c r="I878" s="3"/>
      <c r="J878" s="3"/>
      <c r="K878" s="3"/>
      <c r="L878" s="3"/>
      <c r="M878" s="3"/>
      <c r="N878" s="3"/>
      <c r="O878" s="3"/>
      <c r="P878" s="3"/>
      <c r="Q878" s="3"/>
      <c r="R878" s="3"/>
      <c r="S878" s="3"/>
      <c r="T878" s="3"/>
      <c r="U878" s="3"/>
      <c r="V878" s="3"/>
      <c r="W878" s="3"/>
      <c r="X878" s="3"/>
      <c r="Y878" s="3"/>
      <c r="Z878" s="3"/>
      <c r="AA878" s="3"/>
      <c r="AB878" s="3"/>
      <c r="AC878" s="3"/>
      <c r="AD878" s="3"/>
      <c r="AE878" s="3"/>
      <c r="AF878" s="3"/>
      <c r="AG878" s="3"/>
      <c r="AH878" s="3"/>
      <c r="AI878" s="3"/>
      <c r="AJ878" s="3"/>
      <c r="AK878" s="3"/>
      <c r="AL878" s="3"/>
      <c r="AM878" s="3"/>
      <c r="AN878" s="3"/>
      <c r="AO878" s="3"/>
      <c r="AP878" s="3"/>
      <c r="AQ878" s="3"/>
      <c r="AR878" s="3"/>
      <c r="AS878" s="3"/>
      <c r="AT878" s="3"/>
      <c r="AU878" s="3"/>
      <c r="AV878" s="3"/>
      <c r="AW878" s="3"/>
      <c r="AX878" s="3"/>
      <c r="AY878" s="3"/>
      <c r="AZ878" s="3"/>
    </row>
    <row r="879" spans="1:52" ht="18" customHeight="1" x14ac:dyDescent="0.2">
      <c r="A879" s="3" t="str">
        <f t="shared" si="13"/>
        <v xml:space="preserve">                                                  </v>
      </c>
      <c r="B879" s="20" t="s">
        <v>174</v>
      </c>
      <c r="C879" s="3"/>
      <c r="D879" s="3"/>
      <c r="E879" s="3"/>
      <c r="F879" s="3"/>
      <c r="G879" s="3"/>
      <c r="H879" s="3"/>
      <c r="I879" s="3"/>
      <c r="J879" s="3"/>
      <c r="K879" s="3"/>
      <c r="L879" s="3"/>
      <c r="M879" s="3"/>
      <c r="N879" s="3"/>
      <c r="O879" s="3"/>
      <c r="P879" s="3"/>
      <c r="Q879" s="3"/>
      <c r="R879" s="3"/>
      <c r="S879" s="3"/>
      <c r="T879" s="3"/>
      <c r="U879" s="3"/>
      <c r="V879" s="3"/>
      <c r="W879" s="3"/>
      <c r="X879" s="3"/>
      <c r="Y879" s="3"/>
      <c r="Z879" s="3"/>
      <c r="AA879" s="3"/>
      <c r="AB879" s="3"/>
      <c r="AC879" s="3"/>
      <c r="AD879" s="3"/>
      <c r="AE879" s="3"/>
      <c r="AF879" s="3"/>
      <c r="AG879" s="3"/>
      <c r="AH879" s="3"/>
      <c r="AI879" s="3"/>
      <c r="AJ879" s="3"/>
      <c r="AK879" s="3"/>
      <c r="AL879" s="3"/>
      <c r="AM879" s="3"/>
      <c r="AN879" s="3"/>
      <c r="AO879" s="3"/>
      <c r="AP879" s="3"/>
      <c r="AQ879" s="3"/>
      <c r="AR879" s="3"/>
      <c r="AS879" s="3"/>
      <c r="AT879" s="3"/>
      <c r="AU879" s="3"/>
      <c r="AV879" s="3"/>
      <c r="AW879" s="3"/>
      <c r="AX879" s="3"/>
      <c r="AY879" s="3"/>
      <c r="AZ879" s="3"/>
    </row>
    <row r="880" spans="1:52" ht="18" customHeight="1" x14ac:dyDescent="0.2">
      <c r="A880" s="3" t="str">
        <f t="shared" si="13"/>
        <v xml:space="preserve">                                                  </v>
      </c>
      <c r="B880" s="20" t="s">
        <v>174</v>
      </c>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row>
    <row r="881" spans="1:52" ht="18" customHeight="1" x14ac:dyDescent="0.2">
      <c r="A881" s="3" t="str">
        <f t="shared" si="13"/>
        <v xml:space="preserve">                                                  </v>
      </c>
      <c r="B881" s="20" t="s">
        <v>174</v>
      </c>
      <c r="C881" s="3"/>
      <c r="D881" s="3"/>
      <c r="E881" s="3"/>
      <c r="F881" s="3"/>
      <c r="G881" s="3"/>
      <c r="H881" s="3"/>
      <c r="I881" s="3"/>
      <c r="J881" s="3"/>
      <c r="K881" s="3"/>
      <c r="L881" s="3"/>
      <c r="M881" s="3"/>
      <c r="N881" s="3"/>
      <c r="O881" s="3"/>
      <c r="P881" s="3"/>
      <c r="Q881" s="3"/>
      <c r="R881" s="3"/>
      <c r="S881" s="3"/>
      <c r="T881" s="3"/>
      <c r="U881" s="3"/>
      <c r="V881" s="3"/>
      <c r="W881" s="3"/>
      <c r="X881" s="3"/>
      <c r="Y881" s="3"/>
      <c r="Z881" s="3"/>
      <c r="AA881" s="3"/>
      <c r="AB881" s="3"/>
      <c r="AC881" s="3"/>
      <c r="AD881" s="3"/>
      <c r="AE881" s="3"/>
      <c r="AF881" s="3"/>
      <c r="AG881" s="3"/>
      <c r="AH881" s="3"/>
      <c r="AI881" s="3"/>
      <c r="AJ881" s="3"/>
      <c r="AK881" s="3"/>
      <c r="AL881" s="3"/>
      <c r="AM881" s="3"/>
      <c r="AN881" s="3"/>
      <c r="AO881" s="3"/>
      <c r="AP881" s="3"/>
      <c r="AQ881" s="3"/>
      <c r="AR881" s="3"/>
      <c r="AS881" s="3"/>
      <c r="AT881" s="3"/>
      <c r="AU881" s="3"/>
      <c r="AV881" s="3"/>
      <c r="AW881" s="3"/>
      <c r="AX881" s="3"/>
      <c r="AY881" s="3"/>
      <c r="AZ881" s="3"/>
    </row>
    <row r="882" spans="1:52" ht="18" customHeight="1" x14ac:dyDescent="0.2">
      <c r="A882" s="3" t="str">
        <f t="shared" si="13"/>
        <v xml:space="preserve">                                                  </v>
      </c>
      <c r="B882" s="20" t="s">
        <v>174</v>
      </c>
      <c r="C882" s="3"/>
      <c r="D882" s="3"/>
      <c r="E882" s="3"/>
      <c r="F882" s="3"/>
      <c r="G882" s="3"/>
      <c r="H882" s="3"/>
      <c r="I882" s="3"/>
      <c r="J882" s="3"/>
      <c r="K882" s="3"/>
      <c r="L882" s="3"/>
      <c r="M882" s="3"/>
      <c r="N882" s="3"/>
      <c r="O882" s="3"/>
      <c r="P882" s="3"/>
      <c r="Q882" s="3"/>
      <c r="R882" s="3"/>
      <c r="S882" s="3"/>
      <c r="T882" s="3"/>
      <c r="U882" s="3"/>
      <c r="V882" s="3"/>
      <c r="W882" s="3"/>
      <c r="X882" s="3"/>
      <c r="Y882" s="3"/>
      <c r="Z882" s="3"/>
      <c r="AA882" s="3"/>
      <c r="AB882" s="3"/>
      <c r="AC882" s="3"/>
      <c r="AD882" s="3"/>
      <c r="AE882" s="3"/>
      <c r="AF882" s="3"/>
      <c r="AG882" s="3"/>
      <c r="AH882" s="3"/>
      <c r="AI882" s="3"/>
      <c r="AJ882" s="3"/>
      <c r="AK882" s="3"/>
      <c r="AL882" s="3"/>
      <c r="AM882" s="3"/>
      <c r="AN882" s="3"/>
      <c r="AO882" s="3"/>
      <c r="AP882" s="3"/>
      <c r="AQ882" s="3"/>
      <c r="AR882" s="3"/>
      <c r="AS882" s="3"/>
      <c r="AT882" s="3"/>
      <c r="AU882" s="3"/>
      <c r="AV882" s="3"/>
      <c r="AW882" s="3"/>
      <c r="AX882" s="3"/>
      <c r="AY882" s="3"/>
      <c r="AZ882" s="3"/>
    </row>
    <row r="883" spans="1:52" ht="18" customHeight="1" x14ac:dyDescent="0.2">
      <c r="A883" s="3" t="str">
        <f t="shared" si="13"/>
        <v xml:space="preserve">                                                  </v>
      </c>
      <c r="B883" s="20" t="s">
        <v>174</v>
      </c>
      <c r="C883" s="3"/>
      <c r="D883" s="3"/>
      <c r="E883" s="3"/>
      <c r="F883" s="3"/>
      <c r="G883" s="3"/>
      <c r="H883" s="3"/>
      <c r="I883" s="3"/>
      <c r="J883" s="3"/>
      <c r="K883" s="3"/>
      <c r="L883" s="3"/>
      <c r="M883" s="3"/>
      <c r="N883" s="3"/>
      <c r="O883" s="3"/>
      <c r="P883" s="3"/>
      <c r="Q883" s="3"/>
      <c r="R883" s="3"/>
      <c r="S883" s="3"/>
      <c r="T883" s="3"/>
      <c r="U883" s="3"/>
      <c r="V883" s="3"/>
      <c r="W883" s="3"/>
      <c r="X883" s="3"/>
      <c r="Y883" s="3"/>
      <c r="Z883" s="3"/>
      <c r="AA883" s="3"/>
      <c r="AB883" s="3"/>
      <c r="AC883" s="3"/>
      <c r="AD883" s="3"/>
      <c r="AE883" s="3"/>
      <c r="AF883" s="3"/>
      <c r="AG883" s="3"/>
      <c r="AH883" s="3"/>
      <c r="AI883" s="3"/>
      <c r="AJ883" s="3"/>
      <c r="AK883" s="3"/>
      <c r="AL883" s="3"/>
      <c r="AM883" s="3"/>
      <c r="AN883" s="3"/>
      <c r="AO883" s="3"/>
      <c r="AP883" s="3"/>
      <c r="AQ883" s="3"/>
      <c r="AR883" s="3"/>
      <c r="AS883" s="3"/>
      <c r="AT883" s="3"/>
      <c r="AU883" s="3"/>
      <c r="AV883" s="3"/>
      <c r="AW883" s="3"/>
      <c r="AX883" s="3"/>
      <c r="AY883" s="3"/>
      <c r="AZ883" s="3"/>
    </row>
    <row r="884" spans="1:52" ht="18" customHeight="1" x14ac:dyDescent="0.2">
      <c r="A884" s="3" t="str">
        <f t="shared" si="13"/>
        <v xml:space="preserve">                                                  </v>
      </c>
      <c r="B884" s="20" t="s">
        <v>174</v>
      </c>
      <c r="C884" s="3"/>
      <c r="D884" s="3"/>
      <c r="E884" s="3"/>
      <c r="F884" s="3"/>
      <c r="G884" s="3"/>
      <c r="H884" s="3"/>
      <c r="I884" s="3"/>
      <c r="J884" s="3"/>
      <c r="K884" s="3"/>
      <c r="L884" s="3"/>
      <c r="M884" s="3"/>
      <c r="N884" s="3"/>
      <c r="O884" s="3"/>
      <c r="P884" s="3"/>
      <c r="Q884" s="3"/>
      <c r="R884" s="3"/>
      <c r="S884" s="3"/>
      <c r="T884" s="3"/>
      <c r="U884" s="3"/>
      <c r="V884" s="3"/>
      <c r="W884" s="3"/>
      <c r="X884" s="3"/>
      <c r="Y884" s="3"/>
      <c r="Z884" s="3"/>
      <c r="AA884" s="3"/>
      <c r="AB884" s="3"/>
      <c r="AC884" s="3"/>
      <c r="AD884" s="3"/>
      <c r="AE884" s="3"/>
      <c r="AF884" s="3"/>
      <c r="AG884" s="3"/>
      <c r="AH884" s="3"/>
      <c r="AI884" s="3"/>
      <c r="AJ884" s="3"/>
      <c r="AK884" s="3"/>
      <c r="AL884" s="3"/>
      <c r="AM884" s="3"/>
      <c r="AN884" s="3"/>
      <c r="AO884" s="3"/>
      <c r="AP884" s="3"/>
      <c r="AQ884" s="3"/>
      <c r="AR884" s="3"/>
      <c r="AS884" s="3"/>
      <c r="AT884" s="3"/>
      <c r="AU884" s="3"/>
      <c r="AV884" s="3"/>
      <c r="AW884" s="3"/>
      <c r="AX884" s="3"/>
      <c r="AY884" s="3"/>
      <c r="AZ884" s="3"/>
    </row>
    <row r="885" spans="1:52" ht="18" customHeight="1" x14ac:dyDescent="0.2">
      <c r="A885" s="3" t="str">
        <f t="shared" si="13"/>
        <v xml:space="preserve">                                                  </v>
      </c>
      <c r="B885" s="20" t="s">
        <v>174</v>
      </c>
      <c r="C885" s="3"/>
      <c r="D885" s="3"/>
      <c r="E885" s="3"/>
      <c r="F885" s="3"/>
      <c r="G885" s="3"/>
      <c r="H885" s="3"/>
      <c r="I885" s="3"/>
      <c r="J885" s="3"/>
      <c r="K885" s="3"/>
      <c r="L885" s="3"/>
      <c r="M885" s="3"/>
      <c r="N885" s="3"/>
      <c r="O885" s="3"/>
      <c r="P885" s="3"/>
      <c r="Q885" s="3"/>
      <c r="R885" s="3"/>
      <c r="S885" s="3"/>
      <c r="T885" s="3"/>
      <c r="U885" s="3"/>
      <c r="V885" s="3"/>
      <c r="W885" s="3"/>
      <c r="X885" s="3"/>
      <c r="Y885" s="3"/>
      <c r="Z885" s="3"/>
      <c r="AA885" s="3"/>
      <c r="AB885" s="3"/>
      <c r="AC885" s="3"/>
      <c r="AD885" s="3"/>
      <c r="AE885" s="3"/>
      <c r="AF885" s="3"/>
      <c r="AG885" s="3"/>
      <c r="AH885" s="3"/>
      <c r="AI885" s="3"/>
      <c r="AJ885" s="3"/>
      <c r="AK885" s="3"/>
      <c r="AL885" s="3"/>
      <c r="AM885" s="3"/>
      <c r="AN885" s="3"/>
      <c r="AO885" s="3"/>
      <c r="AP885" s="3"/>
      <c r="AQ885" s="3"/>
      <c r="AR885" s="3"/>
      <c r="AS885" s="3"/>
      <c r="AT885" s="3"/>
      <c r="AU885" s="3"/>
      <c r="AV885" s="3"/>
      <c r="AW885" s="3"/>
      <c r="AX885" s="3"/>
      <c r="AY885" s="3"/>
      <c r="AZ885" s="3"/>
    </row>
    <row r="886" spans="1:52" ht="18" customHeight="1" x14ac:dyDescent="0.2">
      <c r="A886" s="3" t="str">
        <f t="shared" si="13"/>
        <v xml:space="preserve">                                                  </v>
      </c>
      <c r="B886" s="20" t="s">
        <v>174</v>
      </c>
      <c r="C886" s="3"/>
      <c r="D886" s="3"/>
      <c r="E886" s="3"/>
      <c r="F886" s="3"/>
      <c r="G886" s="3"/>
      <c r="H886" s="3"/>
      <c r="I886" s="3"/>
      <c r="J886" s="3"/>
      <c r="K886" s="3"/>
      <c r="L886" s="3"/>
      <c r="M886" s="3"/>
      <c r="N886" s="3"/>
      <c r="O886" s="3"/>
      <c r="P886" s="3"/>
      <c r="Q886" s="3"/>
      <c r="R886" s="3"/>
      <c r="S886" s="3"/>
      <c r="T886" s="3"/>
      <c r="U886" s="3"/>
      <c r="V886" s="3"/>
      <c r="W886" s="3"/>
      <c r="X886" s="3"/>
      <c r="Y886" s="3"/>
      <c r="Z886" s="3"/>
      <c r="AA886" s="3"/>
      <c r="AB886" s="3"/>
      <c r="AC886" s="3"/>
      <c r="AD886" s="3"/>
      <c r="AE886" s="3"/>
      <c r="AF886" s="3"/>
      <c r="AG886" s="3"/>
      <c r="AH886" s="3"/>
      <c r="AI886" s="3"/>
      <c r="AJ886" s="3"/>
      <c r="AK886" s="3"/>
      <c r="AL886" s="3"/>
      <c r="AM886" s="3"/>
      <c r="AN886" s="3"/>
      <c r="AO886" s="3"/>
      <c r="AP886" s="3"/>
      <c r="AQ886" s="3"/>
      <c r="AR886" s="3"/>
      <c r="AS886" s="3"/>
      <c r="AT886" s="3"/>
      <c r="AU886" s="3"/>
      <c r="AV886" s="3"/>
      <c r="AW886" s="3"/>
      <c r="AX886" s="3"/>
      <c r="AY886" s="3"/>
      <c r="AZ886" s="3"/>
    </row>
    <row r="887" spans="1:52" ht="18" customHeight="1" x14ac:dyDescent="0.2">
      <c r="A887" s="3" t="str">
        <f t="shared" si="13"/>
        <v xml:space="preserve">                                                  </v>
      </c>
      <c r="B887" s="20" t="s">
        <v>174</v>
      </c>
      <c r="C887" s="3"/>
      <c r="D887" s="3"/>
      <c r="E887" s="3"/>
      <c r="F887" s="3"/>
      <c r="G887" s="3"/>
      <c r="H887" s="3"/>
      <c r="I887" s="3"/>
      <c r="J887" s="3"/>
      <c r="K887" s="3"/>
      <c r="L887" s="3"/>
      <c r="M887" s="3"/>
      <c r="N887" s="3"/>
      <c r="O887" s="3"/>
      <c r="P887" s="3"/>
      <c r="Q887" s="3"/>
      <c r="R887" s="3"/>
      <c r="S887" s="3"/>
      <c r="T887" s="3"/>
      <c r="U887" s="3"/>
      <c r="V887" s="3"/>
      <c r="W887" s="3"/>
      <c r="X887" s="3"/>
      <c r="Y887" s="3"/>
      <c r="Z887" s="3"/>
      <c r="AA887" s="3"/>
      <c r="AB887" s="3"/>
      <c r="AC887" s="3"/>
      <c r="AD887" s="3"/>
      <c r="AE887" s="3"/>
      <c r="AF887" s="3"/>
      <c r="AG887" s="3"/>
      <c r="AH887" s="3"/>
      <c r="AI887" s="3"/>
      <c r="AJ887" s="3"/>
      <c r="AK887" s="3"/>
      <c r="AL887" s="3"/>
      <c r="AM887" s="3"/>
      <c r="AN887" s="3"/>
      <c r="AO887" s="3"/>
      <c r="AP887" s="3"/>
      <c r="AQ887" s="3"/>
      <c r="AR887" s="3"/>
      <c r="AS887" s="3"/>
      <c r="AT887" s="3"/>
      <c r="AU887" s="3"/>
      <c r="AV887" s="3"/>
      <c r="AW887" s="3"/>
      <c r="AX887" s="3"/>
      <c r="AY887" s="3"/>
      <c r="AZ887" s="3"/>
    </row>
    <row r="888" spans="1:52" ht="18" customHeight="1" x14ac:dyDescent="0.2">
      <c r="A888" s="3" t="str">
        <f t="shared" si="13"/>
        <v xml:space="preserve">                                                  </v>
      </c>
      <c r="B888" s="20" t="s">
        <v>174</v>
      </c>
      <c r="C888" s="3"/>
      <c r="D888" s="3"/>
      <c r="E888" s="3"/>
      <c r="F888" s="3"/>
      <c r="G888" s="3"/>
      <c r="H888" s="3"/>
      <c r="I888" s="3"/>
      <c r="J888" s="3"/>
      <c r="K888" s="3"/>
      <c r="L888" s="3"/>
      <c r="M888" s="3"/>
      <c r="N888" s="3"/>
      <c r="O888" s="3"/>
      <c r="P888" s="3"/>
      <c r="Q888" s="3"/>
      <c r="R888" s="3"/>
      <c r="S888" s="3"/>
      <c r="T888" s="3"/>
      <c r="U888" s="3"/>
      <c r="V888" s="3"/>
      <c r="W888" s="3"/>
      <c r="X888" s="3"/>
      <c r="Y888" s="3"/>
      <c r="Z888" s="3"/>
      <c r="AA888" s="3"/>
      <c r="AB888" s="3"/>
      <c r="AC888" s="3"/>
      <c r="AD888" s="3"/>
      <c r="AE888" s="3"/>
      <c r="AF888" s="3"/>
      <c r="AG888" s="3"/>
      <c r="AH888" s="3"/>
      <c r="AI888" s="3"/>
      <c r="AJ888" s="3"/>
      <c r="AK888" s="3"/>
      <c r="AL888" s="3"/>
      <c r="AM888" s="3"/>
      <c r="AN888" s="3"/>
      <c r="AO888" s="3"/>
      <c r="AP888" s="3"/>
      <c r="AQ888" s="3"/>
      <c r="AR888" s="3"/>
      <c r="AS888" s="3"/>
      <c r="AT888" s="3"/>
      <c r="AU888" s="3"/>
      <c r="AV888" s="3"/>
      <c r="AW888" s="3"/>
      <c r="AX888" s="3"/>
      <c r="AY888" s="3"/>
      <c r="AZ888" s="3"/>
    </row>
    <row r="889" spans="1:52" ht="18" customHeight="1" x14ac:dyDescent="0.2">
      <c r="A889" s="3" t="str">
        <f t="shared" si="13"/>
        <v xml:space="preserve">                                                  </v>
      </c>
      <c r="B889" s="20" t="s">
        <v>174</v>
      </c>
      <c r="C889" s="3"/>
      <c r="D889" s="3"/>
      <c r="E889" s="3"/>
      <c r="F889" s="3"/>
      <c r="G889" s="3"/>
      <c r="H889" s="3"/>
      <c r="I889" s="3"/>
      <c r="J889" s="3"/>
      <c r="K889" s="3"/>
      <c r="L889" s="3"/>
      <c r="M889" s="3"/>
      <c r="N889" s="3"/>
      <c r="O889" s="3"/>
      <c r="P889" s="3"/>
      <c r="Q889" s="3"/>
      <c r="R889" s="3"/>
      <c r="S889" s="3"/>
      <c r="T889" s="3"/>
      <c r="U889" s="3"/>
      <c r="V889" s="3"/>
      <c r="W889" s="3"/>
      <c r="X889" s="3"/>
      <c r="Y889" s="3"/>
      <c r="Z889" s="3"/>
      <c r="AA889" s="3"/>
      <c r="AB889" s="3"/>
      <c r="AC889" s="3"/>
      <c r="AD889" s="3"/>
      <c r="AE889" s="3"/>
      <c r="AF889" s="3"/>
      <c r="AG889" s="3"/>
      <c r="AH889" s="3"/>
      <c r="AI889" s="3"/>
      <c r="AJ889" s="3"/>
      <c r="AK889" s="3"/>
      <c r="AL889" s="3"/>
      <c r="AM889" s="3"/>
      <c r="AN889" s="3"/>
      <c r="AO889" s="3"/>
      <c r="AP889" s="3"/>
      <c r="AQ889" s="3"/>
      <c r="AR889" s="3"/>
      <c r="AS889" s="3"/>
      <c r="AT889" s="3"/>
      <c r="AU889" s="3"/>
      <c r="AV889" s="3"/>
      <c r="AW889" s="3"/>
      <c r="AX889" s="3"/>
      <c r="AY889" s="3"/>
      <c r="AZ889" s="3"/>
    </row>
    <row r="890" spans="1:52" ht="18" customHeight="1" x14ac:dyDescent="0.2">
      <c r="A890" s="3" t="str">
        <f t="shared" si="13"/>
        <v xml:space="preserve">                                                  </v>
      </c>
      <c r="B890" s="20" t="s">
        <v>174</v>
      </c>
      <c r="C890" s="3"/>
      <c r="D890" s="3"/>
      <c r="E890" s="3"/>
      <c r="F890" s="3"/>
      <c r="G890" s="3"/>
      <c r="H890" s="3"/>
      <c r="I890" s="3"/>
      <c r="J890" s="3"/>
      <c r="K890" s="3"/>
      <c r="L890" s="3"/>
      <c r="M890" s="3"/>
      <c r="N890" s="3"/>
      <c r="O890" s="3"/>
      <c r="P890" s="3"/>
      <c r="Q890" s="3"/>
      <c r="R890" s="3"/>
      <c r="S890" s="3"/>
      <c r="T890" s="3"/>
      <c r="U890" s="3"/>
      <c r="V890" s="3"/>
      <c r="W890" s="3"/>
      <c r="X890" s="3"/>
      <c r="Y890" s="3"/>
      <c r="Z890" s="3"/>
      <c r="AA890" s="3"/>
      <c r="AB890" s="3"/>
      <c r="AC890" s="3"/>
      <c r="AD890" s="3"/>
      <c r="AE890" s="3"/>
      <c r="AF890" s="3"/>
      <c r="AG890" s="3"/>
      <c r="AH890" s="3"/>
      <c r="AI890" s="3"/>
      <c r="AJ890" s="3"/>
      <c r="AK890" s="3"/>
      <c r="AL890" s="3"/>
      <c r="AM890" s="3"/>
      <c r="AN890" s="3"/>
      <c r="AO890" s="3"/>
      <c r="AP890" s="3"/>
      <c r="AQ890" s="3"/>
      <c r="AR890" s="3"/>
      <c r="AS890" s="3"/>
      <c r="AT890" s="3"/>
      <c r="AU890" s="3"/>
      <c r="AV890" s="3"/>
      <c r="AW890" s="3"/>
      <c r="AX890" s="3"/>
      <c r="AY890" s="3"/>
      <c r="AZ890" s="3"/>
    </row>
    <row r="891" spans="1:52" ht="18" customHeight="1" x14ac:dyDescent="0.2">
      <c r="A891" s="3" t="str">
        <f t="shared" si="13"/>
        <v xml:space="preserve">                                                  </v>
      </c>
      <c r="B891" s="20" t="s">
        <v>174</v>
      </c>
      <c r="C891" s="3"/>
      <c r="D891" s="3"/>
      <c r="E891" s="3"/>
      <c r="F891" s="3"/>
      <c r="G891" s="3"/>
      <c r="H891" s="3"/>
      <c r="I891" s="3"/>
      <c r="J891" s="3"/>
      <c r="K891" s="3"/>
      <c r="L891" s="3"/>
      <c r="M891" s="3"/>
      <c r="N891" s="3"/>
      <c r="O891" s="3"/>
      <c r="P891" s="3"/>
      <c r="Q891" s="3"/>
      <c r="R891" s="3"/>
      <c r="S891" s="3"/>
      <c r="T891" s="3"/>
      <c r="U891" s="3"/>
      <c r="V891" s="3"/>
      <c r="W891" s="3"/>
      <c r="X891" s="3"/>
      <c r="Y891" s="3"/>
      <c r="Z891" s="3"/>
      <c r="AA891" s="3"/>
      <c r="AB891" s="3"/>
      <c r="AC891" s="3"/>
      <c r="AD891" s="3"/>
      <c r="AE891" s="3"/>
      <c r="AF891" s="3"/>
      <c r="AG891" s="3"/>
      <c r="AH891" s="3"/>
      <c r="AI891" s="3"/>
      <c r="AJ891" s="3"/>
      <c r="AK891" s="3"/>
      <c r="AL891" s="3"/>
      <c r="AM891" s="3"/>
      <c r="AN891" s="3"/>
      <c r="AO891" s="3"/>
      <c r="AP891" s="3"/>
      <c r="AQ891" s="3"/>
      <c r="AR891" s="3"/>
      <c r="AS891" s="3"/>
      <c r="AT891" s="3"/>
      <c r="AU891" s="3"/>
      <c r="AV891" s="3"/>
      <c r="AW891" s="3"/>
      <c r="AX891" s="3"/>
      <c r="AY891" s="3"/>
      <c r="AZ891" s="3"/>
    </row>
    <row r="892" spans="1:52" ht="18" customHeight="1" x14ac:dyDescent="0.2">
      <c r="A892" s="3" t="str">
        <f t="shared" si="13"/>
        <v xml:space="preserve">                                                  </v>
      </c>
      <c r="B892" s="20" t="s">
        <v>174</v>
      </c>
      <c r="C892" s="3"/>
      <c r="D892" s="3"/>
      <c r="E892" s="3"/>
      <c r="F892" s="3"/>
      <c r="G892" s="3"/>
      <c r="H892" s="3"/>
      <c r="I892" s="3"/>
      <c r="J892" s="3"/>
      <c r="K892" s="3"/>
      <c r="L892" s="3"/>
      <c r="M892" s="3"/>
      <c r="N892" s="3"/>
      <c r="O892" s="3"/>
      <c r="P892" s="3"/>
      <c r="Q892" s="3"/>
      <c r="R892" s="3"/>
      <c r="S892" s="3"/>
      <c r="T892" s="3"/>
      <c r="U892" s="3"/>
      <c r="V892" s="3"/>
      <c r="W892" s="3"/>
      <c r="X892" s="3"/>
      <c r="Y892" s="3"/>
      <c r="Z892" s="3"/>
      <c r="AA892" s="3"/>
      <c r="AB892" s="3"/>
      <c r="AC892" s="3"/>
      <c r="AD892" s="3"/>
      <c r="AE892" s="3"/>
      <c r="AF892" s="3"/>
      <c r="AG892" s="3"/>
      <c r="AH892" s="3"/>
      <c r="AI892" s="3"/>
      <c r="AJ892" s="3"/>
      <c r="AK892" s="3"/>
      <c r="AL892" s="3"/>
      <c r="AM892" s="3"/>
      <c r="AN892" s="3"/>
      <c r="AO892" s="3"/>
      <c r="AP892" s="3"/>
      <c r="AQ892" s="3"/>
      <c r="AR892" s="3"/>
      <c r="AS892" s="3"/>
      <c r="AT892" s="3"/>
      <c r="AU892" s="3"/>
      <c r="AV892" s="3"/>
      <c r="AW892" s="3"/>
      <c r="AX892" s="3"/>
      <c r="AY892" s="3"/>
      <c r="AZ892" s="3"/>
    </row>
    <row r="893" spans="1:52" ht="18" customHeight="1" x14ac:dyDescent="0.2">
      <c r="A893" s="3" t="str">
        <f t="shared" si="13"/>
        <v xml:space="preserve">                                                  </v>
      </c>
      <c r="B893" s="20" t="s">
        <v>174</v>
      </c>
      <c r="C893" s="3"/>
      <c r="D893" s="3"/>
      <c r="E893" s="3"/>
      <c r="F893" s="3"/>
      <c r="G893" s="3"/>
      <c r="H893" s="3"/>
      <c r="I893" s="3"/>
      <c r="J893" s="3"/>
      <c r="K893" s="3"/>
      <c r="L893" s="3"/>
      <c r="M893" s="3"/>
      <c r="N893" s="3"/>
      <c r="O893" s="3"/>
      <c r="P893" s="3"/>
      <c r="Q893" s="3"/>
      <c r="R893" s="3"/>
      <c r="S893" s="3"/>
      <c r="T893" s="3"/>
      <c r="U893" s="3"/>
      <c r="V893" s="3"/>
      <c r="W893" s="3"/>
      <c r="X893" s="3"/>
      <c r="Y893" s="3"/>
      <c r="Z893" s="3"/>
      <c r="AA893" s="3"/>
      <c r="AB893" s="3"/>
      <c r="AC893" s="3"/>
      <c r="AD893" s="3"/>
      <c r="AE893" s="3"/>
      <c r="AF893" s="3"/>
      <c r="AG893" s="3"/>
      <c r="AH893" s="3"/>
      <c r="AI893" s="3"/>
      <c r="AJ893" s="3"/>
      <c r="AK893" s="3"/>
      <c r="AL893" s="3"/>
      <c r="AM893" s="3"/>
      <c r="AN893" s="3"/>
      <c r="AO893" s="3"/>
      <c r="AP893" s="3"/>
      <c r="AQ893" s="3"/>
      <c r="AR893" s="3"/>
      <c r="AS893" s="3"/>
      <c r="AT893" s="3"/>
      <c r="AU893" s="3"/>
      <c r="AV893" s="3"/>
      <c r="AW893" s="3"/>
      <c r="AX893" s="3"/>
      <c r="AY893" s="3"/>
      <c r="AZ893" s="3"/>
    </row>
    <row r="894" spans="1:52" ht="18" customHeight="1" x14ac:dyDescent="0.2">
      <c r="A894" s="3" t="str">
        <f t="shared" si="13"/>
        <v xml:space="preserve">                                                  </v>
      </c>
      <c r="B894" s="20" t="s">
        <v>174</v>
      </c>
      <c r="C894" s="3"/>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c r="AJ894" s="3"/>
      <c r="AK894" s="3"/>
      <c r="AL894" s="3"/>
      <c r="AM894" s="3"/>
      <c r="AN894" s="3"/>
      <c r="AO894" s="3"/>
      <c r="AP894" s="3"/>
      <c r="AQ894" s="3"/>
      <c r="AR894" s="3"/>
      <c r="AS894" s="3"/>
      <c r="AT894" s="3"/>
      <c r="AU894" s="3"/>
      <c r="AV894" s="3"/>
      <c r="AW894" s="3"/>
      <c r="AX894" s="3"/>
      <c r="AY894" s="3"/>
      <c r="AZ894" s="3"/>
    </row>
    <row r="895" spans="1:52" ht="18" customHeight="1" x14ac:dyDescent="0.2">
      <c r="A895" s="3" t="str">
        <f t="shared" si="13"/>
        <v xml:space="preserve">                                                  </v>
      </c>
      <c r="B895" s="20" t="s">
        <v>174</v>
      </c>
      <c r="C895" s="3"/>
      <c r="D895" s="3"/>
      <c r="E895" s="3"/>
      <c r="F895" s="3"/>
      <c r="G895" s="3"/>
      <c r="H895" s="3"/>
      <c r="I895" s="3"/>
      <c r="J895" s="3"/>
      <c r="K895" s="3"/>
      <c r="L895" s="3"/>
      <c r="M895" s="3"/>
      <c r="N895" s="3"/>
      <c r="O895" s="3"/>
      <c r="P895" s="3"/>
      <c r="Q895" s="3"/>
      <c r="R895" s="3"/>
      <c r="S895" s="3"/>
      <c r="T895" s="3"/>
      <c r="U895" s="3"/>
      <c r="V895" s="3"/>
      <c r="W895" s="3"/>
      <c r="X895" s="3"/>
      <c r="Y895" s="3"/>
      <c r="Z895" s="3"/>
      <c r="AA895" s="3"/>
      <c r="AB895" s="3"/>
      <c r="AC895" s="3"/>
      <c r="AD895" s="3"/>
      <c r="AE895" s="3"/>
      <c r="AF895" s="3"/>
      <c r="AG895" s="3"/>
      <c r="AH895" s="3"/>
      <c r="AI895" s="3"/>
      <c r="AJ895" s="3"/>
      <c r="AK895" s="3"/>
      <c r="AL895" s="3"/>
      <c r="AM895" s="3"/>
      <c r="AN895" s="3"/>
      <c r="AO895" s="3"/>
      <c r="AP895" s="3"/>
      <c r="AQ895" s="3"/>
      <c r="AR895" s="3"/>
      <c r="AS895" s="3"/>
      <c r="AT895" s="3"/>
      <c r="AU895" s="3"/>
      <c r="AV895" s="3"/>
      <c r="AW895" s="3"/>
      <c r="AX895" s="3"/>
      <c r="AY895" s="3"/>
      <c r="AZ895" s="3"/>
    </row>
    <row r="896" spans="1:52" ht="18" customHeight="1" x14ac:dyDescent="0.2">
      <c r="A896" s="3" t="str">
        <f t="shared" si="13"/>
        <v xml:space="preserve">                                                  </v>
      </c>
      <c r="B896" s="20" t="s">
        <v>174</v>
      </c>
      <c r="C896" s="3"/>
      <c r="D896" s="3"/>
      <c r="E896" s="3"/>
      <c r="F896" s="3"/>
      <c r="G896" s="3"/>
      <c r="H896" s="3"/>
      <c r="I896" s="3"/>
      <c r="J896" s="3"/>
      <c r="K896" s="3"/>
      <c r="L896" s="3"/>
      <c r="M896" s="3"/>
      <c r="N896" s="3"/>
      <c r="O896" s="3"/>
      <c r="P896" s="3"/>
      <c r="Q896" s="3"/>
      <c r="R896" s="3"/>
      <c r="S896" s="3"/>
      <c r="T896" s="3"/>
      <c r="U896" s="3"/>
      <c r="V896" s="3"/>
      <c r="W896" s="3"/>
      <c r="X896" s="3"/>
      <c r="Y896" s="3"/>
      <c r="Z896" s="3"/>
      <c r="AA896" s="3"/>
      <c r="AB896" s="3"/>
      <c r="AC896" s="3"/>
      <c r="AD896" s="3"/>
      <c r="AE896" s="3"/>
      <c r="AF896" s="3"/>
      <c r="AG896" s="3"/>
      <c r="AH896" s="3"/>
      <c r="AI896" s="3"/>
      <c r="AJ896" s="3"/>
      <c r="AK896" s="3"/>
      <c r="AL896" s="3"/>
      <c r="AM896" s="3"/>
      <c r="AN896" s="3"/>
      <c r="AO896" s="3"/>
      <c r="AP896" s="3"/>
      <c r="AQ896" s="3"/>
      <c r="AR896" s="3"/>
      <c r="AS896" s="3"/>
      <c r="AT896" s="3"/>
      <c r="AU896" s="3"/>
      <c r="AV896" s="3"/>
      <c r="AW896" s="3"/>
      <c r="AX896" s="3"/>
      <c r="AY896" s="3"/>
      <c r="AZ896" s="3"/>
    </row>
    <row r="897" spans="1:52" ht="18" customHeight="1" x14ac:dyDescent="0.2">
      <c r="A897" s="3" t="str">
        <f t="shared" si="13"/>
        <v xml:space="preserve">                                                  </v>
      </c>
      <c r="B897" s="20" t="s">
        <v>174</v>
      </c>
      <c r="C897" s="3"/>
      <c r="D897" s="3"/>
      <c r="E897" s="3"/>
      <c r="F897" s="3"/>
      <c r="G897" s="3"/>
      <c r="H897" s="3"/>
      <c r="I897" s="3"/>
      <c r="J897" s="3"/>
      <c r="K897" s="3"/>
      <c r="L897" s="3"/>
      <c r="M897" s="3"/>
      <c r="N897" s="3"/>
      <c r="O897" s="3"/>
      <c r="P897" s="3"/>
      <c r="Q897" s="3"/>
      <c r="R897" s="3"/>
      <c r="S897" s="3"/>
      <c r="T897" s="3"/>
      <c r="U897" s="3"/>
      <c r="V897" s="3"/>
      <c r="W897" s="3"/>
      <c r="X897" s="3"/>
      <c r="Y897" s="3"/>
      <c r="Z897" s="3"/>
      <c r="AA897" s="3"/>
      <c r="AB897" s="3"/>
      <c r="AC897" s="3"/>
      <c r="AD897" s="3"/>
      <c r="AE897" s="3"/>
      <c r="AF897" s="3"/>
      <c r="AG897" s="3"/>
      <c r="AH897" s="3"/>
      <c r="AI897" s="3"/>
      <c r="AJ897" s="3"/>
      <c r="AK897" s="3"/>
      <c r="AL897" s="3"/>
      <c r="AM897" s="3"/>
      <c r="AN897" s="3"/>
      <c r="AO897" s="3"/>
      <c r="AP897" s="3"/>
      <c r="AQ897" s="3"/>
      <c r="AR897" s="3"/>
      <c r="AS897" s="3"/>
      <c r="AT897" s="3"/>
      <c r="AU897" s="3"/>
      <c r="AV897" s="3"/>
      <c r="AW897" s="3"/>
      <c r="AX897" s="3"/>
      <c r="AY897" s="3"/>
      <c r="AZ897" s="3"/>
    </row>
    <row r="898" spans="1:52" ht="18" customHeight="1" x14ac:dyDescent="0.2">
      <c r="A898" s="3" t="str">
        <f t="shared" si="13"/>
        <v xml:space="preserve">                                                  </v>
      </c>
      <c r="B898" s="20" t="s">
        <v>174</v>
      </c>
      <c r="C898" s="3"/>
      <c r="D898" s="3"/>
      <c r="E898" s="3"/>
      <c r="F898" s="3"/>
      <c r="G898" s="3"/>
      <c r="H898" s="3"/>
      <c r="I898" s="3"/>
      <c r="J898" s="3"/>
      <c r="K898" s="3"/>
      <c r="L898" s="3"/>
      <c r="M898" s="3"/>
      <c r="N898" s="3"/>
      <c r="O898" s="3"/>
      <c r="P898" s="3"/>
      <c r="Q898" s="3"/>
      <c r="R898" s="3"/>
      <c r="S898" s="3"/>
      <c r="T898" s="3"/>
      <c r="U898" s="3"/>
      <c r="V898" s="3"/>
      <c r="W898" s="3"/>
      <c r="X898" s="3"/>
      <c r="Y898" s="3"/>
      <c r="Z898" s="3"/>
      <c r="AA898" s="3"/>
      <c r="AB898" s="3"/>
      <c r="AC898" s="3"/>
      <c r="AD898" s="3"/>
      <c r="AE898" s="3"/>
      <c r="AF898" s="3"/>
      <c r="AG898" s="3"/>
      <c r="AH898" s="3"/>
      <c r="AI898" s="3"/>
      <c r="AJ898" s="3"/>
      <c r="AK898" s="3"/>
      <c r="AL898" s="3"/>
      <c r="AM898" s="3"/>
      <c r="AN898" s="3"/>
      <c r="AO898" s="3"/>
      <c r="AP898" s="3"/>
      <c r="AQ898" s="3"/>
      <c r="AR898" s="3"/>
      <c r="AS898" s="3"/>
      <c r="AT898" s="3"/>
      <c r="AU898" s="3"/>
      <c r="AV898" s="3"/>
      <c r="AW898" s="3"/>
      <c r="AX898" s="3"/>
      <c r="AY898" s="3"/>
      <c r="AZ898" s="3"/>
    </row>
    <row r="899" spans="1:52" ht="18" customHeight="1" x14ac:dyDescent="0.2">
      <c r="A899" s="3" t="str">
        <f t="shared" si="13"/>
        <v xml:space="preserve">                                                  </v>
      </c>
      <c r="B899" s="20" t="s">
        <v>174</v>
      </c>
      <c r="C899" s="3"/>
      <c r="D899" s="3"/>
      <c r="E899" s="3"/>
      <c r="F899" s="3"/>
      <c r="G899" s="3"/>
      <c r="H899" s="3"/>
      <c r="I899" s="3"/>
      <c r="J899" s="3"/>
      <c r="K899" s="3"/>
      <c r="L899" s="3"/>
      <c r="M899" s="3"/>
      <c r="N899" s="3"/>
      <c r="O899" s="3"/>
      <c r="P899" s="3"/>
      <c r="Q899" s="3"/>
      <c r="R899" s="3"/>
      <c r="S899" s="3"/>
      <c r="T899" s="3"/>
      <c r="U899" s="3"/>
      <c r="V899" s="3"/>
      <c r="W899" s="3"/>
      <c r="X899" s="3"/>
      <c r="Y899" s="3"/>
      <c r="Z899" s="3"/>
      <c r="AA899" s="3"/>
      <c r="AB899" s="3"/>
      <c r="AC899" s="3"/>
      <c r="AD899" s="3"/>
      <c r="AE899" s="3"/>
      <c r="AF899" s="3"/>
      <c r="AG899" s="3"/>
      <c r="AH899" s="3"/>
      <c r="AI899" s="3"/>
      <c r="AJ899" s="3"/>
      <c r="AK899" s="3"/>
      <c r="AL899" s="3"/>
      <c r="AM899" s="3"/>
      <c r="AN899" s="3"/>
      <c r="AO899" s="3"/>
      <c r="AP899" s="3"/>
      <c r="AQ899" s="3"/>
      <c r="AR899" s="3"/>
      <c r="AS899" s="3"/>
      <c r="AT899" s="3"/>
      <c r="AU899" s="3"/>
      <c r="AV899" s="3"/>
      <c r="AW899" s="3"/>
      <c r="AX899" s="3"/>
      <c r="AY899" s="3"/>
      <c r="AZ899" s="3"/>
    </row>
    <row r="900" spans="1:52" ht="18" customHeight="1" x14ac:dyDescent="0.2">
      <c r="A900" s="3" t="str">
        <f t="shared" ref="A900:A963" si="14">CONCATENATE(C900," ",D900," ",E900," ",F900," ",G900," ",H900," ",I900," ",J900," ",K900," ",L900," ",M900," ",N900," ",O900," ",P900," ",Q900," ",R900," ",S900," ",T900," ",U900," ",V900," ",W900," ",X900," ",Y900," ",Z900," ",AA900," ",AB900," ",AC900," ",AD900," ",AE900," ",AF900," ",AG900," ",AH900," ",AI900," ",AJ900," ",AK900," ",AL900," ",AM900," ",AN900," ",AO900," ",AP900," ",AQ900," ",AR900," ",AS900," ",AT900," ",AU900," ",AV900," ",AW900," ",AX900," ",AY900," ",AZ900," ",
)</f>
        <v xml:space="preserve">                                                  </v>
      </c>
      <c r="B900" s="20" t="s">
        <v>174</v>
      </c>
      <c r="C900" s="3"/>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c r="AJ900" s="3"/>
      <c r="AK900" s="3"/>
      <c r="AL900" s="3"/>
      <c r="AM900" s="3"/>
      <c r="AN900" s="3"/>
      <c r="AO900" s="3"/>
      <c r="AP900" s="3"/>
      <c r="AQ900" s="3"/>
      <c r="AR900" s="3"/>
      <c r="AS900" s="3"/>
      <c r="AT900" s="3"/>
      <c r="AU900" s="3"/>
      <c r="AV900" s="3"/>
      <c r="AW900" s="3"/>
      <c r="AX900" s="3"/>
      <c r="AY900" s="3"/>
      <c r="AZ900" s="3"/>
    </row>
    <row r="901" spans="1:52" ht="18" customHeight="1" x14ac:dyDescent="0.2">
      <c r="A901" s="3" t="str">
        <f t="shared" si="14"/>
        <v xml:space="preserve">                                                  </v>
      </c>
      <c r="B901" s="20" t="s">
        <v>174</v>
      </c>
      <c r="C901" s="3"/>
      <c r="D901" s="3"/>
      <c r="E901" s="3"/>
      <c r="F901" s="3"/>
      <c r="G901" s="3"/>
      <c r="H901" s="3"/>
      <c r="I901" s="3"/>
      <c r="J901" s="3"/>
      <c r="K901" s="3"/>
      <c r="L901" s="3"/>
      <c r="M901" s="3"/>
      <c r="N901" s="3"/>
      <c r="O901" s="3"/>
      <c r="P901" s="3"/>
      <c r="Q901" s="3"/>
      <c r="R901" s="3"/>
      <c r="S901" s="3"/>
      <c r="T901" s="3"/>
      <c r="U901" s="3"/>
      <c r="V901" s="3"/>
      <c r="W901" s="3"/>
      <c r="X901" s="3"/>
      <c r="Y901" s="3"/>
      <c r="Z901" s="3"/>
      <c r="AA901" s="3"/>
      <c r="AB901" s="3"/>
      <c r="AC901" s="3"/>
      <c r="AD901" s="3"/>
      <c r="AE901" s="3"/>
      <c r="AF901" s="3"/>
      <c r="AG901" s="3"/>
      <c r="AH901" s="3"/>
      <c r="AI901" s="3"/>
      <c r="AJ901" s="3"/>
      <c r="AK901" s="3"/>
      <c r="AL901" s="3"/>
      <c r="AM901" s="3"/>
      <c r="AN901" s="3"/>
      <c r="AO901" s="3"/>
      <c r="AP901" s="3"/>
      <c r="AQ901" s="3"/>
      <c r="AR901" s="3"/>
      <c r="AS901" s="3"/>
      <c r="AT901" s="3"/>
      <c r="AU901" s="3"/>
      <c r="AV901" s="3"/>
      <c r="AW901" s="3"/>
      <c r="AX901" s="3"/>
      <c r="AY901" s="3"/>
      <c r="AZ901" s="3"/>
    </row>
    <row r="902" spans="1:52" ht="18" customHeight="1" x14ac:dyDescent="0.2">
      <c r="A902" s="3" t="str">
        <f t="shared" si="14"/>
        <v xml:space="preserve">                                                  </v>
      </c>
      <c r="B902" s="20" t="s">
        <v>174</v>
      </c>
      <c r="C902" s="3"/>
      <c r="D902" s="3"/>
      <c r="E902" s="3"/>
      <c r="F902" s="3"/>
      <c r="G902" s="3"/>
      <c r="H902" s="3"/>
      <c r="I902" s="3"/>
      <c r="J902" s="3"/>
      <c r="K902" s="3"/>
      <c r="L902" s="3"/>
      <c r="M902" s="3"/>
      <c r="N902" s="3"/>
      <c r="O902" s="3"/>
      <c r="P902" s="3"/>
      <c r="Q902" s="3"/>
      <c r="R902" s="3"/>
      <c r="S902" s="3"/>
      <c r="T902" s="3"/>
      <c r="U902" s="3"/>
      <c r="V902" s="3"/>
      <c r="W902" s="3"/>
      <c r="X902" s="3"/>
      <c r="Y902" s="3"/>
      <c r="Z902" s="3"/>
      <c r="AA902" s="3"/>
      <c r="AB902" s="3"/>
      <c r="AC902" s="3"/>
      <c r="AD902" s="3"/>
      <c r="AE902" s="3"/>
      <c r="AF902" s="3"/>
      <c r="AG902" s="3"/>
      <c r="AH902" s="3"/>
      <c r="AI902" s="3"/>
      <c r="AJ902" s="3"/>
      <c r="AK902" s="3"/>
      <c r="AL902" s="3"/>
      <c r="AM902" s="3"/>
      <c r="AN902" s="3"/>
      <c r="AO902" s="3"/>
      <c r="AP902" s="3"/>
      <c r="AQ902" s="3"/>
      <c r="AR902" s="3"/>
      <c r="AS902" s="3"/>
      <c r="AT902" s="3"/>
      <c r="AU902" s="3"/>
      <c r="AV902" s="3"/>
      <c r="AW902" s="3"/>
      <c r="AX902" s="3"/>
      <c r="AY902" s="3"/>
      <c r="AZ902" s="3"/>
    </row>
    <row r="903" spans="1:52" ht="18" customHeight="1" x14ac:dyDescent="0.2">
      <c r="A903" s="3" t="str">
        <f t="shared" si="14"/>
        <v xml:space="preserve">                                                  </v>
      </c>
      <c r="B903" s="20" t="s">
        <v>174</v>
      </c>
      <c r="C903" s="3"/>
      <c r="D903" s="3"/>
      <c r="E903" s="3"/>
      <c r="F903" s="3"/>
      <c r="G903" s="3"/>
      <c r="H903" s="3"/>
      <c r="I903" s="3"/>
      <c r="J903" s="3"/>
      <c r="K903" s="3"/>
      <c r="L903" s="3"/>
      <c r="M903" s="3"/>
      <c r="N903" s="3"/>
      <c r="O903" s="3"/>
      <c r="P903" s="3"/>
      <c r="Q903" s="3"/>
      <c r="R903" s="3"/>
      <c r="S903" s="3"/>
      <c r="T903" s="3"/>
      <c r="U903" s="3"/>
      <c r="V903" s="3"/>
      <c r="W903" s="3"/>
      <c r="X903" s="3"/>
      <c r="Y903" s="3"/>
      <c r="Z903" s="3"/>
      <c r="AA903" s="3"/>
      <c r="AB903" s="3"/>
      <c r="AC903" s="3"/>
      <c r="AD903" s="3"/>
      <c r="AE903" s="3"/>
      <c r="AF903" s="3"/>
      <c r="AG903" s="3"/>
      <c r="AH903" s="3"/>
      <c r="AI903" s="3"/>
      <c r="AJ903" s="3"/>
      <c r="AK903" s="3"/>
      <c r="AL903" s="3"/>
      <c r="AM903" s="3"/>
      <c r="AN903" s="3"/>
      <c r="AO903" s="3"/>
      <c r="AP903" s="3"/>
      <c r="AQ903" s="3"/>
      <c r="AR903" s="3"/>
      <c r="AS903" s="3"/>
      <c r="AT903" s="3"/>
      <c r="AU903" s="3"/>
      <c r="AV903" s="3"/>
      <c r="AW903" s="3"/>
      <c r="AX903" s="3"/>
      <c r="AY903" s="3"/>
      <c r="AZ903" s="3"/>
    </row>
    <row r="904" spans="1:52" ht="18" customHeight="1" x14ac:dyDescent="0.2">
      <c r="A904" s="3" t="str">
        <f t="shared" si="14"/>
        <v xml:space="preserve">                                                  </v>
      </c>
      <c r="B904" s="20" t="s">
        <v>174</v>
      </c>
      <c r="C904" s="3"/>
      <c r="D904" s="3"/>
      <c r="E904" s="3"/>
      <c r="F904" s="3"/>
      <c r="G904" s="3"/>
      <c r="H904" s="3"/>
      <c r="I904" s="3"/>
      <c r="J904" s="3"/>
      <c r="K904" s="3"/>
      <c r="L904" s="3"/>
      <c r="M904" s="3"/>
      <c r="N904" s="3"/>
      <c r="O904" s="3"/>
      <c r="P904" s="3"/>
      <c r="Q904" s="3"/>
      <c r="R904" s="3"/>
      <c r="S904" s="3"/>
      <c r="T904" s="3"/>
      <c r="U904" s="3"/>
      <c r="V904" s="3"/>
      <c r="W904" s="3"/>
      <c r="X904" s="3"/>
      <c r="Y904" s="3"/>
      <c r="Z904" s="3"/>
      <c r="AA904" s="3"/>
      <c r="AB904" s="3"/>
      <c r="AC904" s="3"/>
      <c r="AD904" s="3"/>
      <c r="AE904" s="3"/>
      <c r="AF904" s="3"/>
      <c r="AG904" s="3"/>
      <c r="AH904" s="3"/>
      <c r="AI904" s="3"/>
      <c r="AJ904" s="3"/>
      <c r="AK904" s="3"/>
      <c r="AL904" s="3"/>
      <c r="AM904" s="3"/>
      <c r="AN904" s="3"/>
      <c r="AO904" s="3"/>
      <c r="AP904" s="3"/>
      <c r="AQ904" s="3"/>
      <c r="AR904" s="3"/>
      <c r="AS904" s="3"/>
      <c r="AT904" s="3"/>
      <c r="AU904" s="3"/>
      <c r="AV904" s="3"/>
      <c r="AW904" s="3"/>
      <c r="AX904" s="3"/>
      <c r="AY904" s="3"/>
      <c r="AZ904" s="3"/>
    </row>
    <row r="905" spans="1:52" ht="18" customHeight="1" x14ac:dyDescent="0.2">
      <c r="A905" s="3" t="str">
        <f t="shared" si="14"/>
        <v xml:space="preserve">                                                  </v>
      </c>
      <c r="B905" s="20" t="s">
        <v>174</v>
      </c>
      <c r="C905" s="3"/>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c r="AJ905" s="3"/>
      <c r="AK905" s="3"/>
      <c r="AL905" s="3"/>
      <c r="AM905" s="3"/>
      <c r="AN905" s="3"/>
      <c r="AO905" s="3"/>
      <c r="AP905" s="3"/>
      <c r="AQ905" s="3"/>
      <c r="AR905" s="3"/>
      <c r="AS905" s="3"/>
      <c r="AT905" s="3"/>
      <c r="AU905" s="3"/>
      <c r="AV905" s="3"/>
      <c r="AW905" s="3"/>
      <c r="AX905" s="3"/>
      <c r="AY905" s="3"/>
      <c r="AZ905" s="3"/>
    </row>
    <row r="906" spans="1:52" ht="18" customHeight="1" x14ac:dyDescent="0.2">
      <c r="A906" s="3" t="str">
        <f t="shared" si="14"/>
        <v xml:space="preserve">                                                  </v>
      </c>
      <c r="B906" s="20" t="s">
        <v>174</v>
      </c>
      <c r="C906" s="3"/>
      <c r="D906" s="3"/>
      <c r="E906" s="3"/>
      <c r="F906" s="3"/>
      <c r="G906" s="3"/>
      <c r="H906" s="3"/>
      <c r="I906" s="3"/>
      <c r="J906" s="3"/>
      <c r="K906" s="3"/>
      <c r="L906" s="3"/>
      <c r="M906" s="3"/>
      <c r="N906" s="3"/>
      <c r="O906" s="3"/>
      <c r="P906" s="3"/>
      <c r="Q906" s="3"/>
      <c r="R906" s="3"/>
      <c r="S906" s="3"/>
      <c r="T906" s="3"/>
      <c r="U906" s="3"/>
      <c r="V906" s="3"/>
      <c r="W906" s="3"/>
      <c r="X906" s="3"/>
      <c r="Y906" s="3"/>
      <c r="Z906" s="3"/>
      <c r="AA906" s="3"/>
      <c r="AB906" s="3"/>
      <c r="AC906" s="3"/>
      <c r="AD906" s="3"/>
      <c r="AE906" s="3"/>
      <c r="AF906" s="3"/>
      <c r="AG906" s="3"/>
      <c r="AH906" s="3"/>
      <c r="AI906" s="3"/>
      <c r="AJ906" s="3"/>
      <c r="AK906" s="3"/>
      <c r="AL906" s="3"/>
      <c r="AM906" s="3"/>
      <c r="AN906" s="3"/>
      <c r="AO906" s="3"/>
      <c r="AP906" s="3"/>
      <c r="AQ906" s="3"/>
      <c r="AR906" s="3"/>
      <c r="AS906" s="3"/>
      <c r="AT906" s="3"/>
      <c r="AU906" s="3"/>
      <c r="AV906" s="3"/>
      <c r="AW906" s="3"/>
      <c r="AX906" s="3"/>
      <c r="AY906" s="3"/>
      <c r="AZ906" s="3"/>
    </row>
    <row r="907" spans="1:52" ht="18" customHeight="1" x14ac:dyDescent="0.2">
      <c r="A907" s="3" t="str">
        <f t="shared" si="14"/>
        <v xml:space="preserve">                                                  </v>
      </c>
      <c r="B907" s="20" t="s">
        <v>174</v>
      </c>
      <c r="C907" s="3"/>
      <c r="D907" s="3"/>
      <c r="E907" s="3"/>
      <c r="F907" s="3"/>
      <c r="G907" s="3"/>
      <c r="H907" s="3"/>
      <c r="I907" s="3"/>
      <c r="J907" s="3"/>
      <c r="K907" s="3"/>
      <c r="L907" s="3"/>
      <c r="M907" s="3"/>
      <c r="N907" s="3"/>
      <c r="O907" s="3"/>
      <c r="P907" s="3"/>
      <c r="Q907" s="3"/>
      <c r="R907" s="3"/>
      <c r="S907" s="3"/>
      <c r="T907" s="3"/>
      <c r="U907" s="3"/>
      <c r="V907" s="3"/>
      <c r="W907" s="3"/>
      <c r="X907" s="3"/>
      <c r="Y907" s="3"/>
      <c r="Z907" s="3"/>
      <c r="AA907" s="3"/>
      <c r="AB907" s="3"/>
      <c r="AC907" s="3"/>
      <c r="AD907" s="3"/>
      <c r="AE907" s="3"/>
      <c r="AF907" s="3"/>
      <c r="AG907" s="3"/>
      <c r="AH907" s="3"/>
      <c r="AI907" s="3"/>
      <c r="AJ907" s="3"/>
      <c r="AK907" s="3"/>
      <c r="AL907" s="3"/>
      <c r="AM907" s="3"/>
      <c r="AN907" s="3"/>
      <c r="AO907" s="3"/>
      <c r="AP907" s="3"/>
      <c r="AQ907" s="3"/>
      <c r="AR907" s="3"/>
      <c r="AS907" s="3"/>
      <c r="AT907" s="3"/>
      <c r="AU907" s="3"/>
      <c r="AV907" s="3"/>
      <c r="AW907" s="3"/>
      <c r="AX907" s="3"/>
      <c r="AY907" s="3"/>
      <c r="AZ907" s="3"/>
    </row>
    <row r="908" spans="1:52" ht="18" customHeight="1" x14ac:dyDescent="0.2">
      <c r="A908" s="3" t="str">
        <f t="shared" si="14"/>
        <v xml:space="preserve">                                                  </v>
      </c>
      <c r="B908" s="20" t="s">
        <v>174</v>
      </c>
      <c r="C908" s="3"/>
      <c r="D908" s="3"/>
      <c r="E908" s="3"/>
      <c r="F908" s="3"/>
      <c r="G908" s="3"/>
      <c r="H908" s="3"/>
      <c r="I908" s="3"/>
      <c r="J908" s="3"/>
      <c r="K908" s="3"/>
      <c r="L908" s="3"/>
      <c r="M908" s="3"/>
      <c r="N908" s="3"/>
      <c r="O908" s="3"/>
      <c r="P908" s="3"/>
      <c r="Q908" s="3"/>
      <c r="R908" s="3"/>
      <c r="S908" s="3"/>
      <c r="T908" s="3"/>
      <c r="U908" s="3"/>
      <c r="V908" s="3"/>
      <c r="W908" s="3"/>
      <c r="X908" s="3"/>
      <c r="Y908" s="3"/>
      <c r="Z908" s="3"/>
      <c r="AA908" s="3"/>
      <c r="AB908" s="3"/>
      <c r="AC908" s="3"/>
      <c r="AD908" s="3"/>
      <c r="AE908" s="3"/>
      <c r="AF908" s="3"/>
      <c r="AG908" s="3"/>
      <c r="AH908" s="3"/>
      <c r="AI908" s="3"/>
      <c r="AJ908" s="3"/>
      <c r="AK908" s="3"/>
      <c r="AL908" s="3"/>
      <c r="AM908" s="3"/>
      <c r="AN908" s="3"/>
      <c r="AO908" s="3"/>
      <c r="AP908" s="3"/>
      <c r="AQ908" s="3"/>
      <c r="AR908" s="3"/>
      <c r="AS908" s="3"/>
      <c r="AT908" s="3"/>
      <c r="AU908" s="3"/>
      <c r="AV908" s="3"/>
      <c r="AW908" s="3"/>
      <c r="AX908" s="3"/>
      <c r="AY908" s="3"/>
      <c r="AZ908" s="3"/>
    </row>
    <row r="909" spans="1:52" ht="18" customHeight="1" x14ac:dyDescent="0.2">
      <c r="A909" s="3" t="str">
        <f t="shared" si="14"/>
        <v xml:space="preserve">                                                  </v>
      </c>
      <c r="B909" s="20" t="s">
        <v>174</v>
      </c>
      <c r="C909" s="3"/>
      <c r="D909" s="3"/>
      <c r="E909" s="3"/>
      <c r="F909" s="3"/>
      <c r="G909" s="3"/>
      <c r="H909" s="3"/>
      <c r="I909" s="3"/>
      <c r="J909" s="3"/>
      <c r="K909" s="3"/>
      <c r="L909" s="3"/>
      <c r="M909" s="3"/>
      <c r="N909" s="3"/>
      <c r="O909" s="3"/>
      <c r="P909" s="3"/>
      <c r="Q909" s="3"/>
      <c r="R909" s="3"/>
      <c r="S909" s="3"/>
      <c r="T909" s="3"/>
      <c r="U909" s="3"/>
      <c r="V909" s="3"/>
      <c r="W909" s="3"/>
      <c r="X909" s="3"/>
      <c r="Y909" s="3"/>
      <c r="Z909" s="3"/>
      <c r="AA909" s="3"/>
      <c r="AB909" s="3"/>
      <c r="AC909" s="3"/>
      <c r="AD909" s="3"/>
      <c r="AE909" s="3"/>
      <c r="AF909" s="3"/>
      <c r="AG909" s="3"/>
      <c r="AH909" s="3"/>
      <c r="AI909" s="3"/>
      <c r="AJ909" s="3"/>
      <c r="AK909" s="3"/>
      <c r="AL909" s="3"/>
      <c r="AM909" s="3"/>
      <c r="AN909" s="3"/>
      <c r="AO909" s="3"/>
      <c r="AP909" s="3"/>
      <c r="AQ909" s="3"/>
      <c r="AR909" s="3"/>
      <c r="AS909" s="3"/>
      <c r="AT909" s="3"/>
      <c r="AU909" s="3"/>
      <c r="AV909" s="3"/>
      <c r="AW909" s="3"/>
      <c r="AX909" s="3"/>
      <c r="AY909" s="3"/>
      <c r="AZ909" s="3"/>
    </row>
    <row r="910" spans="1:52" ht="18" customHeight="1" x14ac:dyDescent="0.2">
      <c r="A910" s="3" t="str">
        <f t="shared" si="14"/>
        <v xml:space="preserve">                                                  </v>
      </c>
      <c r="B910" s="20" t="s">
        <v>174</v>
      </c>
      <c r="C910" s="3"/>
      <c r="D910" s="3"/>
      <c r="E910" s="3"/>
      <c r="F910" s="3"/>
      <c r="G910" s="3"/>
      <c r="H910" s="3"/>
      <c r="I910" s="3"/>
      <c r="J910" s="3"/>
      <c r="K910" s="3"/>
      <c r="L910" s="3"/>
      <c r="M910" s="3"/>
      <c r="N910" s="3"/>
      <c r="O910" s="3"/>
      <c r="P910" s="3"/>
      <c r="Q910" s="3"/>
      <c r="R910" s="3"/>
      <c r="S910" s="3"/>
      <c r="T910" s="3"/>
      <c r="U910" s="3"/>
      <c r="V910" s="3"/>
      <c r="W910" s="3"/>
      <c r="X910" s="3"/>
      <c r="Y910" s="3"/>
      <c r="Z910" s="3"/>
      <c r="AA910" s="3"/>
      <c r="AB910" s="3"/>
      <c r="AC910" s="3"/>
      <c r="AD910" s="3"/>
      <c r="AE910" s="3"/>
      <c r="AF910" s="3"/>
      <c r="AG910" s="3"/>
      <c r="AH910" s="3"/>
      <c r="AI910" s="3"/>
      <c r="AJ910" s="3"/>
      <c r="AK910" s="3"/>
      <c r="AL910" s="3"/>
      <c r="AM910" s="3"/>
      <c r="AN910" s="3"/>
      <c r="AO910" s="3"/>
      <c r="AP910" s="3"/>
      <c r="AQ910" s="3"/>
      <c r="AR910" s="3"/>
      <c r="AS910" s="3"/>
      <c r="AT910" s="3"/>
      <c r="AU910" s="3"/>
      <c r="AV910" s="3"/>
      <c r="AW910" s="3"/>
      <c r="AX910" s="3"/>
      <c r="AY910" s="3"/>
      <c r="AZ910" s="3"/>
    </row>
    <row r="911" spans="1:52" ht="18" customHeight="1" x14ac:dyDescent="0.2">
      <c r="A911" s="3" t="str">
        <f t="shared" si="14"/>
        <v xml:space="preserve">                                                  </v>
      </c>
      <c r="B911" s="20" t="s">
        <v>174</v>
      </c>
      <c r="C911" s="3"/>
      <c r="D911" s="3"/>
      <c r="E911" s="3"/>
      <c r="F911" s="3"/>
      <c r="G911" s="3"/>
      <c r="H911" s="3"/>
      <c r="I911" s="3"/>
      <c r="J911" s="3"/>
      <c r="K911" s="3"/>
      <c r="L911" s="3"/>
      <c r="M911" s="3"/>
      <c r="N911" s="3"/>
      <c r="O911" s="3"/>
      <c r="P911" s="3"/>
      <c r="Q911" s="3"/>
      <c r="R911" s="3"/>
      <c r="S911" s="3"/>
      <c r="T911" s="3"/>
      <c r="U911" s="3"/>
      <c r="V911" s="3"/>
      <c r="W911" s="3"/>
      <c r="X911" s="3"/>
      <c r="Y911" s="3"/>
      <c r="Z911" s="3"/>
      <c r="AA911" s="3"/>
      <c r="AB911" s="3"/>
      <c r="AC911" s="3"/>
      <c r="AD911" s="3"/>
      <c r="AE911" s="3"/>
      <c r="AF911" s="3"/>
      <c r="AG911" s="3"/>
      <c r="AH911" s="3"/>
      <c r="AI911" s="3"/>
      <c r="AJ911" s="3"/>
      <c r="AK911" s="3"/>
      <c r="AL911" s="3"/>
      <c r="AM911" s="3"/>
      <c r="AN911" s="3"/>
      <c r="AO911" s="3"/>
      <c r="AP911" s="3"/>
      <c r="AQ911" s="3"/>
      <c r="AR911" s="3"/>
      <c r="AS911" s="3"/>
      <c r="AT911" s="3"/>
      <c r="AU911" s="3"/>
      <c r="AV911" s="3"/>
      <c r="AW911" s="3"/>
      <c r="AX911" s="3"/>
      <c r="AY911" s="3"/>
      <c r="AZ911" s="3"/>
    </row>
    <row r="912" spans="1:52" ht="18" customHeight="1" x14ac:dyDescent="0.2">
      <c r="A912" s="3" t="str">
        <f t="shared" si="14"/>
        <v xml:space="preserve">                                                  </v>
      </c>
      <c r="B912" s="20" t="s">
        <v>174</v>
      </c>
      <c r="C912" s="3"/>
      <c r="D912" s="3"/>
      <c r="E912" s="3"/>
      <c r="F912" s="3"/>
      <c r="G912" s="3"/>
      <c r="H912" s="3"/>
      <c r="I912" s="3"/>
      <c r="J912" s="3"/>
      <c r="K912" s="3"/>
      <c r="L912" s="3"/>
      <c r="M912" s="3"/>
      <c r="N912" s="3"/>
      <c r="O912" s="3"/>
      <c r="P912" s="3"/>
      <c r="Q912" s="3"/>
      <c r="R912" s="3"/>
      <c r="S912" s="3"/>
      <c r="T912" s="3"/>
      <c r="U912" s="3"/>
      <c r="V912" s="3"/>
      <c r="W912" s="3"/>
      <c r="X912" s="3"/>
      <c r="Y912" s="3"/>
      <c r="Z912" s="3"/>
      <c r="AA912" s="3"/>
      <c r="AB912" s="3"/>
      <c r="AC912" s="3"/>
      <c r="AD912" s="3"/>
      <c r="AE912" s="3"/>
      <c r="AF912" s="3"/>
      <c r="AG912" s="3"/>
      <c r="AH912" s="3"/>
      <c r="AI912" s="3"/>
      <c r="AJ912" s="3"/>
      <c r="AK912" s="3"/>
      <c r="AL912" s="3"/>
      <c r="AM912" s="3"/>
      <c r="AN912" s="3"/>
      <c r="AO912" s="3"/>
      <c r="AP912" s="3"/>
      <c r="AQ912" s="3"/>
      <c r="AR912" s="3"/>
      <c r="AS912" s="3"/>
      <c r="AT912" s="3"/>
      <c r="AU912" s="3"/>
      <c r="AV912" s="3"/>
      <c r="AW912" s="3"/>
      <c r="AX912" s="3"/>
      <c r="AY912" s="3"/>
      <c r="AZ912" s="3"/>
    </row>
    <row r="913" spans="1:52" ht="18" customHeight="1" x14ac:dyDescent="0.2">
      <c r="A913" s="3" t="str">
        <f t="shared" si="14"/>
        <v xml:space="preserve">                                                  </v>
      </c>
      <c r="B913" s="20" t="s">
        <v>174</v>
      </c>
      <c r="C913" s="3"/>
      <c r="D913" s="3"/>
      <c r="E913" s="3"/>
      <c r="F913" s="3"/>
      <c r="G913" s="3"/>
      <c r="H913" s="3"/>
      <c r="I913" s="3"/>
      <c r="J913" s="3"/>
      <c r="K913" s="3"/>
      <c r="L913" s="3"/>
      <c r="M913" s="3"/>
      <c r="N913" s="3"/>
      <c r="O913" s="3"/>
      <c r="P913" s="3"/>
      <c r="Q913" s="3"/>
      <c r="R913" s="3"/>
      <c r="S913" s="3"/>
      <c r="T913" s="3"/>
      <c r="U913" s="3"/>
      <c r="V913" s="3"/>
      <c r="W913" s="3"/>
      <c r="X913" s="3"/>
      <c r="Y913" s="3"/>
      <c r="Z913" s="3"/>
      <c r="AA913" s="3"/>
      <c r="AB913" s="3"/>
      <c r="AC913" s="3"/>
      <c r="AD913" s="3"/>
      <c r="AE913" s="3"/>
      <c r="AF913" s="3"/>
      <c r="AG913" s="3"/>
      <c r="AH913" s="3"/>
      <c r="AI913" s="3"/>
      <c r="AJ913" s="3"/>
      <c r="AK913" s="3"/>
      <c r="AL913" s="3"/>
      <c r="AM913" s="3"/>
      <c r="AN913" s="3"/>
      <c r="AO913" s="3"/>
      <c r="AP913" s="3"/>
      <c r="AQ913" s="3"/>
      <c r="AR913" s="3"/>
      <c r="AS913" s="3"/>
      <c r="AT913" s="3"/>
      <c r="AU913" s="3"/>
      <c r="AV913" s="3"/>
      <c r="AW913" s="3"/>
      <c r="AX913" s="3"/>
      <c r="AY913" s="3"/>
      <c r="AZ913" s="3"/>
    </row>
    <row r="914" spans="1:52" ht="18" customHeight="1" x14ac:dyDescent="0.2">
      <c r="A914" s="3" t="str">
        <f t="shared" si="14"/>
        <v xml:space="preserve">                                                  </v>
      </c>
      <c r="B914" s="20" t="s">
        <v>174</v>
      </c>
      <c r="C914" s="3"/>
      <c r="D914" s="3"/>
      <c r="E914" s="3"/>
      <c r="F914" s="3"/>
      <c r="G914" s="3"/>
      <c r="H914" s="3"/>
      <c r="I914" s="3"/>
      <c r="J914" s="3"/>
      <c r="K914" s="3"/>
      <c r="L914" s="3"/>
      <c r="M914" s="3"/>
      <c r="N914" s="3"/>
      <c r="O914" s="3"/>
      <c r="P914" s="3"/>
      <c r="Q914" s="3"/>
      <c r="R914" s="3"/>
      <c r="S914" s="3"/>
      <c r="T914" s="3"/>
      <c r="U914" s="3"/>
      <c r="V914" s="3"/>
      <c r="W914" s="3"/>
      <c r="X914" s="3"/>
      <c r="Y914" s="3"/>
      <c r="Z914" s="3"/>
      <c r="AA914" s="3"/>
      <c r="AB914" s="3"/>
      <c r="AC914" s="3"/>
      <c r="AD914" s="3"/>
      <c r="AE914" s="3"/>
      <c r="AF914" s="3"/>
      <c r="AG914" s="3"/>
      <c r="AH914" s="3"/>
      <c r="AI914" s="3"/>
      <c r="AJ914" s="3"/>
      <c r="AK914" s="3"/>
      <c r="AL914" s="3"/>
      <c r="AM914" s="3"/>
      <c r="AN914" s="3"/>
      <c r="AO914" s="3"/>
      <c r="AP914" s="3"/>
      <c r="AQ914" s="3"/>
      <c r="AR914" s="3"/>
      <c r="AS914" s="3"/>
      <c r="AT914" s="3"/>
      <c r="AU914" s="3"/>
      <c r="AV914" s="3"/>
      <c r="AW914" s="3"/>
      <c r="AX914" s="3"/>
      <c r="AY914" s="3"/>
      <c r="AZ914" s="3"/>
    </row>
    <row r="915" spans="1:52" ht="18" customHeight="1" x14ac:dyDescent="0.2">
      <c r="A915" s="3" t="str">
        <f t="shared" si="14"/>
        <v xml:space="preserve">                                                  </v>
      </c>
      <c r="B915" s="20" t="s">
        <v>174</v>
      </c>
      <c r="C915" s="3"/>
      <c r="D915" s="3"/>
      <c r="E915" s="3"/>
      <c r="F915" s="3"/>
      <c r="G915" s="3"/>
      <c r="H915" s="3"/>
      <c r="I915" s="3"/>
      <c r="J915" s="3"/>
      <c r="K915" s="3"/>
      <c r="L915" s="3"/>
      <c r="M915" s="3"/>
      <c r="N915" s="3"/>
      <c r="O915" s="3"/>
      <c r="P915" s="3"/>
      <c r="Q915" s="3"/>
      <c r="R915" s="3"/>
      <c r="S915" s="3"/>
      <c r="T915" s="3"/>
      <c r="U915" s="3"/>
      <c r="V915" s="3"/>
      <c r="W915" s="3"/>
      <c r="X915" s="3"/>
      <c r="Y915" s="3"/>
      <c r="Z915" s="3"/>
      <c r="AA915" s="3"/>
      <c r="AB915" s="3"/>
      <c r="AC915" s="3"/>
      <c r="AD915" s="3"/>
      <c r="AE915" s="3"/>
      <c r="AF915" s="3"/>
      <c r="AG915" s="3"/>
      <c r="AH915" s="3"/>
      <c r="AI915" s="3"/>
      <c r="AJ915" s="3"/>
      <c r="AK915" s="3"/>
      <c r="AL915" s="3"/>
      <c r="AM915" s="3"/>
      <c r="AN915" s="3"/>
      <c r="AO915" s="3"/>
      <c r="AP915" s="3"/>
      <c r="AQ915" s="3"/>
      <c r="AR915" s="3"/>
      <c r="AS915" s="3"/>
      <c r="AT915" s="3"/>
      <c r="AU915" s="3"/>
      <c r="AV915" s="3"/>
      <c r="AW915" s="3"/>
      <c r="AX915" s="3"/>
      <c r="AY915" s="3"/>
      <c r="AZ915" s="3"/>
    </row>
    <row r="916" spans="1:52" ht="18" customHeight="1" x14ac:dyDescent="0.2">
      <c r="A916" s="3" t="str">
        <f t="shared" si="14"/>
        <v xml:space="preserve">                                                  </v>
      </c>
      <c r="B916" s="20" t="s">
        <v>174</v>
      </c>
      <c r="C916" s="3"/>
      <c r="D916" s="3"/>
      <c r="E916" s="3"/>
      <c r="F916" s="3"/>
      <c r="G916" s="3"/>
      <c r="H916" s="3"/>
      <c r="I916" s="3"/>
      <c r="J916" s="3"/>
      <c r="K916" s="3"/>
      <c r="L916" s="3"/>
      <c r="M916" s="3"/>
      <c r="N916" s="3"/>
      <c r="O916" s="3"/>
      <c r="P916" s="3"/>
      <c r="Q916" s="3"/>
      <c r="R916" s="3"/>
      <c r="S916" s="3"/>
      <c r="T916" s="3"/>
      <c r="U916" s="3"/>
      <c r="V916" s="3"/>
      <c r="W916" s="3"/>
      <c r="X916" s="3"/>
      <c r="Y916" s="3"/>
      <c r="Z916" s="3"/>
      <c r="AA916" s="3"/>
      <c r="AB916" s="3"/>
      <c r="AC916" s="3"/>
      <c r="AD916" s="3"/>
      <c r="AE916" s="3"/>
      <c r="AF916" s="3"/>
      <c r="AG916" s="3"/>
      <c r="AH916" s="3"/>
      <c r="AI916" s="3"/>
      <c r="AJ916" s="3"/>
      <c r="AK916" s="3"/>
      <c r="AL916" s="3"/>
      <c r="AM916" s="3"/>
      <c r="AN916" s="3"/>
      <c r="AO916" s="3"/>
      <c r="AP916" s="3"/>
      <c r="AQ916" s="3"/>
      <c r="AR916" s="3"/>
      <c r="AS916" s="3"/>
      <c r="AT916" s="3"/>
      <c r="AU916" s="3"/>
      <c r="AV916" s="3"/>
      <c r="AW916" s="3"/>
      <c r="AX916" s="3"/>
      <c r="AY916" s="3"/>
      <c r="AZ916" s="3"/>
    </row>
    <row r="917" spans="1:52" ht="18" customHeight="1" x14ac:dyDescent="0.2">
      <c r="A917" s="3" t="str">
        <f t="shared" si="14"/>
        <v xml:space="preserve">                                                  </v>
      </c>
      <c r="B917" s="20" t="s">
        <v>174</v>
      </c>
      <c r="C917" s="3"/>
      <c r="D917" s="3"/>
      <c r="E917" s="3"/>
      <c r="F917" s="3"/>
      <c r="G917" s="3"/>
      <c r="H917" s="3"/>
      <c r="I917" s="3"/>
      <c r="J917" s="3"/>
      <c r="K917" s="3"/>
      <c r="L917" s="3"/>
      <c r="M917" s="3"/>
      <c r="N917" s="3"/>
      <c r="O917" s="3"/>
      <c r="P917" s="3"/>
      <c r="Q917" s="3"/>
      <c r="R917" s="3"/>
      <c r="S917" s="3"/>
      <c r="T917" s="3"/>
      <c r="U917" s="3"/>
      <c r="V917" s="3"/>
      <c r="W917" s="3"/>
      <c r="X917" s="3"/>
      <c r="Y917" s="3"/>
      <c r="Z917" s="3"/>
      <c r="AA917" s="3"/>
      <c r="AB917" s="3"/>
      <c r="AC917" s="3"/>
      <c r="AD917" s="3"/>
      <c r="AE917" s="3"/>
      <c r="AF917" s="3"/>
      <c r="AG917" s="3"/>
      <c r="AH917" s="3"/>
      <c r="AI917" s="3"/>
      <c r="AJ917" s="3"/>
      <c r="AK917" s="3"/>
      <c r="AL917" s="3"/>
      <c r="AM917" s="3"/>
      <c r="AN917" s="3"/>
      <c r="AO917" s="3"/>
      <c r="AP917" s="3"/>
      <c r="AQ917" s="3"/>
      <c r="AR917" s="3"/>
      <c r="AS917" s="3"/>
      <c r="AT917" s="3"/>
      <c r="AU917" s="3"/>
      <c r="AV917" s="3"/>
      <c r="AW917" s="3"/>
      <c r="AX917" s="3"/>
      <c r="AY917" s="3"/>
      <c r="AZ917" s="3"/>
    </row>
    <row r="918" spans="1:52" ht="18" customHeight="1" x14ac:dyDescent="0.2">
      <c r="A918" s="3" t="str">
        <f t="shared" si="14"/>
        <v xml:space="preserve">                                                  </v>
      </c>
      <c r="B918" s="20" t="s">
        <v>174</v>
      </c>
      <c r="C918" s="3"/>
      <c r="D918" s="3"/>
      <c r="E918" s="3"/>
      <c r="F918" s="3"/>
      <c r="G918" s="3"/>
      <c r="H918" s="3"/>
      <c r="I918" s="3"/>
      <c r="J918" s="3"/>
      <c r="K918" s="3"/>
      <c r="L918" s="3"/>
      <c r="M918" s="3"/>
      <c r="N918" s="3"/>
      <c r="O918" s="3"/>
      <c r="P918" s="3"/>
      <c r="Q918" s="3"/>
      <c r="R918" s="3"/>
      <c r="S918" s="3"/>
      <c r="T918" s="3"/>
      <c r="U918" s="3"/>
      <c r="V918" s="3"/>
      <c r="W918" s="3"/>
      <c r="X918" s="3"/>
      <c r="Y918" s="3"/>
      <c r="Z918" s="3"/>
      <c r="AA918" s="3"/>
      <c r="AB918" s="3"/>
      <c r="AC918" s="3"/>
      <c r="AD918" s="3"/>
      <c r="AE918" s="3"/>
      <c r="AF918" s="3"/>
      <c r="AG918" s="3"/>
      <c r="AH918" s="3"/>
      <c r="AI918" s="3"/>
      <c r="AJ918" s="3"/>
      <c r="AK918" s="3"/>
      <c r="AL918" s="3"/>
      <c r="AM918" s="3"/>
      <c r="AN918" s="3"/>
      <c r="AO918" s="3"/>
      <c r="AP918" s="3"/>
      <c r="AQ918" s="3"/>
      <c r="AR918" s="3"/>
      <c r="AS918" s="3"/>
      <c r="AT918" s="3"/>
      <c r="AU918" s="3"/>
      <c r="AV918" s="3"/>
      <c r="AW918" s="3"/>
      <c r="AX918" s="3"/>
      <c r="AY918" s="3"/>
      <c r="AZ918" s="3"/>
    </row>
    <row r="919" spans="1:52" ht="18" customHeight="1" x14ac:dyDescent="0.2">
      <c r="A919" s="3" t="str">
        <f t="shared" si="14"/>
        <v xml:space="preserve">                                                  </v>
      </c>
      <c r="B919" s="20" t="s">
        <v>174</v>
      </c>
      <c r="C919" s="3"/>
      <c r="D919" s="3"/>
      <c r="E919" s="3"/>
      <c r="F919" s="3"/>
      <c r="G919" s="3"/>
      <c r="H919" s="3"/>
      <c r="I919" s="3"/>
      <c r="J919" s="3"/>
      <c r="K919" s="3"/>
      <c r="L919" s="3"/>
      <c r="M919" s="3"/>
      <c r="N919" s="3"/>
      <c r="O919" s="3"/>
      <c r="P919" s="3"/>
      <c r="Q919" s="3"/>
      <c r="R919" s="3"/>
      <c r="S919" s="3"/>
      <c r="T919" s="3"/>
      <c r="U919" s="3"/>
      <c r="V919" s="3"/>
      <c r="W919" s="3"/>
      <c r="X919" s="3"/>
      <c r="Y919" s="3"/>
      <c r="Z919" s="3"/>
      <c r="AA919" s="3"/>
      <c r="AB919" s="3"/>
      <c r="AC919" s="3"/>
      <c r="AD919" s="3"/>
      <c r="AE919" s="3"/>
      <c r="AF919" s="3"/>
      <c r="AG919" s="3"/>
      <c r="AH919" s="3"/>
      <c r="AI919" s="3"/>
      <c r="AJ919" s="3"/>
      <c r="AK919" s="3"/>
      <c r="AL919" s="3"/>
      <c r="AM919" s="3"/>
      <c r="AN919" s="3"/>
      <c r="AO919" s="3"/>
      <c r="AP919" s="3"/>
      <c r="AQ919" s="3"/>
      <c r="AR919" s="3"/>
      <c r="AS919" s="3"/>
      <c r="AT919" s="3"/>
      <c r="AU919" s="3"/>
      <c r="AV919" s="3"/>
      <c r="AW919" s="3"/>
      <c r="AX919" s="3"/>
      <c r="AY919" s="3"/>
      <c r="AZ919" s="3"/>
    </row>
    <row r="920" spans="1:52" ht="18" customHeight="1" x14ac:dyDescent="0.2">
      <c r="A920" s="3" t="str">
        <f t="shared" si="14"/>
        <v xml:space="preserve">                                                  </v>
      </c>
      <c r="B920" s="20" t="s">
        <v>174</v>
      </c>
      <c r="C920" s="3"/>
      <c r="D920" s="3"/>
      <c r="E920" s="3"/>
      <c r="F920" s="3"/>
      <c r="G920" s="3"/>
      <c r="H920" s="3"/>
      <c r="I920" s="3"/>
      <c r="J920" s="3"/>
      <c r="K920" s="3"/>
      <c r="L920" s="3"/>
      <c r="M920" s="3"/>
      <c r="N920" s="3"/>
      <c r="O920" s="3"/>
      <c r="P920" s="3"/>
      <c r="Q920" s="3"/>
      <c r="R920" s="3"/>
      <c r="S920" s="3"/>
      <c r="T920" s="3"/>
      <c r="U920" s="3"/>
      <c r="V920" s="3"/>
      <c r="W920" s="3"/>
      <c r="X920" s="3"/>
      <c r="Y920" s="3"/>
      <c r="Z920" s="3"/>
      <c r="AA920" s="3"/>
      <c r="AB920" s="3"/>
      <c r="AC920" s="3"/>
      <c r="AD920" s="3"/>
      <c r="AE920" s="3"/>
      <c r="AF920" s="3"/>
      <c r="AG920" s="3"/>
      <c r="AH920" s="3"/>
      <c r="AI920" s="3"/>
      <c r="AJ920" s="3"/>
      <c r="AK920" s="3"/>
      <c r="AL920" s="3"/>
      <c r="AM920" s="3"/>
      <c r="AN920" s="3"/>
      <c r="AO920" s="3"/>
      <c r="AP920" s="3"/>
      <c r="AQ920" s="3"/>
      <c r="AR920" s="3"/>
      <c r="AS920" s="3"/>
      <c r="AT920" s="3"/>
      <c r="AU920" s="3"/>
      <c r="AV920" s="3"/>
      <c r="AW920" s="3"/>
      <c r="AX920" s="3"/>
      <c r="AY920" s="3"/>
      <c r="AZ920" s="3"/>
    </row>
    <row r="921" spans="1:52" ht="18" customHeight="1" x14ac:dyDescent="0.2">
      <c r="A921" s="3" t="str">
        <f t="shared" si="14"/>
        <v xml:space="preserve">                                                  </v>
      </c>
      <c r="B921" s="20" t="s">
        <v>174</v>
      </c>
      <c r="C921" s="3"/>
      <c r="D921" s="3"/>
      <c r="E921" s="3"/>
      <c r="F921" s="3"/>
      <c r="G921" s="3"/>
      <c r="H921" s="3"/>
      <c r="I921" s="3"/>
      <c r="J921" s="3"/>
      <c r="K921" s="3"/>
      <c r="L921" s="3"/>
      <c r="M921" s="3"/>
      <c r="N921" s="3"/>
      <c r="O921" s="3"/>
      <c r="P921" s="3"/>
      <c r="Q921" s="3"/>
      <c r="R921" s="3"/>
      <c r="S921" s="3"/>
      <c r="T921" s="3"/>
      <c r="U921" s="3"/>
      <c r="V921" s="3"/>
      <c r="W921" s="3"/>
      <c r="X921" s="3"/>
      <c r="Y921" s="3"/>
      <c r="Z921" s="3"/>
      <c r="AA921" s="3"/>
      <c r="AB921" s="3"/>
      <c r="AC921" s="3"/>
      <c r="AD921" s="3"/>
      <c r="AE921" s="3"/>
      <c r="AF921" s="3"/>
      <c r="AG921" s="3"/>
      <c r="AH921" s="3"/>
      <c r="AI921" s="3"/>
      <c r="AJ921" s="3"/>
      <c r="AK921" s="3"/>
      <c r="AL921" s="3"/>
      <c r="AM921" s="3"/>
      <c r="AN921" s="3"/>
      <c r="AO921" s="3"/>
      <c r="AP921" s="3"/>
      <c r="AQ921" s="3"/>
      <c r="AR921" s="3"/>
      <c r="AS921" s="3"/>
      <c r="AT921" s="3"/>
      <c r="AU921" s="3"/>
      <c r="AV921" s="3"/>
      <c r="AW921" s="3"/>
      <c r="AX921" s="3"/>
      <c r="AY921" s="3"/>
      <c r="AZ921" s="3"/>
    </row>
    <row r="922" spans="1:52" ht="18" customHeight="1" x14ac:dyDescent="0.2">
      <c r="A922" s="3" t="str">
        <f t="shared" si="14"/>
        <v xml:space="preserve">                                                  </v>
      </c>
      <c r="B922" s="20" t="s">
        <v>174</v>
      </c>
      <c r="C922" s="3"/>
      <c r="D922" s="3"/>
      <c r="E922" s="3"/>
      <c r="F922" s="3"/>
      <c r="G922" s="3"/>
      <c r="H922" s="3"/>
      <c r="I922" s="3"/>
      <c r="J922" s="3"/>
      <c r="K922" s="3"/>
      <c r="L922" s="3"/>
      <c r="M922" s="3"/>
      <c r="N922" s="3"/>
      <c r="O922" s="3"/>
      <c r="P922" s="3"/>
      <c r="Q922" s="3"/>
      <c r="R922" s="3"/>
      <c r="S922" s="3"/>
      <c r="T922" s="3"/>
      <c r="U922" s="3"/>
      <c r="V922" s="3"/>
      <c r="W922" s="3"/>
      <c r="X922" s="3"/>
      <c r="Y922" s="3"/>
      <c r="Z922" s="3"/>
      <c r="AA922" s="3"/>
      <c r="AB922" s="3"/>
      <c r="AC922" s="3"/>
      <c r="AD922" s="3"/>
      <c r="AE922" s="3"/>
      <c r="AF922" s="3"/>
      <c r="AG922" s="3"/>
      <c r="AH922" s="3"/>
      <c r="AI922" s="3"/>
      <c r="AJ922" s="3"/>
      <c r="AK922" s="3"/>
      <c r="AL922" s="3"/>
      <c r="AM922" s="3"/>
      <c r="AN922" s="3"/>
      <c r="AO922" s="3"/>
      <c r="AP922" s="3"/>
      <c r="AQ922" s="3"/>
      <c r="AR922" s="3"/>
      <c r="AS922" s="3"/>
      <c r="AT922" s="3"/>
      <c r="AU922" s="3"/>
      <c r="AV922" s="3"/>
      <c r="AW922" s="3"/>
      <c r="AX922" s="3"/>
      <c r="AY922" s="3"/>
      <c r="AZ922" s="3"/>
    </row>
    <row r="923" spans="1:52" ht="18" customHeight="1" x14ac:dyDescent="0.2">
      <c r="A923" s="3" t="str">
        <f t="shared" si="14"/>
        <v xml:space="preserve">                                                  </v>
      </c>
      <c r="B923" s="20" t="s">
        <v>174</v>
      </c>
      <c r="C923" s="3"/>
      <c r="D923" s="3"/>
      <c r="E923" s="3"/>
      <c r="F923" s="3"/>
      <c r="G923" s="3"/>
      <c r="H923" s="3"/>
      <c r="I923" s="3"/>
      <c r="J923" s="3"/>
      <c r="K923" s="3"/>
      <c r="L923" s="3"/>
      <c r="M923" s="3"/>
      <c r="N923" s="3"/>
      <c r="O923" s="3"/>
      <c r="P923" s="3"/>
      <c r="Q923" s="3"/>
      <c r="R923" s="3"/>
      <c r="S923" s="3"/>
      <c r="T923" s="3"/>
      <c r="U923" s="3"/>
      <c r="V923" s="3"/>
      <c r="W923" s="3"/>
      <c r="X923" s="3"/>
      <c r="Y923" s="3"/>
      <c r="Z923" s="3"/>
      <c r="AA923" s="3"/>
      <c r="AB923" s="3"/>
      <c r="AC923" s="3"/>
      <c r="AD923" s="3"/>
      <c r="AE923" s="3"/>
      <c r="AF923" s="3"/>
      <c r="AG923" s="3"/>
      <c r="AH923" s="3"/>
      <c r="AI923" s="3"/>
      <c r="AJ923" s="3"/>
      <c r="AK923" s="3"/>
      <c r="AL923" s="3"/>
      <c r="AM923" s="3"/>
      <c r="AN923" s="3"/>
      <c r="AO923" s="3"/>
      <c r="AP923" s="3"/>
      <c r="AQ923" s="3"/>
      <c r="AR923" s="3"/>
      <c r="AS923" s="3"/>
      <c r="AT923" s="3"/>
      <c r="AU923" s="3"/>
      <c r="AV923" s="3"/>
      <c r="AW923" s="3"/>
      <c r="AX923" s="3"/>
      <c r="AY923" s="3"/>
      <c r="AZ923" s="3"/>
    </row>
    <row r="924" spans="1:52" ht="18" customHeight="1" x14ac:dyDescent="0.2">
      <c r="A924" s="3" t="str">
        <f t="shared" si="14"/>
        <v xml:space="preserve">                                                  </v>
      </c>
      <c r="B924" s="20" t="s">
        <v>174</v>
      </c>
      <c r="C924" s="3"/>
      <c r="D924" s="3"/>
      <c r="E924" s="3"/>
      <c r="F924" s="3"/>
      <c r="G924" s="3"/>
      <c r="H924" s="3"/>
      <c r="I924" s="3"/>
      <c r="J924" s="3"/>
      <c r="K924" s="3"/>
      <c r="L924" s="3"/>
      <c r="M924" s="3"/>
      <c r="N924" s="3"/>
      <c r="O924" s="3"/>
      <c r="P924" s="3"/>
      <c r="Q924" s="3"/>
      <c r="R924" s="3"/>
      <c r="S924" s="3"/>
      <c r="T924" s="3"/>
      <c r="U924" s="3"/>
      <c r="V924" s="3"/>
      <c r="W924" s="3"/>
      <c r="X924" s="3"/>
      <c r="Y924" s="3"/>
      <c r="Z924" s="3"/>
      <c r="AA924" s="3"/>
      <c r="AB924" s="3"/>
      <c r="AC924" s="3"/>
      <c r="AD924" s="3"/>
      <c r="AE924" s="3"/>
      <c r="AF924" s="3"/>
      <c r="AG924" s="3"/>
      <c r="AH924" s="3"/>
      <c r="AI924" s="3"/>
      <c r="AJ924" s="3"/>
      <c r="AK924" s="3"/>
      <c r="AL924" s="3"/>
      <c r="AM924" s="3"/>
      <c r="AN924" s="3"/>
      <c r="AO924" s="3"/>
      <c r="AP924" s="3"/>
      <c r="AQ924" s="3"/>
      <c r="AR924" s="3"/>
      <c r="AS924" s="3"/>
      <c r="AT924" s="3"/>
      <c r="AU924" s="3"/>
      <c r="AV924" s="3"/>
      <c r="AW924" s="3"/>
      <c r="AX924" s="3"/>
      <c r="AY924" s="3"/>
      <c r="AZ924" s="3"/>
    </row>
    <row r="925" spans="1:52" ht="18" customHeight="1" x14ac:dyDescent="0.2">
      <c r="A925" s="3" t="str">
        <f t="shared" si="14"/>
        <v xml:space="preserve">                                                  </v>
      </c>
      <c r="B925" s="20" t="s">
        <v>174</v>
      </c>
      <c r="C925" s="3"/>
      <c r="D925" s="3"/>
      <c r="E925" s="3"/>
      <c r="F925" s="3"/>
      <c r="G925" s="3"/>
      <c r="H925" s="3"/>
      <c r="I925" s="3"/>
      <c r="J925" s="3"/>
      <c r="K925" s="3"/>
      <c r="L925" s="3"/>
      <c r="M925" s="3"/>
      <c r="N925" s="3"/>
      <c r="O925" s="3"/>
      <c r="P925" s="3"/>
      <c r="Q925" s="3"/>
      <c r="R925" s="3"/>
      <c r="S925" s="3"/>
      <c r="T925" s="3"/>
      <c r="U925" s="3"/>
      <c r="V925" s="3"/>
      <c r="W925" s="3"/>
      <c r="X925" s="3"/>
      <c r="Y925" s="3"/>
      <c r="Z925" s="3"/>
      <c r="AA925" s="3"/>
      <c r="AB925" s="3"/>
      <c r="AC925" s="3"/>
      <c r="AD925" s="3"/>
      <c r="AE925" s="3"/>
      <c r="AF925" s="3"/>
      <c r="AG925" s="3"/>
      <c r="AH925" s="3"/>
      <c r="AI925" s="3"/>
      <c r="AJ925" s="3"/>
      <c r="AK925" s="3"/>
      <c r="AL925" s="3"/>
      <c r="AM925" s="3"/>
      <c r="AN925" s="3"/>
      <c r="AO925" s="3"/>
      <c r="AP925" s="3"/>
      <c r="AQ925" s="3"/>
      <c r="AR925" s="3"/>
      <c r="AS925" s="3"/>
      <c r="AT925" s="3"/>
      <c r="AU925" s="3"/>
      <c r="AV925" s="3"/>
      <c r="AW925" s="3"/>
      <c r="AX925" s="3"/>
      <c r="AY925" s="3"/>
      <c r="AZ925" s="3"/>
    </row>
    <row r="926" spans="1:52" ht="18" customHeight="1" x14ac:dyDescent="0.2">
      <c r="A926" s="3" t="str">
        <f t="shared" si="14"/>
        <v xml:space="preserve">                                                  </v>
      </c>
      <c r="B926" s="20" t="s">
        <v>174</v>
      </c>
      <c r="C926" s="3"/>
      <c r="D926" s="3"/>
      <c r="E926" s="3"/>
      <c r="F926" s="3"/>
      <c r="G926" s="3"/>
      <c r="H926" s="3"/>
      <c r="I926" s="3"/>
      <c r="J926" s="3"/>
      <c r="K926" s="3"/>
      <c r="L926" s="3"/>
      <c r="M926" s="3"/>
      <c r="N926" s="3"/>
      <c r="O926" s="3"/>
      <c r="P926" s="3"/>
      <c r="Q926" s="3"/>
      <c r="R926" s="3"/>
      <c r="S926" s="3"/>
      <c r="T926" s="3"/>
      <c r="U926" s="3"/>
      <c r="V926" s="3"/>
      <c r="W926" s="3"/>
      <c r="X926" s="3"/>
      <c r="Y926" s="3"/>
      <c r="Z926" s="3"/>
      <c r="AA926" s="3"/>
      <c r="AB926" s="3"/>
      <c r="AC926" s="3"/>
      <c r="AD926" s="3"/>
      <c r="AE926" s="3"/>
      <c r="AF926" s="3"/>
      <c r="AG926" s="3"/>
      <c r="AH926" s="3"/>
      <c r="AI926" s="3"/>
      <c r="AJ926" s="3"/>
      <c r="AK926" s="3"/>
      <c r="AL926" s="3"/>
      <c r="AM926" s="3"/>
      <c r="AN926" s="3"/>
      <c r="AO926" s="3"/>
      <c r="AP926" s="3"/>
      <c r="AQ926" s="3"/>
      <c r="AR926" s="3"/>
      <c r="AS926" s="3"/>
      <c r="AT926" s="3"/>
      <c r="AU926" s="3"/>
      <c r="AV926" s="3"/>
      <c r="AW926" s="3"/>
      <c r="AX926" s="3"/>
      <c r="AY926" s="3"/>
      <c r="AZ926" s="3"/>
    </row>
    <row r="927" spans="1:52" ht="18" customHeight="1" x14ac:dyDescent="0.2">
      <c r="A927" s="3" t="str">
        <f t="shared" si="14"/>
        <v xml:space="preserve">                                                  </v>
      </c>
      <c r="B927" s="20" t="s">
        <v>174</v>
      </c>
      <c r="C927" s="3"/>
      <c r="D927" s="3"/>
      <c r="E927" s="3"/>
      <c r="F927" s="3"/>
      <c r="G927" s="3"/>
      <c r="H927" s="3"/>
      <c r="I927" s="3"/>
      <c r="J927" s="3"/>
      <c r="K927" s="3"/>
      <c r="L927" s="3"/>
      <c r="M927" s="3"/>
      <c r="N927" s="3"/>
      <c r="O927" s="3"/>
      <c r="P927" s="3"/>
      <c r="Q927" s="3"/>
      <c r="R927" s="3"/>
      <c r="S927" s="3"/>
      <c r="T927" s="3"/>
      <c r="U927" s="3"/>
      <c r="V927" s="3"/>
      <c r="W927" s="3"/>
      <c r="X927" s="3"/>
      <c r="Y927" s="3"/>
      <c r="Z927" s="3"/>
      <c r="AA927" s="3"/>
      <c r="AB927" s="3"/>
      <c r="AC927" s="3"/>
      <c r="AD927" s="3"/>
      <c r="AE927" s="3"/>
      <c r="AF927" s="3"/>
      <c r="AG927" s="3"/>
      <c r="AH927" s="3"/>
      <c r="AI927" s="3"/>
      <c r="AJ927" s="3"/>
      <c r="AK927" s="3"/>
      <c r="AL927" s="3"/>
      <c r="AM927" s="3"/>
      <c r="AN927" s="3"/>
      <c r="AO927" s="3"/>
      <c r="AP927" s="3"/>
      <c r="AQ927" s="3"/>
      <c r="AR927" s="3"/>
      <c r="AS927" s="3"/>
      <c r="AT927" s="3"/>
      <c r="AU927" s="3"/>
      <c r="AV927" s="3"/>
      <c r="AW927" s="3"/>
      <c r="AX927" s="3"/>
      <c r="AY927" s="3"/>
      <c r="AZ927" s="3"/>
    </row>
    <row r="928" spans="1:52" ht="18" customHeight="1" x14ac:dyDescent="0.2">
      <c r="A928" s="3" t="str">
        <f t="shared" si="14"/>
        <v xml:space="preserve">                                                  </v>
      </c>
      <c r="B928" s="20" t="s">
        <v>174</v>
      </c>
      <c r="C928" s="3"/>
      <c r="D928" s="3"/>
      <c r="E928" s="3"/>
      <c r="F928" s="3"/>
      <c r="G928" s="3"/>
      <c r="H928" s="3"/>
      <c r="I928" s="3"/>
      <c r="J928" s="3"/>
      <c r="K928" s="3"/>
      <c r="L928" s="3"/>
      <c r="M928" s="3"/>
      <c r="N928" s="3"/>
      <c r="O928" s="3"/>
      <c r="P928" s="3"/>
      <c r="Q928" s="3"/>
      <c r="R928" s="3"/>
      <c r="S928" s="3"/>
      <c r="T928" s="3"/>
      <c r="U928" s="3"/>
      <c r="V928" s="3"/>
      <c r="W928" s="3"/>
      <c r="X928" s="3"/>
      <c r="Y928" s="3"/>
      <c r="Z928" s="3"/>
      <c r="AA928" s="3"/>
      <c r="AB928" s="3"/>
      <c r="AC928" s="3"/>
      <c r="AD928" s="3"/>
      <c r="AE928" s="3"/>
      <c r="AF928" s="3"/>
      <c r="AG928" s="3"/>
      <c r="AH928" s="3"/>
      <c r="AI928" s="3"/>
      <c r="AJ928" s="3"/>
      <c r="AK928" s="3"/>
      <c r="AL928" s="3"/>
      <c r="AM928" s="3"/>
      <c r="AN928" s="3"/>
      <c r="AO928" s="3"/>
      <c r="AP928" s="3"/>
      <c r="AQ928" s="3"/>
      <c r="AR928" s="3"/>
      <c r="AS928" s="3"/>
      <c r="AT928" s="3"/>
      <c r="AU928" s="3"/>
      <c r="AV928" s="3"/>
      <c r="AW928" s="3"/>
      <c r="AX928" s="3"/>
      <c r="AY928" s="3"/>
      <c r="AZ928" s="3"/>
    </row>
    <row r="929" spans="1:52" ht="18" customHeight="1" x14ac:dyDescent="0.2">
      <c r="A929" s="3" t="str">
        <f t="shared" si="14"/>
        <v xml:space="preserve">                                                  </v>
      </c>
      <c r="B929" s="20" t="s">
        <v>174</v>
      </c>
      <c r="C929" s="3"/>
      <c r="D929" s="3"/>
      <c r="E929" s="3"/>
      <c r="F929" s="3"/>
      <c r="G929" s="3"/>
      <c r="H929" s="3"/>
      <c r="I929" s="3"/>
      <c r="J929" s="3"/>
      <c r="K929" s="3"/>
      <c r="L929" s="3"/>
      <c r="M929" s="3"/>
      <c r="N929" s="3"/>
      <c r="O929" s="3"/>
      <c r="P929" s="3"/>
      <c r="Q929" s="3"/>
      <c r="R929" s="3"/>
      <c r="S929" s="3"/>
      <c r="T929" s="3"/>
      <c r="U929" s="3"/>
      <c r="V929" s="3"/>
      <c r="W929" s="3"/>
      <c r="X929" s="3"/>
      <c r="Y929" s="3"/>
      <c r="Z929" s="3"/>
      <c r="AA929" s="3"/>
      <c r="AB929" s="3"/>
      <c r="AC929" s="3"/>
      <c r="AD929" s="3"/>
      <c r="AE929" s="3"/>
      <c r="AF929" s="3"/>
      <c r="AG929" s="3"/>
      <c r="AH929" s="3"/>
      <c r="AI929" s="3"/>
      <c r="AJ929" s="3"/>
      <c r="AK929" s="3"/>
      <c r="AL929" s="3"/>
      <c r="AM929" s="3"/>
      <c r="AN929" s="3"/>
      <c r="AO929" s="3"/>
      <c r="AP929" s="3"/>
      <c r="AQ929" s="3"/>
      <c r="AR929" s="3"/>
      <c r="AS929" s="3"/>
      <c r="AT929" s="3"/>
      <c r="AU929" s="3"/>
      <c r="AV929" s="3"/>
      <c r="AW929" s="3"/>
      <c r="AX929" s="3"/>
      <c r="AY929" s="3"/>
      <c r="AZ929" s="3"/>
    </row>
    <row r="930" spans="1:52" ht="18" customHeight="1" x14ac:dyDescent="0.2">
      <c r="A930" s="3" t="str">
        <f t="shared" si="14"/>
        <v xml:space="preserve">                                                  </v>
      </c>
      <c r="B930" s="20" t="s">
        <v>174</v>
      </c>
      <c r="C930" s="3"/>
      <c r="D930" s="3"/>
      <c r="E930" s="3"/>
      <c r="F930" s="3"/>
      <c r="G930" s="3"/>
      <c r="H930" s="3"/>
      <c r="I930" s="3"/>
      <c r="J930" s="3"/>
      <c r="K930" s="3"/>
      <c r="L930" s="3"/>
      <c r="M930" s="3"/>
      <c r="N930" s="3"/>
      <c r="O930" s="3"/>
      <c r="P930" s="3"/>
      <c r="Q930" s="3"/>
      <c r="R930" s="3"/>
      <c r="S930" s="3"/>
      <c r="T930" s="3"/>
      <c r="U930" s="3"/>
      <c r="V930" s="3"/>
      <c r="W930" s="3"/>
      <c r="X930" s="3"/>
      <c r="Y930" s="3"/>
      <c r="Z930" s="3"/>
      <c r="AA930" s="3"/>
      <c r="AB930" s="3"/>
      <c r="AC930" s="3"/>
      <c r="AD930" s="3"/>
      <c r="AE930" s="3"/>
      <c r="AF930" s="3"/>
      <c r="AG930" s="3"/>
      <c r="AH930" s="3"/>
      <c r="AI930" s="3"/>
      <c r="AJ930" s="3"/>
      <c r="AK930" s="3"/>
      <c r="AL930" s="3"/>
      <c r="AM930" s="3"/>
      <c r="AN930" s="3"/>
      <c r="AO930" s="3"/>
      <c r="AP930" s="3"/>
      <c r="AQ930" s="3"/>
      <c r="AR930" s="3"/>
      <c r="AS930" s="3"/>
      <c r="AT930" s="3"/>
      <c r="AU930" s="3"/>
      <c r="AV930" s="3"/>
      <c r="AW930" s="3"/>
      <c r="AX930" s="3"/>
      <c r="AY930" s="3"/>
      <c r="AZ930" s="3"/>
    </row>
    <row r="931" spans="1:52" ht="18" customHeight="1" x14ac:dyDescent="0.2">
      <c r="A931" s="3" t="str">
        <f t="shared" si="14"/>
        <v xml:space="preserve">                                                  </v>
      </c>
      <c r="B931" s="20" t="s">
        <v>174</v>
      </c>
      <c r="C931" s="3"/>
      <c r="D931" s="3"/>
      <c r="E931" s="3"/>
      <c r="F931" s="3"/>
      <c r="G931" s="3"/>
      <c r="H931" s="3"/>
      <c r="I931" s="3"/>
      <c r="J931" s="3"/>
      <c r="K931" s="3"/>
      <c r="L931" s="3"/>
      <c r="M931" s="3"/>
      <c r="N931" s="3"/>
      <c r="O931" s="3"/>
      <c r="P931" s="3"/>
      <c r="Q931" s="3"/>
      <c r="R931" s="3"/>
      <c r="S931" s="3"/>
      <c r="T931" s="3"/>
      <c r="U931" s="3"/>
      <c r="V931" s="3"/>
      <c r="W931" s="3"/>
      <c r="X931" s="3"/>
      <c r="Y931" s="3"/>
      <c r="Z931" s="3"/>
      <c r="AA931" s="3"/>
      <c r="AB931" s="3"/>
      <c r="AC931" s="3"/>
      <c r="AD931" s="3"/>
      <c r="AE931" s="3"/>
      <c r="AF931" s="3"/>
      <c r="AG931" s="3"/>
      <c r="AH931" s="3"/>
      <c r="AI931" s="3"/>
      <c r="AJ931" s="3"/>
      <c r="AK931" s="3"/>
      <c r="AL931" s="3"/>
      <c r="AM931" s="3"/>
      <c r="AN931" s="3"/>
      <c r="AO931" s="3"/>
      <c r="AP931" s="3"/>
      <c r="AQ931" s="3"/>
      <c r="AR931" s="3"/>
      <c r="AS931" s="3"/>
      <c r="AT931" s="3"/>
      <c r="AU931" s="3"/>
      <c r="AV931" s="3"/>
      <c r="AW931" s="3"/>
      <c r="AX931" s="3"/>
      <c r="AY931" s="3"/>
      <c r="AZ931" s="3"/>
    </row>
    <row r="932" spans="1:52" ht="18" customHeight="1" x14ac:dyDescent="0.2">
      <c r="A932" s="3" t="str">
        <f t="shared" si="14"/>
        <v xml:space="preserve">                                                  </v>
      </c>
      <c r="B932" s="20" t="s">
        <v>174</v>
      </c>
      <c r="C932" s="3"/>
      <c r="D932" s="3"/>
      <c r="E932" s="3"/>
      <c r="F932" s="3"/>
      <c r="G932" s="3"/>
      <c r="H932" s="3"/>
      <c r="I932" s="3"/>
      <c r="J932" s="3"/>
      <c r="K932" s="3"/>
      <c r="L932" s="3"/>
      <c r="M932" s="3"/>
      <c r="N932" s="3"/>
      <c r="O932" s="3"/>
      <c r="P932" s="3"/>
      <c r="Q932" s="3"/>
      <c r="R932" s="3"/>
      <c r="S932" s="3"/>
      <c r="T932" s="3"/>
      <c r="U932" s="3"/>
      <c r="V932" s="3"/>
      <c r="W932" s="3"/>
      <c r="X932" s="3"/>
      <c r="Y932" s="3"/>
      <c r="Z932" s="3"/>
      <c r="AA932" s="3"/>
      <c r="AB932" s="3"/>
      <c r="AC932" s="3"/>
      <c r="AD932" s="3"/>
      <c r="AE932" s="3"/>
      <c r="AF932" s="3"/>
      <c r="AG932" s="3"/>
      <c r="AH932" s="3"/>
      <c r="AI932" s="3"/>
      <c r="AJ932" s="3"/>
      <c r="AK932" s="3"/>
      <c r="AL932" s="3"/>
      <c r="AM932" s="3"/>
      <c r="AN932" s="3"/>
      <c r="AO932" s="3"/>
      <c r="AP932" s="3"/>
      <c r="AQ932" s="3"/>
      <c r="AR932" s="3"/>
      <c r="AS932" s="3"/>
      <c r="AT932" s="3"/>
      <c r="AU932" s="3"/>
      <c r="AV932" s="3"/>
      <c r="AW932" s="3"/>
      <c r="AX932" s="3"/>
      <c r="AY932" s="3"/>
      <c r="AZ932" s="3"/>
    </row>
    <row r="933" spans="1:52" ht="18" customHeight="1" x14ac:dyDescent="0.2">
      <c r="A933" s="3" t="str">
        <f t="shared" si="14"/>
        <v xml:space="preserve">                                                  </v>
      </c>
      <c r="B933" s="20" t="s">
        <v>174</v>
      </c>
      <c r="C933" s="3"/>
      <c r="D933" s="3"/>
      <c r="E933" s="3"/>
      <c r="F933" s="3"/>
      <c r="G933" s="3"/>
      <c r="H933" s="3"/>
      <c r="I933" s="3"/>
      <c r="J933" s="3"/>
      <c r="K933" s="3"/>
      <c r="L933" s="3"/>
      <c r="M933" s="3"/>
      <c r="N933" s="3"/>
      <c r="O933" s="3"/>
      <c r="P933" s="3"/>
      <c r="Q933" s="3"/>
      <c r="R933" s="3"/>
      <c r="S933" s="3"/>
      <c r="T933" s="3"/>
      <c r="U933" s="3"/>
      <c r="V933" s="3"/>
      <c r="W933" s="3"/>
      <c r="X933" s="3"/>
      <c r="Y933" s="3"/>
      <c r="Z933" s="3"/>
      <c r="AA933" s="3"/>
      <c r="AB933" s="3"/>
      <c r="AC933" s="3"/>
      <c r="AD933" s="3"/>
      <c r="AE933" s="3"/>
      <c r="AF933" s="3"/>
      <c r="AG933" s="3"/>
      <c r="AH933" s="3"/>
      <c r="AI933" s="3"/>
      <c r="AJ933" s="3"/>
      <c r="AK933" s="3"/>
      <c r="AL933" s="3"/>
      <c r="AM933" s="3"/>
      <c r="AN933" s="3"/>
      <c r="AO933" s="3"/>
      <c r="AP933" s="3"/>
      <c r="AQ933" s="3"/>
      <c r="AR933" s="3"/>
      <c r="AS933" s="3"/>
      <c r="AT933" s="3"/>
      <c r="AU933" s="3"/>
      <c r="AV933" s="3"/>
      <c r="AW933" s="3"/>
      <c r="AX933" s="3"/>
      <c r="AY933" s="3"/>
      <c r="AZ933" s="3"/>
    </row>
    <row r="934" spans="1:52" ht="18" customHeight="1" x14ac:dyDescent="0.2">
      <c r="A934" s="3" t="str">
        <f t="shared" si="14"/>
        <v xml:space="preserve">                                                  </v>
      </c>
      <c r="B934" s="20" t="s">
        <v>174</v>
      </c>
      <c r="C934" s="3"/>
      <c r="D934" s="3"/>
      <c r="E934" s="3"/>
      <c r="F934" s="3"/>
      <c r="G934" s="3"/>
      <c r="H934" s="3"/>
      <c r="I934" s="3"/>
      <c r="J934" s="3"/>
      <c r="K934" s="3"/>
      <c r="L934" s="3"/>
      <c r="M934" s="3"/>
      <c r="N934" s="3"/>
      <c r="O934" s="3"/>
      <c r="P934" s="3"/>
      <c r="Q934" s="3"/>
      <c r="R934" s="3"/>
      <c r="S934" s="3"/>
      <c r="T934" s="3"/>
      <c r="U934" s="3"/>
      <c r="V934" s="3"/>
      <c r="W934" s="3"/>
      <c r="X934" s="3"/>
      <c r="Y934" s="3"/>
      <c r="Z934" s="3"/>
      <c r="AA934" s="3"/>
      <c r="AB934" s="3"/>
      <c r="AC934" s="3"/>
      <c r="AD934" s="3"/>
      <c r="AE934" s="3"/>
      <c r="AF934" s="3"/>
      <c r="AG934" s="3"/>
      <c r="AH934" s="3"/>
      <c r="AI934" s="3"/>
      <c r="AJ934" s="3"/>
      <c r="AK934" s="3"/>
      <c r="AL934" s="3"/>
      <c r="AM934" s="3"/>
      <c r="AN934" s="3"/>
      <c r="AO934" s="3"/>
      <c r="AP934" s="3"/>
      <c r="AQ934" s="3"/>
      <c r="AR934" s="3"/>
      <c r="AS934" s="3"/>
      <c r="AT934" s="3"/>
      <c r="AU934" s="3"/>
      <c r="AV934" s="3"/>
      <c r="AW934" s="3"/>
      <c r="AX934" s="3"/>
      <c r="AY934" s="3"/>
      <c r="AZ934" s="3"/>
    </row>
    <row r="935" spans="1:52" ht="18" customHeight="1" x14ac:dyDescent="0.2">
      <c r="A935" s="3" t="str">
        <f t="shared" si="14"/>
        <v xml:space="preserve">                                                  </v>
      </c>
      <c r="B935" s="20" t="s">
        <v>174</v>
      </c>
      <c r="C935" s="3"/>
      <c r="D935" s="3"/>
      <c r="E935" s="3"/>
      <c r="F935" s="3"/>
      <c r="G935" s="3"/>
      <c r="H935" s="3"/>
      <c r="I935" s="3"/>
      <c r="J935" s="3"/>
      <c r="K935" s="3"/>
      <c r="L935" s="3"/>
      <c r="M935" s="3"/>
      <c r="N935" s="3"/>
      <c r="O935" s="3"/>
      <c r="P935" s="3"/>
      <c r="Q935" s="3"/>
      <c r="R935" s="3"/>
      <c r="S935" s="3"/>
      <c r="T935" s="3"/>
      <c r="U935" s="3"/>
      <c r="V935" s="3"/>
      <c r="W935" s="3"/>
      <c r="X935" s="3"/>
      <c r="Y935" s="3"/>
      <c r="Z935" s="3"/>
      <c r="AA935" s="3"/>
      <c r="AB935" s="3"/>
      <c r="AC935" s="3"/>
      <c r="AD935" s="3"/>
      <c r="AE935" s="3"/>
      <c r="AF935" s="3"/>
      <c r="AG935" s="3"/>
      <c r="AH935" s="3"/>
      <c r="AI935" s="3"/>
      <c r="AJ935" s="3"/>
      <c r="AK935" s="3"/>
      <c r="AL935" s="3"/>
      <c r="AM935" s="3"/>
      <c r="AN935" s="3"/>
      <c r="AO935" s="3"/>
      <c r="AP935" s="3"/>
      <c r="AQ935" s="3"/>
      <c r="AR935" s="3"/>
      <c r="AS935" s="3"/>
      <c r="AT935" s="3"/>
      <c r="AU935" s="3"/>
      <c r="AV935" s="3"/>
      <c r="AW935" s="3"/>
      <c r="AX935" s="3"/>
      <c r="AY935" s="3"/>
      <c r="AZ935" s="3"/>
    </row>
    <row r="936" spans="1:52" ht="18" customHeight="1" x14ac:dyDescent="0.2">
      <c r="A936" s="3" t="str">
        <f t="shared" si="14"/>
        <v xml:space="preserve">                                                  </v>
      </c>
      <c r="B936" s="20" t="s">
        <v>174</v>
      </c>
      <c r="C936" s="3"/>
      <c r="D936" s="3"/>
      <c r="E936" s="3"/>
      <c r="F936" s="3"/>
      <c r="G936" s="3"/>
      <c r="H936" s="3"/>
      <c r="I936" s="3"/>
      <c r="J936" s="3"/>
      <c r="K936" s="3"/>
      <c r="L936" s="3"/>
      <c r="M936" s="3"/>
      <c r="N936" s="3"/>
      <c r="O936" s="3"/>
      <c r="P936" s="3"/>
      <c r="Q936" s="3"/>
      <c r="R936" s="3"/>
      <c r="S936" s="3"/>
      <c r="T936" s="3"/>
      <c r="U936" s="3"/>
      <c r="V936" s="3"/>
      <c r="W936" s="3"/>
      <c r="X936" s="3"/>
      <c r="Y936" s="3"/>
      <c r="Z936" s="3"/>
      <c r="AA936" s="3"/>
      <c r="AB936" s="3"/>
      <c r="AC936" s="3"/>
      <c r="AD936" s="3"/>
      <c r="AE936" s="3"/>
      <c r="AF936" s="3"/>
      <c r="AG936" s="3"/>
      <c r="AH936" s="3"/>
      <c r="AI936" s="3"/>
      <c r="AJ936" s="3"/>
      <c r="AK936" s="3"/>
      <c r="AL936" s="3"/>
      <c r="AM936" s="3"/>
      <c r="AN936" s="3"/>
      <c r="AO936" s="3"/>
      <c r="AP936" s="3"/>
      <c r="AQ936" s="3"/>
      <c r="AR936" s="3"/>
      <c r="AS936" s="3"/>
      <c r="AT936" s="3"/>
      <c r="AU936" s="3"/>
      <c r="AV936" s="3"/>
      <c r="AW936" s="3"/>
      <c r="AX936" s="3"/>
      <c r="AY936" s="3"/>
      <c r="AZ936" s="3"/>
    </row>
    <row r="937" spans="1:52" ht="18" customHeight="1" x14ac:dyDescent="0.2">
      <c r="A937" s="3" t="str">
        <f t="shared" si="14"/>
        <v xml:space="preserve">                                                  </v>
      </c>
      <c r="B937" s="20" t="s">
        <v>174</v>
      </c>
      <c r="C937" s="3"/>
      <c r="D937" s="3"/>
      <c r="E937" s="3"/>
      <c r="F937" s="3"/>
      <c r="G937" s="3"/>
      <c r="H937" s="3"/>
      <c r="I937" s="3"/>
      <c r="J937" s="3"/>
      <c r="K937" s="3"/>
      <c r="L937" s="3"/>
      <c r="M937" s="3"/>
      <c r="N937" s="3"/>
      <c r="O937" s="3"/>
      <c r="P937" s="3"/>
      <c r="Q937" s="3"/>
      <c r="R937" s="3"/>
      <c r="S937" s="3"/>
      <c r="T937" s="3"/>
      <c r="U937" s="3"/>
      <c r="V937" s="3"/>
      <c r="W937" s="3"/>
      <c r="X937" s="3"/>
      <c r="Y937" s="3"/>
      <c r="Z937" s="3"/>
      <c r="AA937" s="3"/>
      <c r="AB937" s="3"/>
      <c r="AC937" s="3"/>
      <c r="AD937" s="3"/>
      <c r="AE937" s="3"/>
      <c r="AF937" s="3"/>
      <c r="AG937" s="3"/>
      <c r="AH937" s="3"/>
      <c r="AI937" s="3"/>
      <c r="AJ937" s="3"/>
      <c r="AK937" s="3"/>
      <c r="AL937" s="3"/>
      <c r="AM937" s="3"/>
      <c r="AN937" s="3"/>
      <c r="AO937" s="3"/>
      <c r="AP937" s="3"/>
      <c r="AQ937" s="3"/>
      <c r="AR937" s="3"/>
      <c r="AS937" s="3"/>
      <c r="AT937" s="3"/>
      <c r="AU937" s="3"/>
      <c r="AV937" s="3"/>
      <c r="AW937" s="3"/>
      <c r="AX937" s="3"/>
      <c r="AY937" s="3"/>
      <c r="AZ937" s="3"/>
    </row>
    <row r="938" spans="1:52" ht="18" customHeight="1" x14ac:dyDescent="0.2">
      <c r="A938" s="3" t="str">
        <f t="shared" si="14"/>
        <v xml:space="preserve">                                                  </v>
      </c>
      <c r="B938" s="20" t="s">
        <v>174</v>
      </c>
      <c r="C938" s="3"/>
      <c r="D938" s="3"/>
      <c r="E938" s="3"/>
      <c r="F938" s="3"/>
      <c r="G938" s="3"/>
      <c r="H938" s="3"/>
      <c r="I938" s="3"/>
      <c r="J938" s="3"/>
      <c r="K938" s="3"/>
      <c r="L938" s="3"/>
      <c r="M938" s="3"/>
      <c r="N938" s="3"/>
      <c r="O938" s="3"/>
      <c r="P938" s="3"/>
      <c r="Q938" s="3"/>
      <c r="R938" s="3"/>
      <c r="S938" s="3"/>
      <c r="T938" s="3"/>
      <c r="U938" s="3"/>
      <c r="V938" s="3"/>
      <c r="W938" s="3"/>
      <c r="X938" s="3"/>
      <c r="Y938" s="3"/>
      <c r="Z938" s="3"/>
      <c r="AA938" s="3"/>
      <c r="AB938" s="3"/>
      <c r="AC938" s="3"/>
      <c r="AD938" s="3"/>
      <c r="AE938" s="3"/>
      <c r="AF938" s="3"/>
      <c r="AG938" s="3"/>
      <c r="AH938" s="3"/>
      <c r="AI938" s="3"/>
      <c r="AJ938" s="3"/>
      <c r="AK938" s="3"/>
      <c r="AL938" s="3"/>
      <c r="AM938" s="3"/>
      <c r="AN938" s="3"/>
      <c r="AO938" s="3"/>
      <c r="AP938" s="3"/>
      <c r="AQ938" s="3"/>
      <c r="AR938" s="3"/>
      <c r="AS938" s="3"/>
      <c r="AT938" s="3"/>
      <c r="AU938" s="3"/>
      <c r="AV938" s="3"/>
      <c r="AW938" s="3"/>
      <c r="AX938" s="3"/>
      <c r="AY938" s="3"/>
      <c r="AZ938" s="3"/>
    </row>
    <row r="939" spans="1:52" ht="18" customHeight="1" x14ac:dyDescent="0.2">
      <c r="A939" s="3" t="str">
        <f t="shared" si="14"/>
        <v xml:space="preserve">                                                  </v>
      </c>
      <c r="B939" s="20" t="s">
        <v>174</v>
      </c>
      <c r="C939" s="3"/>
      <c r="D939" s="3"/>
      <c r="E939" s="3"/>
      <c r="F939" s="3"/>
      <c r="G939" s="3"/>
      <c r="H939" s="3"/>
      <c r="I939" s="3"/>
      <c r="J939" s="3"/>
      <c r="K939" s="3"/>
      <c r="L939" s="3"/>
      <c r="M939" s="3"/>
      <c r="N939" s="3"/>
      <c r="O939" s="3"/>
      <c r="P939" s="3"/>
      <c r="Q939" s="3"/>
      <c r="R939" s="3"/>
      <c r="S939" s="3"/>
      <c r="T939" s="3"/>
      <c r="U939" s="3"/>
      <c r="V939" s="3"/>
      <c r="W939" s="3"/>
      <c r="X939" s="3"/>
      <c r="Y939" s="3"/>
      <c r="Z939" s="3"/>
      <c r="AA939" s="3"/>
      <c r="AB939" s="3"/>
      <c r="AC939" s="3"/>
      <c r="AD939" s="3"/>
      <c r="AE939" s="3"/>
      <c r="AF939" s="3"/>
      <c r="AG939" s="3"/>
      <c r="AH939" s="3"/>
      <c r="AI939" s="3"/>
      <c r="AJ939" s="3"/>
      <c r="AK939" s="3"/>
      <c r="AL939" s="3"/>
      <c r="AM939" s="3"/>
      <c r="AN939" s="3"/>
      <c r="AO939" s="3"/>
      <c r="AP939" s="3"/>
      <c r="AQ939" s="3"/>
      <c r="AR939" s="3"/>
      <c r="AS939" s="3"/>
      <c r="AT939" s="3"/>
      <c r="AU939" s="3"/>
      <c r="AV939" s="3"/>
      <c r="AW939" s="3"/>
      <c r="AX939" s="3"/>
      <c r="AY939" s="3"/>
      <c r="AZ939" s="3"/>
    </row>
    <row r="940" spans="1:52" ht="18" customHeight="1" x14ac:dyDescent="0.2">
      <c r="A940" s="3" t="str">
        <f t="shared" si="14"/>
        <v xml:space="preserve">                                                  </v>
      </c>
      <c r="B940" s="20" t="s">
        <v>174</v>
      </c>
      <c r="C940" s="3"/>
      <c r="D940" s="3"/>
      <c r="E940" s="3"/>
      <c r="F940" s="3"/>
      <c r="G940" s="3"/>
      <c r="H940" s="3"/>
      <c r="I940" s="3"/>
      <c r="J940" s="3"/>
      <c r="K940" s="3"/>
      <c r="L940" s="3"/>
      <c r="M940" s="3"/>
      <c r="N940" s="3"/>
      <c r="O940" s="3"/>
      <c r="P940" s="3"/>
      <c r="Q940" s="3"/>
      <c r="R940" s="3"/>
      <c r="S940" s="3"/>
      <c r="T940" s="3"/>
      <c r="U940" s="3"/>
      <c r="V940" s="3"/>
      <c r="W940" s="3"/>
      <c r="X940" s="3"/>
      <c r="Y940" s="3"/>
      <c r="Z940" s="3"/>
      <c r="AA940" s="3"/>
      <c r="AB940" s="3"/>
      <c r="AC940" s="3"/>
      <c r="AD940" s="3"/>
      <c r="AE940" s="3"/>
      <c r="AF940" s="3"/>
      <c r="AG940" s="3"/>
      <c r="AH940" s="3"/>
      <c r="AI940" s="3"/>
      <c r="AJ940" s="3"/>
      <c r="AK940" s="3"/>
      <c r="AL940" s="3"/>
      <c r="AM940" s="3"/>
      <c r="AN940" s="3"/>
      <c r="AO940" s="3"/>
      <c r="AP940" s="3"/>
      <c r="AQ940" s="3"/>
      <c r="AR940" s="3"/>
      <c r="AS940" s="3"/>
      <c r="AT940" s="3"/>
      <c r="AU940" s="3"/>
      <c r="AV940" s="3"/>
      <c r="AW940" s="3"/>
      <c r="AX940" s="3"/>
      <c r="AY940" s="3"/>
      <c r="AZ940" s="3"/>
    </row>
    <row r="941" spans="1:52" ht="18" customHeight="1" x14ac:dyDescent="0.2">
      <c r="A941" s="3" t="str">
        <f t="shared" si="14"/>
        <v xml:space="preserve">                                                  </v>
      </c>
      <c r="B941" s="20" t="s">
        <v>174</v>
      </c>
      <c r="C941" s="3"/>
      <c r="D941" s="3"/>
      <c r="E941" s="3"/>
      <c r="F941" s="3"/>
      <c r="G941" s="3"/>
      <c r="H941" s="3"/>
      <c r="I941" s="3"/>
      <c r="J941" s="3"/>
      <c r="K941" s="3"/>
      <c r="L941" s="3"/>
      <c r="M941" s="3"/>
      <c r="N941" s="3"/>
      <c r="O941" s="3"/>
      <c r="P941" s="3"/>
      <c r="Q941" s="3"/>
      <c r="R941" s="3"/>
      <c r="S941" s="3"/>
      <c r="T941" s="3"/>
      <c r="U941" s="3"/>
      <c r="V941" s="3"/>
      <c r="W941" s="3"/>
      <c r="X941" s="3"/>
      <c r="Y941" s="3"/>
      <c r="Z941" s="3"/>
      <c r="AA941" s="3"/>
      <c r="AB941" s="3"/>
      <c r="AC941" s="3"/>
      <c r="AD941" s="3"/>
      <c r="AE941" s="3"/>
      <c r="AF941" s="3"/>
      <c r="AG941" s="3"/>
      <c r="AH941" s="3"/>
      <c r="AI941" s="3"/>
      <c r="AJ941" s="3"/>
      <c r="AK941" s="3"/>
      <c r="AL941" s="3"/>
      <c r="AM941" s="3"/>
      <c r="AN941" s="3"/>
      <c r="AO941" s="3"/>
      <c r="AP941" s="3"/>
      <c r="AQ941" s="3"/>
      <c r="AR941" s="3"/>
      <c r="AS941" s="3"/>
      <c r="AT941" s="3"/>
      <c r="AU941" s="3"/>
      <c r="AV941" s="3"/>
      <c r="AW941" s="3"/>
      <c r="AX941" s="3"/>
      <c r="AY941" s="3"/>
      <c r="AZ941" s="3"/>
    </row>
    <row r="942" spans="1:52" ht="18" customHeight="1" x14ac:dyDescent="0.2">
      <c r="A942" s="3" t="str">
        <f t="shared" si="14"/>
        <v xml:space="preserve">                                                  </v>
      </c>
      <c r="B942" s="20" t="s">
        <v>174</v>
      </c>
      <c r="C942" s="3"/>
      <c r="D942" s="3"/>
      <c r="E942" s="3"/>
      <c r="F942" s="3"/>
      <c r="G942" s="3"/>
      <c r="H942" s="3"/>
      <c r="I942" s="3"/>
      <c r="J942" s="3"/>
      <c r="K942" s="3"/>
      <c r="L942" s="3"/>
      <c r="M942" s="3"/>
      <c r="N942" s="3"/>
      <c r="O942" s="3"/>
      <c r="P942" s="3"/>
      <c r="Q942" s="3"/>
      <c r="R942" s="3"/>
      <c r="S942" s="3"/>
      <c r="T942" s="3"/>
      <c r="U942" s="3"/>
      <c r="V942" s="3"/>
      <c r="W942" s="3"/>
      <c r="X942" s="3"/>
      <c r="Y942" s="3"/>
      <c r="Z942" s="3"/>
      <c r="AA942" s="3"/>
      <c r="AB942" s="3"/>
      <c r="AC942" s="3"/>
      <c r="AD942" s="3"/>
      <c r="AE942" s="3"/>
      <c r="AF942" s="3"/>
      <c r="AG942" s="3"/>
      <c r="AH942" s="3"/>
      <c r="AI942" s="3"/>
      <c r="AJ942" s="3"/>
      <c r="AK942" s="3"/>
      <c r="AL942" s="3"/>
      <c r="AM942" s="3"/>
      <c r="AN942" s="3"/>
      <c r="AO942" s="3"/>
      <c r="AP942" s="3"/>
      <c r="AQ942" s="3"/>
      <c r="AR942" s="3"/>
      <c r="AS942" s="3"/>
      <c r="AT942" s="3"/>
      <c r="AU942" s="3"/>
      <c r="AV942" s="3"/>
      <c r="AW942" s="3"/>
      <c r="AX942" s="3"/>
      <c r="AY942" s="3"/>
      <c r="AZ942" s="3"/>
    </row>
    <row r="943" spans="1:52" ht="18" customHeight="1" x14ac:dyDescent="0.2">
      <c r="A943" s="3" t="str">
        <f t="shared" si="14"/>
        <v xml:space="preserve">                                                  </v>
      </c>
      <c r="B943" s="20" t="s">
        <v>174</v>
      </c>
      <c r="C943" s="3"/>
      <c r="D943" s="3"/>
      <c r="E943" s="3"/>
      <c r="F943" s="3"/>
      <c r="G943" s="3"/>
      <c r="H943" s="3"/>
      <c r="I943" s="3"/>
      <c r="J943" s="3"/>
      <c r="K943" s="3"/>
      <c r="L943" s="3"/>
      <c r="M943" s="3"/>
      <c r="N943" s="3"/>
      <c r="O943" s="3"/>
      <c r="P943" s="3"/>
      <c r="Q943" s="3"/>
      <c r="R943" s="3"/>
      <c r="S943" s="3"/>
      <c r="T943" s="3"/>
      <c r="U943" s="3"/>
      <c r="V943" s="3"/>
      <c r="W943" s="3"/>
      <c r="X943" s="3"/>
      <c r="Y943" s="3"/>
      <c r="Z943" s="3"/>
      <c r="AA943" s="3"/>
      <c r="AB943" s="3"/>
      <c r="AC943" s="3"/>
      <c r="AD943" s="3"/>
      <c r="AE943" s="3"/>
      <c r="AF943" s="3"/>
      <c r="AG943" s="3"/>
      <c r="AH943" s="3"/>
      <c r="AI943" s="3"/>
      <c r="AJ943" s="3"/>
      <c r="AK943" s="3"/>
      <c r="AL943" s="3"/>
      <c r="AM943" s="3"/>
      <c r="AN943" s="3"/>
      <c r="AO943" s="3"/>
      <c r="AP943" s="3"/>
      <c r="AQ943" s="3"/>
      <c r="AR943" s="3"/>
      <c r="AS943" s="3"/>
      <c r="AT943" s="3"/>
      <c r="AU943" s="3"/>
      <c r="AV943" s="3"/>
      <c r="AW943" s="3"/>
      <c r="AX943" s="3"/>
      <c r="AY943" s="3"/>
      <c r="AZ943" s="3"/>
    </row>
    <row r="944" spans="1:52" ht="18" customHeight="1" x14ac:dyDescent="0.2">
      <c r="A944" s="3" t="str">
        <f t="shared" si="14"/>
        <v xml:space="preserve">                                                  </v>
      </c>
      <c r="B944" s="20" t="s">
        <v>174</v>
      </c>
      <c r="C944" s="3"/>
      <c r="D944" s="3"/>
      <c r="E944" s="3"/>
      <c r="F944" s="3"/>
      <c r="G944" s="3"/>
      <c r="H944" s="3"/>
      <c r="I944" s="3"/>
      <c r="J944" s="3"/>
      <c r="K944" s="3"/>
      <c r="L944" s="3"/>
      <c r="M944" s="3"/>
      <c r="N944" s="3"/>
      <c r="O944" s="3"/>
      <c r="P944" s="3"/>
      <c r="Q944" s="3"/>
      <c r="R944" s="3"/>
      <c r="S944" s="3"/>
      <c r="T944" s="3"/>
      <c r="U944" s="3"/>
      <c r="V944" s="3"/>
      <c r="W944" s="3"/>
      <c r="X944" s="3"/>
      <c r="Y944" s="3"/>
      <c r="Z944" s="3"/>
      <c r="AA944" s="3"/>
      <c r="AB944" s="3"/>
      <c r="AC944" s="3"/>
      <c r="AD944" s="3"/>
      <c r="AE944" s="3"/>
      <c r="AF944" s="3"/>
      <c r="AG944" s="3"/>
      <c r="AH944" s="3"/>
      <c r="AI944" s="3"/>
      <c r="AJ944" s="3"/>
      <c r="AK944" s="3"/>
      <c r="AL944" s="3"/>
      <c r="AM944" s="3"/>
      <c r="AN944" s="3"/>
      <c r="AO944" s="3"/>
      <c r="AP944" s="3"/>
      <c r="AQ944" s="3"/>
      <c r="AR944" s="3"/>
      <c r="AS944" s="3"/>
      <c r="AT944" s="3"/>
      <c r="AU944" s="3"/>
      <c r="AV944" s="3"/>
      <c r="AW944" s="3"/>
      <c r="AX944" s="3"/>
      <c r="AY944" s="3"/>
      <c r="AZ944" s="3"/>
    </row>
    <row r="945" spans="1:52" ht="18" customHeight="1" x14ac:dyDescent="0.2">
      <c r="A945" s="3" t="str">
        <f t="shared" si="14"/>
        <v xml:space="preserve">                                                  </v>
      </c>
      <c r="B945" s="20" t="s">
        <v>174</v>
      </c>
      <c r="C945" s="3"/>
      <c r="D945" s="3"/>
      <c r="E945" s="3"/>
      <c r="F945" s="3"/>
      <c r="G945" s="3"/>
      <c r="H945" s="3"/>
      <c r="I945" s="3"/>
      <c r="J945" s="3"/>
      <c r="K945" s="3"/>
      <c r="L945" s="3"/>
      <c r="M945" s="3"/>
      <c r="N945" s="3"/>
      <c r="O945" s="3"/>
      <c r="P945" s="3"/>
      <c r="Q945" s="3"/>
      <c r="R945" s="3"/>
      <c r="S945" s="3"/>
      <c r="T945" s="3"/>
      <c r="U945" s="3"/>
      <c r="V945" s="3"/>
      <c r="W945" s="3"/>
      <c r="X945" s="3"/>
      <c r="Y945" s="3"/>
      <c r="Z945" s="3"/>
      <c r="AA945" s="3"/>
      <c r="AB945" s="3"/>
      <c r="AC945" s="3"/>
      <c r="AD945" s="3"/>
      <c r="AE945" s="3"/>
      <c r="AF945" s="3"/>
      <c r="AG945" s="3"/>
      <c r="AH945" s="3"/>
      <c r="AI945" s="3"/>
      <c r="AJ945" s="3"/>
      <c r="AK945" s="3"/>
      <c r="AL945" s="3"/>
      <c r="AM945" s="3"/>
      <c r="AN945" s="3"/>
      <c r="AO945" s="3"/>
      <c r="AP945" s="3"/>
      <c r="AQ945" s="3"/>
      <c r="AR945" s="3"/>
      <c r="AS945" s="3"/>
      <c r="AT945" s="3"/>
      <c r="AU945" s="3"/>
      <c r="AV945" s="3"/>
      <c r="AW945" s="3"/>
      <c r="AX945" s="3"/>
      <c r="AY945" s="3"/>
      <c r="AZ945" s="3"/>
    </row>
    <row r="946" spans="1:52" ht="18" customHeight="1" x14ac:dyDescent="0.2">
      <c r="A946" s="3" t="str">
        <f t="shared" si="14"/>
        <v xml:space="preserve">                                                  </v>
      </c>
      <c r="B946" s="20" t="s">
        <v>174</v>
      </c>
      <c r="C946" s="3"/>
      <c r="D946" s="3"/>
      <c r="E946" s="3"/>
      <c r="F946" s="3"/>
      <c r="G946" s="3"/>
      <c r="H946" s="3"/>
      <c r="I946" s="3"/>
      <c r="J946" s="3"/>
      <c r="K946" s="3"/>
      <c r="L946" s="3"/>
      <c r="M946" s="3"/>
      <c r="N946" s="3"/>
      <c r="O946" s="3"/>
      <c r="P946" s="3"/>
      <c r="Q946" s="3"/>
      <c r="R946" s="3"/>
      <c r="S946" s="3"/>
      <c r="T946" s="3"/>
      <c r="U946" s="3"/>
      <c r="V946" s="3"/>
      <c r="W946" s="3"/>
      <c r="X946" s="3"/>
      <c r="Y946" s="3"/>
      <c r="Z946" s="3"/>
      <c r="AA946" s="3"/>
      <c r="AB946" s="3"/>
      <c r="AC946" s="3"/>
      <c r="AD946" s="3"/>
      <c r="AE946" s="3"/>
      <c r="AF946" s="3"/>
      <c r="AG946" s="3"/>
      <c r="AH946" s="3"/>
      <c r="AI946" s="3"/>
      <c r="AJ946" s="3"/>
      <c r="AK946" s="3"/>
      <c r="AL946" s="3"/>
      <c r="AM946" s="3"/>
      <c r="AN946" s="3"/>
      <c r="AO946" s="3"/>
      <c r="AP946" s="3"/>
      <c r="AQ946" s="3"/>
      <c r="AR946" s="3"/>
      <c r="AS946" s="3"/>
      <c r="AT946" s="3"/>
      <c r="AU946" s="3"/>
      <c r="AV946" s="3"/>
      <c r="AW946" s="3"/>
      <c r="AX946" s="3"/>
      <c r="AY946" s="3"/>
      <c r="AZ946" s="3"/>
    </row>
    <row r="947" spans="1:52" ht="18" customHeight="1" x14ac:dyDescent="0.2">
      <c r="A947" s="3" t="str">
        <f t="shared" si="14"/>
        <v xml:space="preserve">                                                  </v>
      </c>
      <c r="B947" s="20" t="s">
        <v>174</v>
      </c>
      <c r="C947" s="3"/>
      <c r="D947" s="3"/>
      <c r="E947" s="3"/>
      <c r="F947" s="3"/>
      <c r="G947" s="3"/>
      <c r="H947" s="3"/>
      <c r="I947" s="3"/>
      <c r="J947" s="3"/>
      <c r="K947" s="3"/>
      <c r="L947" s="3"/>
      <c r="M947" s="3"/>
      <c r="N947" s="3"/>
      <c r="O947" s="3"/>
      <c r="P947" s="3"/>
      <c r="Q947" s="3"/>
      <c r="R947" s="3"/>
      <c r="S947" s="3"/>
      <c r="T947" s="3"/>
      <c r="U947" s="3"/>
      <c r="V947" s="3"/>
      <c r="W947" s="3"/>
      <c r="X947" s="3"/>
      <c r="Y947" s="3"/>
      <c r="Z947" s="3"/>
      <c r="AA947" s="3"/>
      <c r="AB947" s="3"/>
      <c r="AC947" s="3"/>
      <c r="AD947" s="3"/>
      <c r="AE947" s="3"/>
      <c r="AF947" s="3"/>
      <c r="AG947" s="3"/>
      <c r="AH947" s="3"/>
      <c r="AI947" s="3"/>
      <c r="AJ947" s="3"/>
      <c r="AK947" s="3"/>
      <c r="AL947" s="3"/>
      <c r="AM947" s="3"/>
      <c r="AN947" s="3"/>
      <c r="AO947" s="3"/>
      <c r="AP947" s="3"/>
      <c r="AQ947" s="3"/>
      <c r="AR947" s="3"/>
      <c r="AS947" s="3"/>
      <c r="AT947" s="3"/>
      <c r="AU947" s="3"/>
      <c r="AV947" s="3"/>
      <c r="AW947" s="3"/>
      <c r="AX947" s="3"/>
      <c r="AY947" s="3"/>
      <c r="AZ947" s="3"/>
    </row>
    <row r="948" spans="1:52" ht="18" customHeight="1" x14ac:dyDescent="0.2">
      <c r="A948" s="3" t="str">
        <f t="shared" si="14"/>
        <v xml:space="preserve">                                                  </v>
      </c>
      <c r="B948" s="20" t="s">
        <v>174</v>
      </c>
      <c r="C948" s="3"/>
      <c r="D948" s="3"/>
      <c r="E948" s="3"/>
      <c r="F948" s="3"/>
      <c r="G948" s="3"/>
      <c r="H948" s="3"/>
      <c r="I948" s="3"/>
      <c r="J948" s="3"/>
      <c r="K948" s="3"/>
      <c r="L948" s="3"/>
      <c r="M948" s="3"/>
      <c r="N948" s="3"/>
      <c r="O948" s="3"/>
      <c r="P948" s="3"/>
      <c r="Q948" s="3"/>
      <c r="R948" s="3"/>
      <c r="S948" s="3"/>
      <c r="T948" s="3"/>
      <c r="U948" s="3"/>
      <c r="V948" s="3"/>
      <c r="W948" s="3"/>
      <c r="X948" s="3"/>
      <c r="Y948" s="3"/>
      <c r="Z948" s="3"/>
      <c r="AA948" s="3"/>
      <c r="AB948" s="3"/>
      <c r="AC948" s="3"/>
      <c r="AD948" s="3"/>
      <c r="AE948" s="3"/>
      <c r="AF948" s="3"/>
      <c r="AG948" s="3"/>
      <c r="AH948" s="3"/>
      <c r="AI948" s="3"/>
      <c r="AJ948" s="3"/>
      <c r="AK948" s="3"/>
      <c r="AL948" s="3"/>
      <c r="AM948" s="3"/>
      <c r="AN948" s="3"/>
      <c r="AO948" s="3"/>
      <c r="AP948" s="3"/>
      <c r="AQ948" s="3"/>
      <c r="AR948" s="3"/>
      <c r="AS948" s="3"/>
      <c r="AT948" s="3"/>
      <c r="AU948" s="3"/>
      <c r="AV948" s="3"/>
      <c r="AW948" s="3"/>
      <c r="AX948" s="3"/>
      <c r="AY948" s="3"/>
      <c r="AZ948" s="3"/>
    </row>
    <row r="949" spans="1:52" ht="18" customHeight="1" x14ac:dyDescent="0.2">
      <c r="A949" s="3" t="str">
        <f t="shared" si="14"/>
        <v xml:space="preserve">                                                  </v>
      </c>
      <c r="B949" s="20" t="s">
        <v>174</v>
      </c>
      <c r="C949" s="3"/>
      <c r="D949" s="3"/>
      <c r="E949" s="3"/>
      <c r="F949" s="3"/>
      <c r="G949" s="3"/>
      <c r="H949" s="3"/>
      <c r="I949" s="3"/>
      <c r="J949" s="3"/>
      <c r="K949" s="3"/>
      <c r="L949" s="3"/>
      <c r="M949" s="3"/>
      <c r="N949" s="3"/>
      <c r="O949" s="3"/>
      <c r="P949" s="3"/>
      <c r="Q949" s="3"/>
      <c r="R949" s="3"/>
      <c r="S949" s="3"/>
      <c r="T949" s="3"/>
      <c r="U949" s="3"/>
      <c r="V949" s="3"/>
      <c r="W949" s="3"/>
      <c r="X949" s="3"/>
      <c r="Y949" s="3"/>
      <c r="Z949" s="3"/>
      <c r="AA949" s="3"/>
      <c r="AB949" s="3"/>
      <c r="AC949" s="3"/>
      <c r="AD949" s="3"/>
      <c r="AE949" s="3"/>
      <c r="AF949" s="3"/>
      <c r="AG949" s="3"/>
      <c r="AH949" s="3"/>
      <c r="AI949" s="3"/>
      <c r="AJ949" s="3"/>
      <c r="AK949" s="3"/>
      <c r="AL949" s="3"/>
      <c r="AM949" s="3"/>
      <c r="AN949" s="3"/>
      <c r="AO949" s="3"/>
      <c r="AP949" s="3"/>
      <c r="AQ949" s="3"/>
      <c r="AR949" s="3"/>
      <c r="AS949" s="3"/>
      <c r="AT949" s="3"/>
      <c r="AU949" s="3"/>
      <c r="AV949" s="3"/>
      <c r="AW949" s="3"/>
      <c r="AX949" s="3"/>
      <c r="AY949" s="3"/>
      <c r="AZ949" s="3"/>
    </row>
    <row r="950" spans="1:52" ht="18" customHeight="1" x14ac:dyDescent="0.2">
      <c r="A950" s="3" t="str">
        <f t="shared" si="14"/>
        <v xml:space="preserve">                                                  </v>
      </c>
      <c r="B950" s="20" t="s">
        <v>174</v>
      </c>
      <c r="C950" s="3"/>
      <c r="D950" s="3"/>
      <c r="E950" s="3"/>
      <c r="F950" s="3"/>
      <c r="G950" s="3"/>
      <c r="H950" s="3"/>
      <c r="I950" s="3"/>
      <c r="J950" s="3"/>
      <c r="K950" s="3"/>
      <c r="L950" s="3"/>
      <c r="M950" s="3"/>
      <c r="N950" s="3"/>
      <c r="O950" s="3"/>
      <c r="P950" s="3"/>
      <c r="Q950" s="3"/>
      <c r="R950" s="3"/>
      <c r="S950" s="3"/>
      <c r="T950" s="3"/>
      <c r="U950" s="3"/>
      <c r="V950" s="3"/>
      <c r="W950" s="3"/>
      <c r="X950" s="3"/>
      <c r="Y950" s="3"/>
      <c r="Z950" s="3"/>
      <c r="AA950" s="3"/>
      <c r="AB950" s="3"/>
      <c r="AC950" s="3"/>
      <c r="AD950" s="3"/>
      <c r="AE950" s="3"/>
      <c r="AF950" s="3"/>
      <c r="AG950" s="3"/>
      <c r="AH950" s="3"/>
      <c r="AI950" s="3"/>
      <c r="AJ950" s="3"/>
      <c r="AK950" s="3"/>
      <c r="AL950" s="3"/>
      <c r="AM950" s="3"/>
      <c r="AN950" s="3"/>
      <c r="AO950" s="3"/>
      <c r="AP950" s="3"/>
      <c r="AQ950" s="3"/>
      <c r="AR950" s="3"/>
      <c r="AS950" s="3"/>
      <c r="AT950" s="3"/>
      <c r="AU950" s="3"/>
      <c r="AV950" s="3"/>
      <c r="AW950" s="3"/>
      <c r="AX950" s="3"/>
      <c r="AY950" s="3"/>
      <c r="AZ950" s="3"/>
    </row>
    <row r="951" spans="1:52" ht="18" customHeight="1" x14ac:dyDescent="0.2">
      <c r="A951" s="3" t="str">
        <f t="shared" si="14"/>
        <v xml:space="preserve">                                                  </v>
      </c>
      <c r="B951" s="20" t="s">
        <v>174</v>
      </c>
      <c r="C951" s="3"/>
      <c r="D951" s="3"/>
      <c r="E951" s="3"/>
      <c r="F951" s="3"/>
      <c r="G951" s="3"/>
      <c r="H951" s="3"/>
      <c r="I951" s="3"/>
      <c r="J951" s="3"/>
      <c r="K951" s="3"/>
      <c r="L951" s="3"/>
      <c r="M951" s="3"/>
      <c r="N951" s="3"/>
      <c r="O951" s="3"/>
      <c r="P951" s="3"/>
      <c r="Q951" s="3"/>
      <c r="R951" s="3"/>
      <c r="S951" s="3"/>
      <c r="T951" s="3"/>
      <c r="U951" s="3"/>
      <c r="V951" s="3"/>
      <c r="W951" s="3"/>
      <c r="X951" s="3"/>
      <c r="Y951" s="3"/>
      <c r="Z951" s="3"/>
      <c r="AA951" s="3"/>
      <c r="AB951" s="3"/>
      <c r="AC951" s="3"/>
      <c r="AD951" s="3"/>
      <c r="AE951" s="3"/>
      <c r="AF951" s="3"/>
      <c r="AG951" s="3"/>
      <c r="AH951" s="3"/>
      <c r="AI951" s="3"/>
      <c r="AJ951" s="3"/>
      <c r="AK951" s="3"/>
      <c r="AL951" s="3"/>
      <c r="AM951" s="3"/>
      <c r="AN951" s="3"/>
      <c r="AO951" s="3"/>
      <c r="AP951" s="3"/>
      <c r="AQ951" s="3"/>
      <c r="AR951" s="3"/>
      <c r="AS951" s="3"/>
      <c r="AT951" s="3"/>
      <c r="AU951" s="3"/>
      <c r="AV951" s="3"/>
      <c r="AW951" s="3"/>
      <c r="AX951" s="3"/>
      <c r="AY951" s="3"/>
      <c r="AZ951" s="3"/>
    </row>
    <row r="952" spans="1:52" ht="18" customHeight="1" x14ac:dyDescent="0.2">
      <c r="A952" s="3" t="str">
        <f t="shared" si="14"/>
        <v xml:space="preserve">                                                  </v>
      </c>
      <c r="B952" s="20" t="s">
        <v>174</v>
      </c>
      <c r="C952" s="3"/>
      <c r="D952" s="3"/>
      <c r="E952" s="3"/>
      <c r="F952" s="3"/>
      <c r="G952" s="3"/>
      <c r="H952" s="3"/>
      <c r="I952" s="3"/>
      <c r="J952" s="3"/>
      <c r="K952" s="3"/>
      <c r="L952" s="3"/>
      <c r="M952" s="3"/>
      <c r="N952" s="3"/>
      <c r="O952" s="3"/>
      <c r="P952" s="3"/>
      <c r="Q952" s="3"/>
      <c r="R952" s="3"/>
      <c r="S952" s="3"/>
      <c r="T952" s="3"/>
      <c r="U952" s="3"/>
      <c r="V952" s="3"/>
      <c r="W952" s="3"/>
      <c r="X952" s="3"/>
      <c r="Y952" s="3"/>
      <c r="Z952" s="3"/>
      <c r="AA952" s="3"/>
      <c r="AB952" s="3"/>
      <c r="AC952" s="3"/>
      <c r="AD952" s="3"/>
      <c r="AE952" s="3"/>
      <c r="AF952" s="3"/>
      <c r="AG952" s="3"/>
      <c r="AH952" s="3"/>
      <c r="AI952" s="3"/>
      <c r="AJ952" s="3"/>
      <c r="AK952" s="3"/>
      <c r="AL952" s="3"/>
      <c r="AM952" s="3"/>
      <c r="AN952" s="3"/>
      <c r="AO952" s="3"/>
      <c r="AP952" s="3"/>
      <c r="AQ952" s="3"/>
      <c r="AR952" s="3"/>
      <c r="AS952" s="3"/>
      <c r="AT952" s="3"/>
      <c r="AU952" s="3"/>
      <c r="AV952" s="3"/>
      <c r="AW952" s="3"/>
      <c r="AX952" s="3"/>
      <c r="AY952" s="3"/>
      <c r="AZ952" s="3"/>
    </row>
    <row r="953" spans="1:52" ht="18" customHeight="1" x14ac:dyDescent="0.2">
      <c r="A953" s="3" t="str">
        <f t="shared" si="14"/>
        <v xml:space="preserve">                                                  </v>
      </c>
      <c r="B953" s="20" t="s">
        <v>174</v>
      </c>
      <c r="C953" s="3"/>
      <c r="D953" s="3"/>
      <c r="E953" s="3"/>
      <c r="F953" s="3"/>
      <c r="G953" s="3"/>
      <c r="H953" s="3"/>
      <c r="I953" s="3"/>
      <c r="J953" s="3"/>
      <c r="K953" s="3"/>
      <c r="L953" s="3"/>
      <c r="M953" s="3"/>
      <c r="N953" s="3"/>
      <c r="O953" s="3"/>
      <c r="P953" s="3"/>
      <c r="Q953" s="3"/>
      <c r="R953" s="3"/>
      <c r="S953" s="3"/>
      <c r="T953" s="3"/>
      <c r="U953" s="3"/>
      <c r="V953" s="3"/>
      <c r="W953" s="3"/>
      <c r="X953" s="3"/>
      <c r="Y953" s="3"/>
      <c r="Z953" s="3"/>
      <c r="AA953" s="3"/>
      <c r="AB953" s="3"/>
      <c r="AC953" s="3"/>
      <c r="AD953" s="3"/>
      <c r="AE953" s="3"/>
      <c r="AF953" s="3"/>
      <c r="AG953" s="3"/>
      <c r="AH953" s="3"/>
      <c r="AI953" s="3"/>
      <c r="AJ953" s="3"/>
      <c r="AK953" s="3"/>
      <c r="AL953" s="3"/>
      <c r="AM953" s="3"/>
      <c r="AN953" s="3"/>
      <c r="AO953" s="3"/>
      <c r="AP953" s="3"/>
      <c r="AQ953" s="3"/>
      <c r="AR953" s="3"/>
      <c r="AS953" s="3"/>
      <c r="AT953" s="3"/>
      <c r="AU953" s="3"/>
      <c r="AV953" s="3"/>
      <c r="AW953" s="3"/>
      <c r="AX953" s="3"/>
      <c r="AY953" s="3"/>
      <c r="AZ953" s="3"/>
    </row>
    <row r="954" spans="1:52" ht="18" customHeight="1" x14ac:dyDescent="0.2">
      <c r="A954" s="3" t="str">
        <f t="shared" si="14"/>
        <v xml:space="preserve">                                                  </v>
      </c>
      <c r="B954" s="20" t="s">
        <v>174</v>
      </c>
      <c r="C954" s="3"/>
      <c r="D954" s="3"/>
      <c r="E954" s="3"/>
      <c r="F954" s="3"/>
      <c r="G954" s="3"/>
      <c r="H954" s="3"/>
      <c r="I954" s="3"/>
      <c r="J954" s="3"/>
      <c r="K954" s="3"/>
      <c r="L954" s="3"/>
      <c r="M954" s="3"/>
      <c r="N954" s="3"/>
      <c r="O954" s="3"/>
      <c r="P954" s="3"/>
      <c r="Q954" s="3"/>
      <c r="R954" s="3"/>
      <c r="S954" s="3"/>
      <c r="T954" s="3"/>
      <c r="U954" s="3"/>
      <c r="V954" s="3"/>
      <c r="W954" s="3"/>
      <c r="X954" s="3"/>
      <c r="Y954" s="3"/>
      <c r="Z954" s="3"/>
      <c r="AA954" s="3"/>
      <c r="AB954" s="3"/>
      <c r="AC954" s="3"/>
      <c r="AD954" s="3"/>
      <c r="AE954" s="3"/>
      <c r="AF954" s="3"/>
      <c r="AG954" s="3"/>
      <c r="AH954" s="3"/>
      <c r="AI954" s="3"/>
      <c r="AJ954" s="3"/>
      <c r="AK954" s="3"/>
      <c r="AL954" s="3"/>
      <c r="AM954" s="3"/>
      <c r="AN954" s="3"/>
      <c r="AO954" s="3"/>
      <c r="AP954" s="3"/>
      <c r="AQ954" s="3"/>
      <c r="AR954" s="3"/>
      <c r="AS954" s="3"/>
      <c r="AT954" s="3"/>
      <c r="AU954" s="3"/>
      <c r="AV954" s="3"/>
      <c r="AW954" s="3"/>
      <c r="AX954" s="3"/>
      <c r="AY954" s="3"/>
      <c r="AZ954" s="3"/>
    </row>
    <row r="955" spans="1:52" ht="18" customHeight="1" x14ac:dyDescent="0.2">
      <c r="A955" s="3" t="str">
        <f t="shared" si="14"/>
        <v xml:space="preserve">                                                  </v>
      </c>
      <c r="B955" s="20" t="s">
        <v>174</v>
      </c>
      <c r="C955" s="3"/>
      <c r="D955" s="3"/>
      <c r="E955" s="3"/>
      <c r="F955" s="3"/>
      <c r="G955" s="3"/>
      <c r="H955" s="3"/>
      <c r="I955" s="3"/>
      <c r="J955" s="3"/>
      <c r="K955" s="3"/>
      <c r="L955" s="3"/>
      <c r="M955" s="3"/>
      <c r="N955" s="3"/>
      <c r="O955" s="3"/>
      <c r="P955" s="3"/>
      <c r="Q955" s="3"/>
      <c r="R955" s="3"/>
      <c r="S955" s="3"/>
      <c r="T955" s="3"/>
      <c r="U955" s="3"/>
      <c r="V955" s="3"/>
      <c r="W955" s="3"/>
      <c r="X955" s="3"/>
      <c r="Y955" s="3"/>
      <c r="Z955" s="3"/>
      <c r="AA955" s="3"/>
      <c r="AB955" s="3"/>
      <c r="AC955" s="3"/>
      <c r="AD955" s="3"/>
      <c r="AE955" s="3"/>
      <c r="AF955" s="3"/>
      <c r="AG955" s="3"/>
      <c r="AH955" s="3"/>
      <c r="AI955" s="3"/>
      <c r="AJ955" s="3"/>
      <c r="AK955" s="3"/>
      <c r="AL955" s="3"/>
      <c r="AM955" s="3"/>
      <c r="AN955" s="3"/>
      <c r="AO955" s="3"/>
      <c r="AP955" s="3"/>
      <c r="AQ955" s="3"/>
      <c r="AR955" s="3"/>
      <c r="AS955" s="3"/>
      <c r="AT955" s="3"/>
      <c r="AU955" s="3"/>
      <c r="AV955" s="3"/>
      <c r="AW955" s="3"/>
      <c r="AX955" s="3"/>
      <c r="AY955" s="3"/>
      <c r="AZ955" s="3"/>
    </row>
    <row r="956" spans="1:52" ht="18" customHeight="1" x14ac:dyDescent="0.2">
      <c r="A956" s="3" t="str">
        <f t="shared" si="14"/>
        <v xml:space="preserve">                                                  </v>
      </c>
      <c r="B956" s="20" t="s">
        <v>174</v>
      </c>
      <c r="C956" s="3"/>
      <c r="D956" s="3"/>
      <c r="E956" s="3"/>
      <c r="F956" s="3"/>
      <c r="G956" s="3"/>
      <c r="H956" s="3"/>
      <c r="I956" s="3"/>
      <c r="J956" s="3"/>
      <c r="K956" s="3"/>
      <c r="L956" s="3"/>
      <c r="M956" s="3"/>
      <c r="N956" s="3"/>
      <c r="O956" s="3"/>
      <c r="P956" s="3"/>
      <c r="Q956" s="3"/>
      <c r="R956" s="3"/>
      <c r="S956" s="3"/>
      <c r="T956" s="3"/>
      <c r="U956" s="3"/>
      <c r="V956" s="3"/>
      <c r="W956" s="3"/>
      <c r="X956" s="3"/>
      <c r="Y956" s="3"/>
      <c r="Z956" s="3"/>
      <c r="AA956" s="3"/>
      <c r="AB956" s="3"/>
      <c r="AC956" s="3"/>
      <c r="AD956" s="3"/>
      <c r="AE956" s="3"/>
      <c r="AF956" s="3"/>
      <c r="AG956" s="3"/>
      <c r="AH956" s="3"/>
      <c r="AI956" s="3"/>
      <c r="AJ956" s="3"/>
      <c r="AK956" s="3"/>
      <c r="AL956" s="3"/>
      <c r="AM956" s="3"/>
      <c r="AN956" s="3"/>
      <c r="AO956" s="3"/>
      <c r="AP956" s="3"/>
      <c r="AQ956" s="3"/>
      <c r="AR956" s="3"/>
      <c r="AS956" s="3"/>
      <c r="AT956" s="3"/>
      <c r="AU956" s="3"/>
      <c r="AV956" s="3"/>
      <c r="AW956" s="3"/>
      <c r="AX956" s="3"/>
      <c r="AY956" s="3"/>
      <c r="AZ956" s="3"/>
    </row>
    <row r="957" spans="1:52" ht="18" customHeight="1" x14ac:dyDescent="0.2">
      <c r="A957" s="3" t="str">
        <f t="shared" si="14"/>
        <v xml:space="preserve">                                                  </v>
      </c>
      <c r="B957" s="20" t="s">
        <v>174</v>
      </c>
      <c r="C957" s="3"/>
      <c r="D957" s="3"/>
      <c r="E957" s="3"/>
      <c r="F957" s="3"/>
      <c r="G957" s="3"/>
      <c r="H957" s="3"/>
      <c r="I957" s="3"/>
      <c r="J957" s="3"/>
      <c r="K957" s="3"/>
      <c r="L957" s="3"/>
      <c r="M957" s="3"/>
      <c r="N957" s="3"/>
      <c r="O957" s="3"/>
      <c r="P957" s="3"/>
      <c r="Q957" s="3"/>
      <c r="R957" s="3"/>
      <c r="S957" s="3"/>
      <c r="T957" s="3"/>
      <c r="U957" s="3"/>
      <c r="V957" s="3"/>
      <c r="W957" s="3"/>
      <c r="X957" s="3"/>
      <c r="Y957" s="3"/>
      <c r="Z957" s="3"/>
      <c r="AA957" s="3"/>
      <c r="AB957" s="3"/>
      <c r="AC957" s="3"/>
      <c r="AD957" s="3"/>
      <c r="AE957" s="3"/>
      <c r="AF957" s="3"/>
      <c r="AG957" s="3"/>
      <c r="AH957" s="3"/>
      <c r="AI957" s="3"/>
      <c r="AJ957" s="3"/>
      <c r="AK957" s="3"/>
      <c r="AL957" s="3"/>
      <c r="AM957" s="3"/>
      <c r="AN957" s="3"/>
      <c r="AO957" s="3"/>
      <c r="AP957" s="3"/>
      <c r="AQ957" s="3"/>
      <c r="AR957" s="3"/>
      <c r="AS957" s="3"/>
      <c r="AT957" s="3"/>
      <c r="AU957" s="3"/>
      <c r="AV957" s="3"/>
      <c r="AW957" s="3"/>
      <c r="AX957" s="3"/>
      <c r="AY957" s="3"/>
      <c r="AZ957" s="3"/>
    </row>
    <row r="958" spans="1:52" ht="18" customHeight="1" x14ac:dyDescent="0.2">
      <c r="A958" s="3" t="str">
        <f t="shared" si="14"/>
        <v xml:space="preserve">                                                  </v>
      </c>
      <c r="B958" s="20" t="s">
        <v>174</v>
      </c>
      <c r="C958" s="3"/>
      <c r="D958" s="3"/>
      <c r="E958" s="3"/>
      <c r="F958" s="3"/>
      <c r="G958" s="3"/>
      <c r="H958" s="3"/>
      <c r="I958" s="3"/>
      <c r="J958" s="3"/>
      <c r="K958" s="3"/>
      <c r="L958" s="3"/>
      <c r="M958" s="3"/>
      <c r="N958" s="3"/>
      <c r="O958" s="3"/>
      <c r="P958" s="3"/>
      <c r="Q958" s="3"/>
      <c r="R958" s="3"/>
      <c r="S958" s="3"/>
      <c r="T958" s="3"/>
      <c r="U958" s="3"/>
      <c r="V958" s="3"/>
      <c r="W958" s="3"/>
      <c r="X958" s="3"/>
      <c r="Y958" s="3"/>
      <c r="Z958" s="3"/>
      <c r="AA958" s="3"/>
      <c r="AB958" s="3"/>
      <c r="AC958" s="3"/>
      <c r="AD958" s="3"/>
      <c r="AE958" s="3"/>
      <c r="AF958" s="3"/>
      <c r="AG958" s="3"/>
      <c r="AH958" s="3"/>
      <c r="AI958" s="3"/>
      <c r="AJ958" s="3"/>
      <c r="AK958" s="3"/>
      <c r="AL958" s="3"/>
      <c r="AM958" s="3"/>
      <c r="AN958" s="3"/>
      <c r="AO958" s="3"/>
      <c r="AP958" s="3"/>
      <c r="AQ958" s="3"/>
      <c r="AR958" s="3"/>
      <c r="AS958" s="3"/>
      <c r="AT958" s="3"/>
      <c r="AU958" s="3"/>
      <c r="AV958" s="3"/>
      <c r="AW958" s="3"/>
      <c r="AX958" s="3"/>
      <c r="AY958" s="3"/>
      <c r="AZ958" s="3"/>
    </row>
    <row r="959" spans="1:52" ht="18" customHeight="1" x14ac:dyDescent="0.2">
      <c r="A959" s="3" t="str">
        <f t="shared" si="14"/>
        <v xml:space="preserve">                                                  </v>
      </c>
      <c r="B959" s="20" t="s">
        <v>174</v>
      </c>
      <c r="C959" s="3"/>
      <c r="D959" s="3"/>
      <c r="E959" s="3"/>
      <c r="F959" s="3"/>
      <c r="G959" s="3"/>
      <c r="H959" s="3"/>
      <c r="I959" s="3"/>
      <c r="J959" s="3"/>
      <c r="K959" s="3"/>
      <c r="L959" s="3"/>
      <c r="M959" s="3"/>
      <c r="N959" s="3"/>
      <c r="O959" s="3"/>
      <c r="P959" s="3"/>
      <c r="Q959" s="3"/>
      <c r="R959" s="3"/>
      <c r="S959" s="3"/>
      <c r="T959" s="3"/>
      <c r="U959" s="3"/>
      <c r="V959" s="3"/>
      <c r="W959" s="3"/>
      <c r="X959" s="3"/>
      <c r="Y959" s="3"/>
      <c r="Z959" s="3"/>
      <c r="AA959" s="3"/>
      <c r="AB959" s="3"/>
      <c r="AC959" s="3"/>
      <c r="AD959" s="3"/>
      <c r="AE959" s="3"/>
      <c r="AF959" s="3"/>
      <c r="AG959" s="3"/>
      <c r="AH959" s="3"/>
      <c r="AI959" s="3"/>
      <c r="AJ959" s="3"/>
      <c r="AK959" s="3"/>
      <c r="AL959" s="3"/>
      <c r="AM959" s="3"/>
      <c r="AN959" s="3"/>
      <c r="AO959" s="3"/>
      <c r="AP959" s="3"/>
      <c r="AQ959" s="3"/>
      <c r="AR959" s="3"/>
      <c r="AS959" s="3"/>
      <c r="AT959" s="3"/>
      <c r="AU959" s="3"/>
      <c r="AV959" s="3"/>
      <c r="AW959" s="3"/>
      <c r="AX959" s="3"/>
      <c r="AY959" s="3"/>
      <c r="AZ959" s="3"/>
    </row>
    <row r="960" spans="1:52" ht="18" customHeight="1" x14ac:dyDescent="0.2">
      <c r="A960" s="3" t="str">
        <f t="shared" si="14"/>
        <v xml:space="preserve">                                                  </v>
      </c>
      <c r="B960" s="20" t="s">
        <v>174</v>
      </c>
      <c r="C960" s="3"/>
      <c r="D960" s="3"/>
      <c r="E960" s="3"/>
      <c r="F960" s="3"/>
      <c r="G960" s="3"/>
      <c r="H960" s="3"/>
      <c r="I960" s="3"/>
      <c r="J960" s="3"/>
      <c r="K960" s="3"/>
      <c r="L960" s="3"/>
      <c r="M960" s="3"/>
      <c r="N960" s="3"/>
      <c r="O960" s="3"/>
      <c r="P960" s="3"/>
      <c r="Q960" s="3"/>
      <c r="R960" s="3"/>
      <c r="S960" s="3"/>
      <c r="T960" s="3"/>
      <c r="U960" s="3"/>
      <c r="V960" s="3"/>
      <c r="W960" s="3"/>
      <c r="X960" s="3"/>
      <c r="Y960" s="3"/>
      <c r="Z960" s="3"/>
      <c r="AA960" s="3"/>
      <c r="AB960" s="3"/>
      <c r="AC960" s="3"/>
      <c r="AD960" s="3"/>
      <c r="AE960" s="3"/>
      <c r="AF960" s="3"/>
      <c r="AG960" s="3"/>
      <c r="AH960" s="3"/>
      <c r="AI960" s="3"/>
      <c r="AJ960" s="3"/>
      <c r="AK960" s="3"/>
      <c r="AL960" s="3"/>
      <c r="AM960" s="3"/>
      <c r="AN960" s="3"/>
      <c r="AO960" s="3"/>
      <c r="AP960" s="3"/>
      <c r="AQ960" s="3"/>
      <c r="AR960" s="3"/>
      <c r="AS960" s="3"/>
      <c r="AT960" s="3"/>
      <c r="AU960" s="3"/>
      <c r="AV960" s="3"/>
      <c r="AW960" s="3"/>
      <c r="AX960" s="3"/>
      <c r="AY960" s="3"/>
      <c r="AZ960" s="3"/>
    </row>
    <row r="961" spans="1:52" ht="18" customHeight="1" x14ac:dyDescent="0.2">
      <c r="A961" s="3" t="str">
        <f t="shared" si="14"/>
        <v xml:space="preserve">                                                  </v>
      </c>
      <c r="B961" s="20" t="s">
        <v>174</v>
      </c>
      <c r="C961" s="3"/>
      <c r="D961" s="3"/>
      <c r="E961" s="3"/>
      <c r="F961" s="3"/>
      <c r="G961" s="3"/>
      <c r="H961" s="3"/>
      <c r="I961" s="3"/>
      <c r="J961" s="3"/>
      <c r="K961" s="3"/>
      <c r="L961" s="3"/>
      <c r="M961" s="3"/>
      <c r="N961" s="3"/>
      <c r="O961" s="3"/>
      <c r="P961" s="3"/>
      <c r="Q961" s="3"/>
      <c r="R961" s="3"/>
      <c r="S961" s="3"/>
      <c r="T961" s="3"/>
      <c r="U961" s="3"/>
      <c r="V961" s="3"/>
      <c r="W961" s="3"/>
      <c r="X961" s="3"/>
      <c r="Y961" s="3"/>
      <c r="Z961" s="3"/>
      <c r="AA961" s="3"/>
      <c r="AB961" s="3"/>
      <c r="AC961" s="3"/>
      <c r="AD961" s="3"/>
      <c r="AE961" s="3"/>
      <c r="AF961" s="3"/>
      <c r="AG961" s="3"/>
      <c r="AH961" s="3"/>
      <c r="AI961" s="3"/>
      <c r="AJ961" s="3"/>
      <c r="AK961" s="3"/>
      <c r="AL961" s="3"/>
      <c r="AM961" s="3"/>
      <c r="AN961" s="3"/>
      <c r="AO961" s="3"/>
      <c r="AP961" s="3"/>
      <c r="AQ961" s="3"/>
      <c r="AR961" s="3"/>
      <c r="AS961" s="3"/>
      <c r="AT961" s="3"/>
      <c r="AU961" s="3"/>
      <c r="AV961" s="3"/>
      <c r="AW961" s="3"/>
      <c r="AX961" s="3"/>
      <c r="AY961" s="3"/>
      <c r="AZ961" s="3"/>
    </row>
    <row r="962" spans="1:52" ht="18" customHeight="1" x14ac:dyDescent="0.2">
      <c r="A962" s="3" t="str">
        <f t="shared" si="14"/>
        <v xml:space="preserve">                                                  </v>
      </c>
      <c r="B962" s="20" t="s">
        <v>174</v>
      </c>
      <c r="C962" s="3"/>
      <c r="D962" s="3"/>
      <c r="E962" s="3"/>
      <c r="F962" s="3"/>
      <c r="G962" s="3"/>
      <c r="H962" s="3"/>
      <c r="I962" s="3"/>
      <c r="J962" s="3"/>
      <c r="K962" s="3"/>
      <c r="L962" s="3"/>
      <c r="M962" s="3"/>
      <c r="N962" s="3"/>
      <c r="O962" s="3"/>
      <c r="P962" s="3"/>
      <c r="Q962" s="3"/>
      <c r="R962" s="3"/>
      <c r="S962" s="3"/>
      <c r="T962" s="3"/>
      <c r="U962" s="3"/>
      <c r="V962" s="3"/>
      <c r="W962" s="3"/>
      <c r="X962" s="3"/>
      <c r="Y962" s="3"/>
      <c r="Z962" s="3"/>
      <c r="AA962" s="3"/>
      <c r="AB962" s="3"/>
      <c r="AC962" s="3"/>
      <c r="AD962" s="3"/>
      <c r="AE962" s="3"/>
      <c r="AF962" s="3"/>
      <c r="AG962" s="3"/>
      <c r="AH962" s="3"/>
      <c r="AI962" s="3"/>
      <c r="AJ962" s="3"/>
      <c r="AK962" s="3"/>
      <c r="AL962" s="3"/>
      <c r="AM962" s="3"/>
      <c r="AN962" s="3"/>
      <c r="AO962" s="3"/>
      <c r="AP962" s="3"/>
      <c r="AQ962" s="3"/>
      <c r="AR962" s="3"/>
      <c r="AS962" s="3"/>
      <c r="AT962" s="3"/>
      <c r="AU962" s="3"/>
      <c r="AV962" s="3"/>
      <c r="AW962" s="3"/>
      <c r="AX962" s="3"/>
      <c r="AY962" s="3"/>
      <c r="AZ962" s="3"/>
    </row>
    <row r="963" spans="1:52" ht="18" customHeight="1" x14ac:dyDescent="0.2">
      <c r="A963" s="3" t="str">
        <f t="shared" si="14"/>
        <v xml:space="preserve">                                                  </v>
      </c>
      <c r="B963" s="20" t="s">
        <v>174</v>
      </c>
      <c r="C963" s="3"/>
      <c r="D963" s="3"/>
      <c r="E963" s="3"/>
      <c r="F963" s="3"/>
      <c r="G963" s="3"/>
      <c r="H963" s="3"/>
      <c r="I963" s="3"/>
      <c r="J963" s="3"/>
      <c r="K963" s="3"/>
      <c r="L963" s="3"/>
      <c r="M963" s="3"/>
      <c r="N963" s="3"/>
      <c r="O963" s="3"/>
      <c r="P963" s="3"/>
      <c r="Q963" s="3"/>
      <c r="R963" s="3"/>
      <c r="S963" s="3"/>
      <c r="T963" s="3"/>
      <c r="U963" s="3"/>
      <c r="V963" s="3"/>
      <c r="W963" s="3"/>
      <c r="X963" s="3"/>
      <c r="Y963" s="3"/>
      <c r="Z963" s="3"/>
      <c r="AA963" s="3"/>
      <c r="AB963" s="3"/>
      <c r="AC963" s="3"/>
      <c r="AD963" s="3"/>
      <c r="AE963" s="3"/>
      <c r="AF963" s="3"/>
      <c r="AG963" s="3"/>
      <c r="AH963" s="3"/>
      <c r="AI963" s="3"/>
      <c r="AJ963" s="3"/>
      <c r="AK963" s="3"/>
      <c r="AL963" s="3"/>
      <c r="AM963" s="3"/>
      <c r="AN963" s="3"/>
      <c r="AO963" s="3"/>
      <c r="AP963" s="3"/>
      <c r="AQ963" s="3"/>
      <c r="AR963" s="3"/>
      <c r="AS963" s="3"/>
      <c r="AT963" s="3"/>
      <c r="AU963" s="3"/>
      <c r="AV963" s="3"/>
      <c r="AW963" s="3"/>
      <c r="AX963" s="3"/>
      <c r="AY963" s="3"/>
      <c r="AZ963" s="3"/>
    </row>
    <row r="964" spans="1:52" ht="18" customHeight="1" x14ac:dyDescent="0.2">
      <c r="A964" s="3" t="str">
        <f t="shared" ref="A964:A1000" si="15">CONCATENATE(C964," ",D964," ",E964," ",F964," ",G964," ",H964," ",I964," ",J964," ",K964," ",L964," ",M964," ",N964," ",O964," ",P964," ",Q964," ",R964," ",S964," ",T964," ",U964," ",V964," ",W964," ",X964," ",Y964," ",Z964," ",AA964," ",AB964," ",AC964," ",AD964," ",AE964," ",AF964," ",AG964," ",AH964," ",AI964," ",AJ964," ",AK964," ",AL964," ",AM964," ",AN964," ",AO964," ",AP964," ",AQ964," ",AR964," ",AS964," ",AT964," ",AU964," ",AV964," ",AW964," ",AX964," ",AY964," ",AZ964," ",
)</f>
        <v xml:space="preserve">                                                  </v>
      </c>
      <c r="B964" s="20" t="s">
        <v>174</v>
      </c>
      <c r="C964" s="3"/>
      <c r="D964" s="3"/>
      <c r="E964" s="3"/>
      <c r="F964" s="3"/>
      <c r="G964" s="3"/>
      <c r="H964" s="3"/>
      <c r="I964" s="3"/>
      <c r="J964" s="3"/>
      <c r="K964" s="3"/>
      <c r="L964" s="3"/>
      <c r="M964" s="3"/>
      <c r="N964" s="3"/>
      <c r="O964" s="3"/>
      <c r="P964" s="3"/>
      <c r="Q964" s="3"/>
      <c r="R964" s="3"/>
      <c r="S964" s="3"/>
      <c r="T964" s="3"/>
      <c r="U964" s="3"/>
      <c r="V964" s="3"/>
      <c r="W964" s="3"/>
      <c r="X964" s="3"/>
      <c r="Y964" s="3"/>
      <c r="Z964" s="3"/>
      <c r="AA964" s="3"/>
      <c r="AB964" s="3"/>
      <c r="AC964" s="3"/>
      <c r="AD964" s="3"/>
      <c r="AE964" s="3"/>
      <c r="AF964" s="3"/>
      <c r="AG964" s="3"/>
      <c r="AH964" s="3"/>
      <c r="AI964" s="3"/>
      <c r="AJ964" s="3"/>
      <c r="AK964" s="3"/>
      <c r="AL964" s="3"/>
      <c r="AM964" s="3"/>
      <c r="AN964" s="3"/>
      <c r="AO964" s="3"/>
      <c r="AP964" s="3"/>
      <c r="AQ964" s="3"/>
      <c r="AR964" s="3"/>
      <c r="AS964" s="3"/>
      <c r="AT964" s="3"/>
      <c r="AU964" s="3"/>
      <c r="AV964" s="3"/>
      <c r="AW964" s="3"/>
      <c r="AX964" s="3"/>
      <c r="AY964" s="3"/>
      <c r="AZ964" s="3"/>
    </row>
    <row r="965" spans="1:52" ht="18" customHeight="1" x14ac:dyDescent="0.2">
      <c r="A965" s="3" t="str">
        <f t="shared" si="15"/>
        <v xml:space="preserve">                                                  </v>
      </c>
      <c r="B965" s="20" t="s">
        <v>174</v>
      </c>
      <c r="C965" s="3"/>
      <c r="D965" s="3"/>
      <c r="E965" s="3"/>
      <c r="F965" s="3"/>
      <c r="G965" s="3"/>
      <c r="H965" s="3"/>
      <c r="I965" s="3"/>
      <c r="J965" s="3"/>
      <c r="K965" s="3"/>
      <c r="L965" s="3"/>
      <c r="M965" s="3"/>
      <c r="N965" s="3"/>
      <c r="O965" s="3"/>
      <c r="P965" s="3"/>
      <c r="Q965" s="3"/>
      <c r="R965" s="3"/>
      <c r="S965" s="3"/>
      <c r="T965" s="3"/>
      <c r="U965" s="3"/>
      <c r="V965" s="3"/>
      <c r="W965" s="3"/>
      <c r="X965" s="3"/>
      <c r="Y965" s="3"/>
      <c r="Z965" s="3"/>
      <c r="AA965" s="3"/>
      <c r="AB965" s="3"/>
      <c r="AC965" s="3"/>
      <c r="AD965" s="3"/>
      <c r="AE965" s="3"/>
      <c r="AF965" s="3"/>
      <c r="AG965" s="3"/>
      <c r="AH965" s="3"/>
      <c r="AI965" s="3"/>
      <c r="AJ965" s="3"/>
      <c r="AK965" s="3"/>
      <c r="AL965" s="3"/>
      <c r="AM965" s="3"/>
      <c r="AN965" s="3"/>
      <c r="AO965" s="3"/>
      <c r="AP965" s="3"/>
      <c r="AQ965" s="3"/>
      <c r="AR965" s="3"/>
      <c r="AS965" s="3"/>
      <c r="AT965" s="3"/>
      <c r="AU965" s="3"/>
      <c r="AV965" s="3"/>
      <c r="AW965" s="3"/>
      <c r="AX965" s="3"/>
      <c r="AY965" s="3"/>
      <c r="AZ965" s="3"/>
    </row>
    <row r="966" spans="1:52" ht="18" customHeight="1" x14ac:dyDescent="0.2">
      <c r="A966" s="3" t="str">
        <f t="shared" si="15"/>
        <v xml:space="preserve">                                                  </v>
      </c>
      <c r="B966" s="20" t="s">
        <v>174</v>
      </c>
      <c r="C966" s="3"/>
      <c r="D966" s="3"/>
      <c r="E966" s="3"/>
      <c r="F966" s="3"/>
      <c r="G966" s="3"/>
      <c r="H966" s="3"/>
      <c r="I966" s="3"/>
      <c r="J966" s="3"/>
      <c r="K966" s="3"/>
      <c r="L966" s="3"/>
      <c r="M966" s="3"/>
      <c r="N966" s="3"/>
      <c r="O966" s="3"/>
      <c r="P966" s="3"/>
      <c r="Q966" s="3"/>
      <c r="R966" s="3"/>
      <c r="S966" s="3"/>
      <c r="T966" s="3"/>
      <c r="U966" s="3"/>
      <c r="V966" s="3"/>
      <c r="W966" s="3"/>
      <c r="X966" s="3"/>
      <c r="Y966" s="3"/>
      <c r="Z966" s="3"/>
      <c r="AA966" s="3"/>
      <c r="AB966" s="3"/>
      <c r="AC966" s="3"/>
      <c r="AD966" s="3"/>
      <c r="AE966" s="3"/>
      <c r="AF966" s="3"/>
      <c r="AG966" s="3"/>
      <c r="AH966" s="3"/>
      <c r="AI966" s="3"/>
      <c r="AJ966" s="3"/>
      <c r="AK966" s="3"/>
      <c r="AL966" s="3"/>
      <c r="AM966" s="3"/>
      <c r="AN966" s="3"/>
      <c r="AO966" s="3"/>
      <c r="AP966" s="3"/>
      <c r="AQ966" s="3"/>
      <c r="AR966" s="3"/>
      <c r="AS966" s="3"/>
      <c r="AT966" s="3"/>
      <c r="AU966" s="3"/>
      <c r="AV966" s="3"/>
      <c r="AW966" s="3"/>
      <c r="AX966" s="3"/>
      <c r="AY966" s="3"/>
      <c r="AZ966" s="3"/>
    </row>
    <row r="967" spans="1:52" ht="18" customHeight="1" x14ac:dyDescent="0.2">
      <c r="A967" s="3" t="str">
        <f t="shared" si="15"/>
        <v xml:space="preserve">                                                  </v>
      </c>
      <c r="B967" s="20" t="s">
        <v>174</v>
      </c>
      <c r="C967" s="3"/>
      <c r="D967" s="3"/>
      <c r="E967" s="3"/>
      <c r="F967" s="3"/>
      <c r="G967" s="3"/>
      <c r="H967" s="3"/>
      <c r="I967" s="3"/>
      <c r="J967" s="3"/>
      <c r="K967" s="3"/>
      <c r="L967" s="3"/>
      <c r="M967" s="3"/>
      <c r="N967" s="3"/>
      <c r="O967" s="3"/>
      <c r="P967" s="3"/>
      <c r="Q967" s="3"/>
      <c r="R967" s="3"/>
      <c r="S967" s="3"/>
      <c r="T967" s="3"/>
      <c r="U967" s="3"/>
      <c r="V967" s="3"/>
      <c r="W967" s="3"/>
      <c r="X967" s="3"/>
      <c r="Y967" s="3"/>
      <c r="Z967" s="3"/>
      <c r="AA967" s="3"/>
      <c r="AB967" s="3"/>
      <c r="AC967" s="3"/>
      <c r="AD967" s="3"/>
      <c r="AE967" s="3"/>
      <c r="AF967" s="3"/>
      <c r="AG967" s="3"/>
      <c r="AH967" s="3"/>
      <c r="AI967" s="3"/>
      <c r="AJ967" s="3"/>
      <c r="AK967" s="3"/>
      <c r="AL967" s="3"/>
      <c r="AM967" s="3"/>
      <c r="AN967" s="3"/>
      <c r="AO967" s="3"/>
      <c r="AP967" s="3"/>
      <c r="AQ967" s="3"/>
      <c r="AR967" s="3"/>
      <c r="AS967" s="3"/>
      <c r="AT967" s="3"/>
      <c r="AU967" s="3"/>
      <c r="AV967" s="3"/>
      <c r="AW967" s="3"/>
      <c r="AX967" s="3"/>
      <c r="AY967" s="3"/>
      <c r="AZ967" s="3"/>
    </row>
    <row r="968" spans="1:52" ht="18" customHeight="1" x14ac:dyDescent="0.2">
      <c r="A968" s="3" t="str">
        <f t="shared" si="15"/>
        <v xml:space="preserve">                                                  </v>
      </c>
      <c r="B968" s="20" t="s">
        <v>174</v>
      </c>
      <c r="C968" s="3"/>
      <c r="D968" s="3"/>
      <c r="E968" s="3"/>
      <c r="F968" s="3"/>
      <c r="G968" s="3"/>
      <c r="H968" s="3"/>
      <c r="I968" s="3"/>
      <c r="J968" s="3"/>
      <c r="K968" s="3"/>
      <c r="L968" s="3"/>
      <c r="M968" s="3"/>
      <c r="N968" s="3"/>
      <c r="O968" s="3"/>
      <c r="P968" s="3"/>
      <c r="Q968" s="3"/>
      <c r="R968" s="3"/>
      <c r="S968" s="3"/>
      <c r="T968" s="3"/>
      <c r="U968" s="3"/>
      <c r="V968" s="3"/>
      <c r="W968" s="3"/>
      <c r="X968" s="3"/>
      <c r="Y968" s="3"/>
      <c r="Z968" s="3"/>
      <c r="AA968" s="3"/>
      <c r="AB968" s="3"/>
      <c r="AC968" s="3"/>
      <c r="AD968" s="3"/>
      <c r="AE968" s="3"/>
      <c r="AF968" s="3"/>
      <c r="AG968" s="3"/>
      <c r="AH968" s="3"/>
      <c r="AI968" s="3"/>
      <c r="AJ968" s="3"/>
      <c r="AK968" s="3"/>
      <c r="AL968" s="3"/>
      <c r="AM968" s="3"/>
      <c r="AN968" s="3"/>
      <c r="AO968" s="3"/>
      <c r="AP968" s="3"/>
      <c r="AQ968" s="3"/>
      <c r="AR968" s="3"/>
      <c r="AS968" s="3"/>
      <c r="AT968" s="3"/>
      <c r="AU968" s="3"/>
      <c r="AV968" s="3"/>
      <c r="AW968" s="3"/>
      <c r="AX968" s="3"/>
      <c r="AY968" s="3"/>
      <c r="AZ968" s="3"/>
    </row>
    <row r="969" spans="1:52" ht="18" customHeight="1" x14ac:dyDescent="0.2">
      <c r="A969" s="3" t="str">
        <f t="shared" si="15"/>
        <v xml:space="preserve">                                                  </v>
      </c>
      <c r="B969" s="20" t="s">
        <v>174</v>
      </c>
      <c r="C969" s="3"/>
      <c r="D969" s="3"/>
      <c r="E969" s="3"/>
      <c r="F969" s="3"/>
      <c r="G969" s="3"/>
      <c r="H969" s="3"/>
      <c r="I969" s="3"/>
      <c r="J969" s="3"/>
      <c r="K969" s="3"/>
      <c r="L969" s="3"/>
      <c r="M969" s="3"/>
      <c r="N969" s="3"/>
      <c r="O969" s="3"/>
      <c r="P969" s="3"/>
      <c r="Q969" s="3"/>
      <c r="R969" s="3"/>
      <c r="S969" s="3"/>
      <c r="T969" s="3"/>
      <c r="U969" s="3"/>
      <c r="V969" s="3"/>
      <c r="W969" s="3"/>
      <c r="X969" s="3"/>
      <c r="Y969" s="3"/>
      <c r="Z969" s="3"/>
      <c r="AA969" s="3"/>
      <c r="AB969" s="3"/>
      <c r="AC969" s="3"/>
      <c r="AD969" s="3"/>
      <c r="AE969" s="3"/>
      <c r="AF969" s="3"/>
      <c r="AG969" s="3"/>
      <c r="AH969" s="3"/>
      <c r="AI969" s="3"/>
      <c r="AJ969" s="3"/>
      <c r="AK969" s="3"/>
      <c r="AL969" s="3"/>
      <c r="AM969" s="3"/>
      <c r="AN969" s="3"/>
      <c r="AO969" s="3"/>
      <c r="AP969" s="3"/>
      <c r="AQ969" s="3"/>
      <c r="AR969" s="3"/>
      <c r="AS969" s="3"/>
      <c r="AT969" s="3"/>
      <c r="AU969" s="3"/>
      <c r="AV969" s="3"/>
      <c r="AW969" s="3"/>
      <c r="AX969" s="3"/>
      <c r="AY969" s="3"/>
      <c r="AZ969" s="3"/>
    </row>
    <row r="970" spans="1:52" ht="18" customHeight="1" x14ac:dyDescent="0.2">
      <c r="A970" s="3" t="str">
        <f t="shared" si="15"/>
        <v xml:space="preserve">                                                  </v>
      </c>
      <c r="B970" s="20" t="s">
        <v>174</v>
      </c>
      <c r="C970" s="3"/>
      <c r="D970" s="3"/>
      <c r="E970" s="3"/>
      <c r="F970" s="3"/>
      <c r="G970" s="3"/>
      <c r="H970" s="3"/>
      <c r="I970" s="3"/>
      <c r="J970" s="3"/>
      <c r="K970" s="3"/>
      <c r="L970" s="3"/>
      <c r="M970" s="3"/>
      <c r="N970" s="3"/>
      <c r="O970" s="3"/>
      <c r="P970" s="3"/>
      <c r="Q970" s="3"/>
      <c r="R970" s="3"/>
      <c r="S970" s="3"/>
      <c r="T970" s="3"/>
      <c r="U970" s="3"/>
      <c r="V970" s="3"/>
      <c r="W970" s="3"/>
      <c r="X970" s="3"/>
      <c r="Y970" s="3"/>
      <c r="Z970" s="3"/>
      <c r="AA970" s="3"/>
      <c r="AB970" s="3"/>
      <c r="AC970" s="3"/>
      <c r="AD970" s="3"/>
      <c r="AE970" s="3"/>
      <c r="AF970" s="3"/>
      <c r="AG970" s="3"/>
      <c r="AH970" s="3"/>
      <c r="AI970" s="3"/>
      <c r="AJ970" s="3"/>
      <c r="AK970" s="3"/>
      <c r="AL970" s="3"/>
      <c r="AM970" s="3"/>
      <c r="AN970" s="3"/>
      <c r="AO970" s="3"/>
      <c r="AP970" s="3"/>
      <c r="AQ970" s="3"/>
      <c r="AR970" s="3"/>
      <c r="AS970" s="3"/>
      <c r="AT970" s="3"/>
      <c r="AU970" s="3"/>
      <c r="AV970" s="3"/>
      <c r="AW970" s="3"/>
      <c r="AX970" s="3"/>
      <c r="AY970" s="3"/>
      <c r="AZ970" s="3"/>
    </row>
    <row r="971" spans="1:52" ht="18" customHeight="1" x14ac:dyDescent="0.2">
      <c r="A971" s="3" t="str">
        <f t="shared" si="15"/>
        <v xml:space="preserve">                                                  </v>
      </c>
      <c r="B971" s="20" t="s">
        <v>174</v>
      </c>
      <c r="C971" s="3"/>
      <c r="D971" s="3"/>
      <c r="E971" s="3"/>
      <c r="F971" s="3"/>
      <c r="G971" s="3"/>
      <c r="H971" s="3"/>
      <c r="I971" s="3"/>
      <c r="J971" s="3"/>
      <c r="K971" s="3"/>
      <c r="L971" s="3"/>
      <c r="M971" s="3"/>
      <c r="N971" s="3"/>
      <c r="O971" s="3"/>
      <c r="P971" s="3"/>
      <c r="Q971" s="3"/>
      <c r="R971" s="3"/>
      <c r="S971" s="3"/>
      <c r="T971" s="3"/>
      <c r="U971" s="3"/>
      <c r="V971" s="3"/>
      <c r="W971" s="3"/>
      <c r="X971" s="3"/>
      <c r="Y971" s="3"/>
      <c r="Z971" s="3"/>
      <c r="AA971" s="3"/>
      <c r="AB971" s="3"/>
      <c r="AC971" s="3"/>
      <c r="AD971" s="3"/>
      <c r="AE971" s="3"/>
      <c r="AF971" s="3"/>
      <c r="AG971" s="3"/>
      <c r="AH971" s="3"/>
      <c r="AI971" s="3"/>
      <c r="AJ971" s="3"/>
      <c r="AK971" s="3"/>
      <c r="AL971" s="3"/>
      <c r="AM971" s="3"/>
      <c r="AN971" s="3"/>
      <c r="AO971" s="3"/>
      <c r="AP971" s="3"/>
      <c r="AQ971" s="3"/>
      <c r="AR971" s="3"/>
      <c r="AS971" s="3"/>
      <c r="AT971" s="3"/>
      <c r="AU971" s="3"/>
      <c r="AV971" s="3"/>
      <c r="AW971" s="3"/>
      <c r="AX971" s="3"/>
      <c r="AY971" s="3"/>
      <c r="AZ971" s="3"/>
    </row>
    <row r="972" spans="1:52" ht="18" customHeight="1" x14ac:dyDescent="0.2">
      <c r="A972" s="3" t="str">
        <f t="shared" si="15"/>
        <v xml:space="preserve">                                                  </v>
      </c>
      <c r="B972" s="20" t="s">
        <v>174</v>
      </c>
      <c r="C972" s="3"/>
      <c r="D972" s="3"/>
      <c r="E972" s="3"/>
      <c r="F972" s="3"/>
      <c r="G972" s="3"/>
      <c r="H972" s="3"/>
      <c r="I972" s="3"/>
      <c r="J972" s="3"/>
      <c r="K972" s="3"/>
      <c r="L972" s="3"/>
      <c r="M972" s="3"/>
      <c r="N972" s="3"/>
      <c r="O972" s="3"/>
      <c r="P972" s="3"/>
      <c r="Q972" s="3"/>
      <c r="R972" s="3"/>
      <c r="S972" s="3"/>
      <c r="T972" s="3"/>
      <c r="U972" s="3"/>
      <c r="V972" s="3"/>
      <c r="W972" s="3"/>
      <c r="X972" s="3"/>
      <c r="Y972" s="3"/>
      <c r="Z972" s="3"/>
      <c r="AA972" s="3"/>
      <c r="AB972" s="3"/>
      <c r="AC972" s="3"/>
      <c r="AD972" s="3"/>
      <c r="AE972" s="3"/>
      <c r="AF972" s="3"/>
      <c r="AG972" s="3"/>
      <c r="AH972" s="3"/>
      <c r="AI972" s="3"/>
      <c r="AJ972" s="3"/>
      <c r="AK972" s="3"/>
      <c r="AL972" s="3"/>
      <c r="AM972" s="3"/>
      <c r="AN972" s="3"/>
      <c r="AO972" s="3"/>
      <c r="AP972" s="3"/>
      <c r="AQ972" s="3"/>
      <c r="AR972" s="3"/>
      <c r="AS972" s="3"/>
      <c r="AT972" s="3"/>
      <c r="AU972" s="3"/>
      <c r="AV972" s="3"/>
      <c r="AW972" s="3"/>
      <c r="AX972" s="3"/>
      <c r="AY972" s="3"/>
      <c r="AZ972" s="3"/>
    </row>
    <row r="973" spans="1:52" ht="18" customHeight="1" x14ac:dyDescent="0.2">
      <c r="A973" s="3" t="str">
        <f t="shared" si="15"/>
        <v xml:space="preserve">                                                  </v>
      </c>
      <c r="B973" s="20" t="s">
        <v>174</v>
      </c>
      <c r="C973" s="3"/>
      <c r="D973" s="3"/>
      <c r="E973" s="3"/>
      <c r="F973" s="3"/>
      <c r="G973" s="3"/>
      <c r="H973" s="3"/>
      <c r="I973" s="3"/>
      <c r="J973" s="3"/>
      <c r="K973" s="3"/>
      <c r="L973" s="3"/>
      <c r="M973" s="3"/>
      <c r="N973" s="3"/>
      <c r="O973" s="3"/>
      <c r="P973" s="3"/>
      <c r="Q973" s="3"/>
      <c r="R973" s="3"/>
      <c r="S973" s="3"/>
      <c r="T973" s="3"/>
      <c r="U973" s="3"/>
      <c r="V973" s="3"/>
      <c r="W973" s="3"/>
      <c r="X973" s="3"/>
      <c r="Y973" s="3"/>
      <c r="Z973" s="3"/>
      <c r="AA973" s="3"/>
      <c r="AB973" s="3"/>
      <c r="AC973" s="3"/>
      <c r="AD973" s="3"/>
      <c r="AE973" s="3"/>
      <c r="AF973" s="3"/>
      <c r="AG973" s="3"/>
      <c r="AH973" s="3"/>
      <c r="AI973" s="3"/>
      <c r="AJ973" s="3"/>
      <c r="AK973" s="3"/>
      <c r="AL973" s="3"/>
      <c r="AM973" s="3"/>
      <c r="AN973" s="3"/>
      <c r="AO973" s="3"/>
      <c r="AP973" s="3"/>
      <c r="AQ973" s="3"/>
      <c r="AR973" s="3"/>
      <c r="AS973" s="3"/>
      <c r="AT973" s="3"/>
      <c r="AU973" s="3"/>
      <c r="AV973" s="3"/>
      <c r="AW973" s="3"/>
      <c r="AX973" s="3"/>
      <c r="AY973" s="3"/>
      <c r="AZ973" s="3"/>
    </row>
    <row r="974" spans="1:52" ht="18" customHeight="1" x14ac:dyDescent="0.2">
      <c r="A974" s="3" t="str">
        <f t="shared" si="15"/>
        <v xml:space="preserve">                                                  </v>
      </c>
      <c r="B974" s="20" t="s">
        <v>174</v>
      </c>
      <c r="C974" s="3"/>
      <c r="D974" s="3"/>
      <c r="E974" s="3"/>
      <c r="F974" s="3"/>
      <c r="G974" s="3"/>
      <c r="H974" s="3"/>
      <c r="I974" s="3"/>
      <c r="J974" s="3"/>
      <c r="K974" s="3"/>
      <c r="L974" s="3"/>
      <c r="M974" s="3"/>
      <c r="N974" s="3"/>
      <c r="O974" s="3"/>
      <c r="P974" s="3"/>
      <c r="Q974" s="3"/>
      <c r="R974" s="3"/>
      <c r="S974" s="3"/>
      <c r="T974" s="3"/>
      <c r="U974" s="3"/>
      <c r="V974" s="3"/>
      <c r="W974" s="3"/>
      <c r="X974" s="3"/>
      <c r="Y974" s="3"/>
      <c r="Z974" s="3"/>
      <c r="AA974" s="3"/>
      <c r="AB974" s="3"/>
      <c r="AC974" s="3"/>
      <c r="AD974" s="3"/>
      <c r="AE974" s="3"/>
      <c r="AF974" s="3"/>
      <c r="AG974" s="3"/>
      <c r="AH974" s="3"/>
      <c r="AI974" s="3"/>
      <c r="AJ974" s="3"/>
      <c r="AK974" s="3"/>
      <c r="AL974" s="3"/>
      <c r="AM974" s="3"/>
      <c r="AN974" s="3"/>
      <c r="AO974" s="3"/>
      <c r="AP974" s="3"/>
      <c r="AQ974" s="3"/>
      <c r="AR974" s="3"/>
      <c r="AS974" s="3"/>
      <c r="AT974" s="3"/>
      <c r="AU974" s="3"/>
      <c r="AV974" s="3"/>
      <c r="AW974" s="3"/>
      <c r="AX974" s="3"/>
      <c r="AY974" s="3"/>
      <c r="AZ974" s="3"/>
    </row>
    <row r="975" spans="1:52" ht="18" customHeight="1" x14ac:dyDescent="0.2">
      <c r="A975" s="3" t="str">
        <f t="shared" si="15"/>
        <v xml:space="preserve">                                                  </v>
      </c>
      <c r="B975" s="20" t="s">
        <v>174</v>
      </c>
      <c r="C975" s="3"/>
      <c r="D975" s="3"/>
      <c r="E975" s="3"/>
      <c r="F975" s="3"/>
      <c r="G975" s="3"/>
      <c r="H975" s="3"/>
      <c r="I975" s="3"/>
      <c r="J975" s="3"/>
      <c r="K975" s="3"/>
      <c r="L975" s="3"/>
      <c r="M975" s="3"/>
      <c r="N975" s="3"/>
      <c r="O975" s="3"/>
      <c r="P975" s="3"/>
      <c r="Q975" s="3"/>
      <c r="R975" s="3"/>
      <c r="S975" s="3"/>
      <c r="T975" s="3"/>
      <c r="U975" s="3"/>
      <c r="V975" s="3"/>
      <c r="W975" s="3"/>
      <c r="X975" s="3"/>
      <c r="Y975" s="3"/>
      <c r="Z975" s="3"/>
      <c r="AA975" s="3"/>
      <c r="AB975" s="3"/>
      <c r="AC975" s="3"/>
      <c r="AD975" s="3"/>
      <c r="AE975" s="3"/>
      <c r="AF975" s="3"/>
      <c r="AG975" s="3"/>
      <c r="AH975" s="3"/>
      <c r="AI975" s="3"/>
      <c r="AJ975" s="3"/>
      <c r="AK975" s="3"/>
      <c r="AL975" s="3"/>
      <c r="AM975" s="3"/>
      <c r="AN975" s="3"/>
      <c r="AO975" s="3"/>
      <c r="AP975" s="3"/>
      <c r="AQ975" s="3"/>
      <c r="AR975" s="3"/>
      <c r="AS975" s="3"/>
      <c r="AT975" s="3"/>
      <c r="AU975" s="3"/>
      <c r="AV975" s="3"/>
      <c r="AW975" s="3"/>
      <c r="AX975" s="3"/>
      <c r="AY975" s="3"/>
      <c r="AZ975" s="3"/>
    </row>
    <row r="976" spans="1:52" ht="18" customHeight="1" x14ac:dyDescent="0.2">
      <c r="A976" s="3" t="str">
        <f t="shared" si="15"/>
        <v xml:space="preserve">                                                  </v>
      </c>
      <c r="B976" s="20" t="s">
        <v>174</v>
      </c>
      <c r="C976" s="3"/>
      <c r="D976" s="3"/>
      <c r="E976" s="3"/>
      <c r="F976" s="3"/>
      <c r="G976" s="3"/>
      <c r="H976" s="3"/>
      <c r="I976" s="3"/>
      <c r="J976" s="3"/>
      <c r="K976" s="3"/>
      <c r="L976" s="3"/>
      <c r="M976" s="3"/>
      <c r="N976" s="3"/>
      <c r="O976" s="3"/>
      <c r="P976" s="3"/>
      <c r="Q976" s="3"/>
      <c r="R976" s="3"/>
      <c r="S976" s="3"/>
      <c r="T976" s="3"/>
      <c r="U976" s="3"/>
      <c r="V976" s="3"/>
      <c r="W976" s="3"/>
      <c r="X976" s="3"/>
      <c r="Y976" s="3"/>
      <c r="Z976" s="3"/>
      <c r="AA976" s="3"/>
      <c r="AB976" s="3"/>
      <c r="AC976" s="3"/>
      <c r="AD976" s="3"/>
      <c r="AE976" s="3"/>
      <c r="AF976" s="3"/>
      <c r="AG976" s="3"/>
      <c r="AH976" s="3"/>
      <c r="AI976" s="3"/>
      <c r="AJ976" s="3"/>
      <c r="AK976" s="3"/>
      <c r="AL976" s="3"/>
      <c r="AM976" s="3"/>
      <c r="AN976" s="3"/>
      <c r="AO976" s="3"/>
      <c r="AP976" s="3"/>
      <c r="AQ976" s="3"/>
      <c r="AR976" s="3"/>
      <c r="AS976" s="3"/>
      <c r="AT976" s="3"/>
      <c r="AU976" s="3"/>
      <c r="AV976" s="3"/>
      <c r="AW976" s="3"/>
      <c r="AX976" s="3"/>
      <c r="AY976" s="3"/>
      <c r="AZ976" s="3"/>
    </row>
    <row r="977" spans="1:52" ht="18" customHeight="1" x14ac:dyDescent="0.2">
      <c r="A977" s="3" t="str">
        <f t="shared" si="15"/>
        <v xml:space="preserve">                                                  </v>
      </c>
      <c r="B977" s="20" t="s">
        <v>174</v>
      </c>
      <c r="C977" s="3"/>
      <c r="D977" s="3"/>
      <c r="E977" s="3"/>
      <c r="F977" s="3"/>
      <c r="G977" s="3"/>
      <c r="H977" s="3"/>
      <c r="I977" s="3"/>
      <c r="J977" s="3"/>
      <c r="K977" s="3"/>
      <c r="L977" s="3"/>
      <c r="M977" s="3"/>
      <c r="N977" s="3"/>
      <c r="O977" s="3"/>
      <c r="P977" s="3"/>
      <c r="Q977" s="3"/>
      <c r="R977" s="3"/>
      <c r="S977" s="3"/>
      <c r="T977" s="3"/>
      <c r="U977" s="3"/>
      <c r="V977" s="3"/>
      <c r="W977" s="3"/>
      <c r="X977" s="3"/>
      <c r="Y977" s="3"/>
      <c r="Z977" s="3"/>
      <c r="AA977" s="3"/>
      <c r="AB977" s="3"/>
      <c r="AC977" s="3"/>
      <c r="AD977" s="3"/>
      <c r="AE977" s="3"/>
      <c r="AF977" s="3"/>
      <c r="AG977" s="3"/>
      <c r="AH977" s="3"/>
      <c r="AI977" s="3"/>
      <c r="AJ977" s="3"/>
      <c r="AK977" s="3"/>
      <c r="AL977" s="3"/>
      <c r="AM977" s="3"/>
      <c r="AN977" s="3"/>
      <c r="AO977" s="3"/>
      <c r="AP977" s="3"/>
      <c r="AQ977" s="3"/>
      <c r="AR977" s="3"/>
      <c r="AS977" s="3"/>
      <c r="AT977" s="3"/>
      <c r="AU977" s="3"/>
      <c r="AV977" s="3"/>
      <c r="AW977" s="3"/>
      <c r="AX977" s="3"/>
      <c r="AY977" s="3"/>
      <c r="AZ977" s="3"/>
    </row>
    <row r="978" spans="1:52" ht="18" customHeight="1" x14ac:dyDescent="0.2">
      <c r="A978" s="3" t="str">
        <f t="shared" si="15"/>
        <v xml:space="preserve">                                                  </v>
      </c>
      <c r="B978" s="20" t="s">
        <v>174</v>
      </c>
      <c r="C978" s="3"/>
      <c r="D978" s="3"/>
      <c r="E978" s="3"/>
      <c r="F978" s="3"/>
      <c r="G978" s="3"/>
      <c r="H978" s="3"/>
      <c r="I978" s="3"/>
      <c r="J978" s="3"/>
      <c r="K978" s="3"/>
      <c r="L978" s="3"/>
      <c r="M978" s="3"/>
      <c r="N978" s="3"/>
      <c r="O978" s="3"/>
      <c r="P978" s="3"/>
      <c r="Q978" s="3"/>
      <c r="R978" s="3"/>
      <c r="S978" s="3"/>
      <c r="T978" s="3"/>
      <c r="U978" s="3"/>
      <c r="V978" s="3"/>
      <c r="W978" s="3"/>
      <c r="X978" s="3"/>
      <c r="Y978" s="3"/>
      <c r="Z978" s="3"/>
      <c r="AA978" s="3"/>
      <c r="AB978" s="3"/>
      <c r="AC978" s="3"/>
      <c r="AD978" s="3"/>
      <c r="AE978" s="3"/>
      <c r="AF978" s="3"/>
      <c r="AG978" s="3"/>
      <c r="AH978" s="3"/>
      <c r="AI978" s="3"/>
      <c r="AJ978" s="3"/>
      <c r="AK978" s="3"/>
      <c r="AL978" s="3"/>
      <c r="AM978" s="3"/>
      <c r="AN978" s="3"/>
      <c r="AO978" s="3"/>
      <c r="AP978" s="3"/>
      <c r="AQ978" s="3"/>
      <c r="AR978" s="3"/>
      <c r="AS978" s="3"/>
      <c r="AT978" s="3"/>
      <c r="AU978" s="3"/>
      <c r="AV978" s="3"/>
      <c r="AW978" s="3"/>
      <c r="AX978" s="3"/>
      <c r="AY978" s="3"/>
      <c r="AZ978" s="3"/>
    </row>
    <row r="979" spans="1:52" ht="18" customHeight="1" x14ac:dyDescent="0.2">
      <c r="A979" s="3" t="str">
        <f t="shared" si="15"/>
        <v xml:space="preserve">                                                  </v>
      </c>
      <c r="B979" s="20" t="s">
        <v>174</v>
      </c>
      <c r="C979" s="3"/>
      <c r="D979" s="3"/>
      <c r="E979" s="3"/>
      <c r="F979" s="3"/>
      <c r="G979" s="3"/>
      <c r="H979" s="3"/>
      <c r="I979" s="3"/>
      <c r="J979" s="3"/>
      <c r="K979" s="3"/>
      <c r="L979" s="3"/>
      <c r="M979" s="3"/>
      <c r="N979" s="3"/>
      <c r="O979" s="3"/>
      <c r="P979" s="3"/>
      <c r="Q979" s="3"/>
      <c r="R979" s="3"/>
      <c r="S979" s="3"/>
      <c r="T979" s="3"/>
      <c r="U979" s="3"/>
      <c r="V979" s="3"/>
      <c r="W979" s="3"/>
      <c r="X979" s="3"/>
      <c r="Y979" s="3"/>
      <c r="Z979" s="3"/>
      <c r="AA979" s="3"/>
      <c r="AB979" s="3"/>
      <c r="AC979" s="3"/>
      <c r="AD979" s="3"/>
      <c r="AE979" s="3"/>
      <c r="AF979" s="3"/>
      <c r="AG979" s="3"/>
      <c r="AH979" s="3"/>
      <c r="AI979" s="3"/>
      <c r="AJ979" s="3"/>
      <c r="AK979" s="3"/>
      <c r="AL979" s="3"/>
      <c r="AM979" s="3"/>
      <c r="AN979" s="3"/>
      <c r="AO979" s="3"/>
      <c r="AP979" s="3"/>
      <c r="AQ979" s="3"/>
      <c r="AR979" s="3"/>
      <c r="AS979" s="3"/>
      <c r="AT979" s="3"/>
      <c r="AU979" s="3"/>
      <c r="AV979" s="3"/>
      <c r="AW979" s="3"/>
      <c r="AX979" s="3"/>
      <c r="AY979" s="3"/>
      <c r="AZ979" s="3"/>
    </row>
    <row r="980" spans="1:52" ht="18" customHeight="1" x14ac:dyDescent="0.2">
      <c r="A980" s="3" t="str">
        <f t="shared" si="15"/>
        <v xml:space="preserve">                                                  </v>
      </c>
      <c r="B980" s="20" t="s">
        <v>174</v>
      </c>
      <c r="C980" s="3"/>
      <c r="D980" s="3"/>
      <c r="E980" s="3"/>
      <c r="F980" s="3"/>
      <c r="G980" s="3"/>
      <c r="H980" s="3"/>
      <c r="I980" s="3"/>
      <c r="J980" s="3"/>
      <c r="K980" s="3"/>
      <c r="L980" s="3"/>
      <c r="M980" s="3"/>
      <c r="N980" s="3"/>
      <c r="O980" s="3"/>
      <c r="P980" s="3"/>
      <c r="Q980" s="3"/>
      <c r="R980" s="3"/>
      <c r="S980" s="3"/>
      <c r="T980" s="3"/>
      <c r="U980" s="3"/>
      <c r="V980" s="3"/>
      <c r="W980" s="3"/>
      <c r="X980" s="3"/>
      <c r="Y980" s="3"/>
      <c r="Z980" s="3"/>
      <c r="AA980" s="3"/>
      <c r="AB980" s="3"/>
      <c r="AC980" s="3"/>
      <c r="AD980" s="3"/>
      <c r="AE980" s="3"/>
      <c r="AF980" s="3"/>
      <c r="AG980" s="3"/>
      <c r="AH980" s="3"/>
      <c r="AI980" s="3"/>
      <c r="AJ980" s="3"/>
      <c r="AK980" s="3"/>
      <c r="AL980" s="3"/>
      <c r="AM980" s="3"/>
      <c r="AN980" s="3"/>
      <c r="AO980" s="3"/>
      <c r="AP980" s="3"/>
      <c r="AQ980" s="3"/>
      <c r="AR980" s="3"/>
      <c r="AS980" s="3"/>
      <c r="AT980" s="3"/>
      <c r="AU980" s="3"/>
      <c r="AV980" s="3"/>
      <c r="AW980" s="3"/>
      <c r="AX980" s="3"/>
      <c r="AY980" s="3"/>
      <c r="AZ980" s="3"/>
    </row>
    <row r="981" spans="1:52" ht="18" customHeight="1" x14ac:dyDescent="0.2">
      <c r="A981" s="3" t="str">
        <f t="shared" si="15"/>
        <v xml:space="preserve">                                                  </v>
      </c>
      <c r="B981" s="20" t="s">
        <v>174</v>
      </c>
      <c r="C981" s="3"/>
      <c r="D981" s="3"/>
      <c r="E981" s="3"/>
      <c r="F981" s="3"/>
      <c r="G981" s="3"/>
      <c r="H981" s="3"/>
      <c r="I981" s="3"/>
      <c r="J981" s="3"/>
      <c r="K981" s="3"/>
      <c r="L981" s="3"/>
      <c r="M981" s="3"/>
      <c r="N981" s="3"/>
      <c r="O981" s="3"/>
      <c r="P981" s="3"/>
      <c r="Q981" s="3"/>
      <c r="R981" s="3"/>
      <c r="S981" s="3"/>
      <c r="T981" s="3"/>
      <c r="U981" s="3"/>
      <c r="V981" s="3"/>
      <c r="W981" s="3"/>
      <c r="X981" s="3"/>
      <c r="Y981" s="3"/>
      <c r="Z981" s="3"/>
      <c r="AA981" s="3"/>
      <c r="AB981" s="3"/>
      <c r="AC981" s="3"/>
      <c r="AD981" s="3"/>
      <c r="AE981" s="3"/>
      <c r="AF981" s="3"/>
      <c r="AG981" s="3"/>
      <c r="AH981" s="3"/>
      <c r="AI981" s="3"/>
      <c r="AJ981" s="3"/>
      <c r="AK981" s="3"/>
      <c r="AL981" s="3"/>
      <c r="AM981" s="3"/>
      <c r="AN981" s="3"/>
      <c r="AO981" s="3"/>
      <c r="AP981" s="3"/>
      <c r="AQ981" s="3"/>
      <c r="AR981" s="3"/>
      <c r="AS981" s="3"/>
      <c r="AT981" s="3"/>
      <c r="AU981" s="3"/>
      <c r="AV981" s="3"/>
      <c r="AW981" s="3"/>
      <c r="AX981" s="3"/>
      <c r="AY981" s="3"/>
      <c r="AZ981" s="3"/>
    </row>
    <row r="982" spans="1:52" ht="18" customHeight="1" x14ac:dyDescent="0.2">
      <c r="A982" s="3" t="str">
        <f t="shared" si="15"/>
        <v xml:space="preserve">                                                  </v>
      </c>
      <c r="B982" s="20" t="s">
        <v>174</v>
      </c>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row>
    <row r="983" spans="1:52" ht="18" customHeight="1" x14ac:dyDescent="0.2">
      <c r="A983" s="3" t="str">
        <f t="shared" si="15"/>
        <v xml:space="preserve">                                                  </v>
      </c>
      <c r="B983" s="20" t="s">
        <v>174</v>
      </c>
      <c r="C983" s="3"/>
      <c r="D983" s="3"/>
      <c r="E983" s="3"/>
      <c r="F983" s="3"/>
      <c r="G983" s="3"/>
      <c r="H983" s="3"/>
      <c r="I983" s="3"/>
      <c r="J983" s="3"/>
      <c r="K983" s="3"/>
      <c r="L983" s="3"/>
      <c r="M983" s="3"/>
      <c r="N983" s="3"/>
      <c r="O983" s="3"/>
      <c r="P983" s="3"/>
      <c r="Q983" s="3"/>
      <c r="R983" s="3"/>
      <c r="S983" s="3"/>
      <c r="T983" s="3"/>
      <c r="U983" s="3"/>
      <c r="V983" s="3"/>
      <c r="W983" s="3"/>
      <c r="X983" s="3"/>
      <c r="Y983" s="3"/>
      <c r="Z983" s="3"/>
      <c r="AA983" s="3"/>
      <c r="AB983" s="3"/>
      <c r="AC983" s="3"/>
      <c r="AD983" s="3"/>
      <c r="AE983" s="3"/>
      <c r="AF983" s="3"/>
      <c r="AG983" s="3"/>
      <c r="AH983" s="3"/>
      <c r="AI983" s="3"/>
      <c r="AJ983" s="3"/>
      <c r="AK983" s="3"/>
      <c r="AL983" s="3"/>
      <c r="AM983" s="3"/>
      <c r="AN983" s="3"/>
      <c r="AO983" s="3"/>
      <c r="AP983" s="3"/>
      <c r="AQ983" s="3"/>
      <c r="AR983" s="3"/>
      <c r="AS983" s="3"/>
      <c r="AT983" s="3"/>
      <c r="AU983" s="3"/>
      <c r="AV983" s="3"/>
      <c r="AW983" s="3"/>
      <c r="AX983" s="3"/>
      <c r="AY983" s="3"/>
      <c r="AZ983" s="3"/>
    </row>
    <row r="984" spans="1:52" ht="18" customHeight="1" x14ac:dyDescent="0.2">
      <c r="A984" s="3" t="str">
        <f t="shared" si="15"/>
        <v xml:space="preserve">                                                  </v>
      </c>
      <c r="B984" s="20" t="s">
        <v>174</v>
      </c>
      <c r="C984" s="3"/>
      <c r="D984" s="3"/>
      <c r="E984" s="3"/>
      <c r="F984" s="3"/>
      <c r="G984" s="3"/>
      <c r="H984" s="3"/>
      <c r="I984" s="3"/>
      <c r="J984" s="3"/>
      <c r="K984" s="3"/>
      <c r="L984" s="3"/>
      <c r="M984" s="3"/>
      <c r="N984" s="3"/>
      <c r="O984" s="3"/>
      <c r="P984" s="3"/>
      <c r="Q984" s="3"/>
      <c r="R984" s="3"/>
      <c r="S984" s="3"/>
      <c r="T984" s="3"/>
      <c r="U984" s="3"/>
      <c r="V984" s="3"/>
      <c r="W984" s="3"/>
      <c r="X984" s="3"/>
      <c r="Y984" s="3"/>
      <c r="Z984" s="3"/>
      <c r="AA984" s="3"/>
      <c r="AB984" s="3"/>
      <c r="AC984" s="3"/>
      <c r="AD984" s="3"/>
      <c r="AE984" s="3"/>
      <c r="AF984" s="3"/>
      <c r="AG984" s="3"/>
      <c r="AH984" s="3"/>
      <c r="AI984" s="3"/>
      <c r="AJ984" s="3"/>
      <c r="AK984" s="3"/>
      <c r="AL984" s="3"/>
      <c r="AM984" s="3"/>
      <c r="AN984" s="3"/>
      <c r="AO984" s="3"/>
      <c r="AP984" s="3"/>
      <c r="AQ984" s="3"/>
      <c r="AR984" s="3"/>
      <c r="AS984" s="3"/>
      <c r="AT984" s="3"/>
      <c r="AU984" s="3"/>
      <c r="AV984" s="3"/>
      <c r="AW984" s="3"/>
      <c r="AX984" s="3"/>
      <c r="AY984" s="3"/>
      <c r="AZ984" s="3"/>
    </row>
    <row r="985" spans="1:52" ht="18" customHeight="1" x14ac:dyDescent="0.2">
      <c r="A985" s="3" t="str">
        <f t="shared" si="15"/>
        <v xml:space="preserve">                                                  </v>
      </c>
      <c r="B985" s="20" t="s">
        <v>174</v>
      </c>
      <c r="C985" s="3"/>
      <c r="D985" s="3"/>
      <c r="E985" s="3"/>
      <c r="F985" s="3"/>
      <c r="G985" s="3"/>
      <c r="H985" s="3"/>
      <c r="I985" s="3"/>
      <c r="J985" s="3"/>
      <c r="K985" s="3"/>
      <c r="L985" s="3"/>
      <c r="M985" s="3"/>
      <c r="N985" s="3"/>
      <c r="O985" s="3"/>
      <c r="P985" s="3"/>
      <c r="Q985" s="3"/>
      <c r="R985" s="3"/>
      <c r="S985" s="3"/>
      <c r="T985" s="3"/>
      <c r="U985" s="3"/>
      <c r="V985" s="3"/>
      <c r="W985" s="3"/>
      <c r="X985" s="3"/>
      <c r="Y985" s="3"/>
      <c r="Z985" s="3"/>
      <c r="AA985" s="3"/>
      <c r="AB985" s="3"/>
      <c r="AC985" s="3"/>
      <c r="AD985" s="3"/>
      <c r="AE985" s="3"/>
      <c r="AF985" s="3"/>
      <c r="AG985" s="3"/>
      <c r="AH985" s="3"/>
      <c r="AI985" s="3"/>
      <c r="AJ985" s="3"/>
      <c r="AK985" s="3"/>
      <c r="AL985" s="3"/>
      <c r="AM985" s="3"/>
      <c r="AN985" s="3"/>
      <c r="AO985" s="3"/>
      <c r="AP985" s="3"/>
      <c r="AQ985" s="3"/>
      <c r="AR985" s="3"/>
      <c r="AS985" s="3"/>
      <c r="AT985" s="3"/>
      <c r="AU985" s="3"/>
      <c r="AV985" s="3"/>
      <c r="AW985" s="3"/>
      <c r="AX985" s="3"/>
      <c r="AY985" s="3"/>
      <c r="AZ985" s="3"/>
    </row>
    <row r="986" spans="1:52" ht="18" customHeight="1" x14ac:dyDescent="0.2">
      <c r="A986" s="3" t="str">
        <f t="shared" si="15"/>
        <v xml:space="preserve">                                                  </v>
      </c>
      <c r="B986" s="20" t="s">
        <v>174</v>
      </c>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row>
    <row r="987" spans="1:52" ht="18" customHeight="1" x14ac:dyDescent="0.2">
      <c r="A987" s="3" t="str">
        <f t="shared" si="15"/>
        <v xml:space="preserve">                                                  </v>
      </c>
      <c r="B987" s="20" t="s">
        <v>174</v>
      </c>
      <c r="C987" s="3"/>
      <c r="D987" s="3"/>
      <c r="E987" s="3"/>
      <c r="F987" s="3"/>
      <c r="G987" s="3"/>
      <c r="H987" s="3"/>
      <c r="I987" s="3"/>
      <c r="J987" s="3"/>
      <c r="K987" s="3"/>
      <c r="L987" s="3"/>
      <c r="M987" s="3"/>
      <c r="N987" s="3"/>
      <c r="O987" s="3"/>
      <c r="P987" s="3"/>
      <c r="Q987" s="3"/>
      <c r="R987" s="3"/>
      <c r="S987" s="3"/>
      <c r="T987" s="3"/>
      <c r="U987" s="3"/>
      <c r="V987" s="3"/>
      <c r="W987" s="3"/>
      <c r="X987" s="3"/>
      <c r="Y987" s="3"/>
      <c r="Z987" s="3"/>
      <c r="AA987" s="3"/>
      <c r="AB987" s="3"/>
      <c r="AC987" s="3"/>
      <c r="AD987" s="3"/>
      <c r="AE987" s="3"/>
      <c r="AF987" s="3"/>
      <c r="AG987" s="3"/>
      <c r="AH987" s="3"/>
      <c r="AI987" s="3"/>
      <c r="AJ987" s="3"/>
      <c r="AK987" s="3"/>
      <c r="AL987" s="3"/>
      <c r="AM987" s="3"/>
      <c r="AN987" s="3"/>
      <c r="AO987" s="3"/>
      <c r="AP987" s="3"/>
      <c r="AQ987" s="3"/>
      <c r="AR987" s="3"/>
      <c r="AS987" s="3"/>
      <c r="AT987" s="3"/>
      <c r="AU987" s="3"/>
      <c r="AV987" s="3"/>
      <c r="AW987" s="3"/>
      <c r="AX987" s="3"/>
      <c r="AY987" s="3"/>
      <c r="AZ987" s="3"/>
    </row>
    <row r="988" spans="1:52" ht="18" customHeight="1" x14ac:dyDescent="0.2">
      <c r="A988" s="3" t="str">
        <f t="shared" si="15"/>
        <v xml:space="preserve">                                                  </v>
      </c>
      <c r="B988" s="20" t="s">
        <v>174</v>
      </c>
      <c r="C988" s="3"/>
      <c r="D988" s="3"/>
      <c r="E988" s="3"/>
      <c r="F988" s="3"/>
      <c r="G988" s="3"/>
      <c r="H988" s="3"/>
      <c r="I988" s="3"/>
      <c r="J988" s="3"/>
      <c r="K988" s="3"/>
      <c r="L988" s="3"/>
      <c r="M988" s="3"/>
      <c r="N988" s="3"/>
      <c r="O988" s="3"/>
      <c r="P988" s="3"/>
      <c r="Q988" s="3"/>
      <c r="R988" s="3"/>
      <c r="S988" s="3"/>
      <c r="T988" s="3"/>
      <c r="U988" s="3"/>
      <c r="V988" s="3"/>
      <c r="W988" s="3"/>
      <c r="X988" s="3"/>
      <c r="Y988" s="3"/>
      <c r="Z988" s="3"/>
      <c r="AA988" s="3"/>
      <c r="AB988" s="3"/>
      <c r="AC988" s="3"/>
      <c r="AD988" s="3"/>
      <c r="AE988" s="3"/>
      <c r="AF988" s="3"/>
      <c r="AG988" s="3"/>
      <c r="AH988" s="3"/>
      <c r="AI988" s="3"/>
      <c r="AJ988" s="3"/>
      <c r="AK988" s="3"/>
      <c r="AL988" s="3"/>
      <c r="AM988" s="3"/>
      <c r="AN988" s="3"/>
      <c r="AO988" s="3"/>
      <c r="AP988" s="3"/>
      <c r="AQ988" s="3"/>
      <c r="AR988" s="3"/>
      <c r="AS988" s="3"/>
      <c r="AT988" s="3"/>
      <c r="AU988" s="3"/>
      <c r="AV988" s="3"/>
      <c r="AW988" s="3"/>
      <c r="AX988" s="3"/>
      <c r="AY988" s="3"/>
      <c r="AZ988" s="3"/>
    </row>
    <row r="989" spans="1:52" ht="18" customHeight="1" x14ac:dyDescent="0.2">
      <c r="A989" s="3" t="str">
        <f t="shared" si="15"/>
        <v xml:space="preserve">                                                  </v>
      </c>
      <c r="B989" s="20" t="s">
        <v>174</v>
      </c>
      <c r="C989" s="3"/>
      <c r="D989" s="3"/>
      <c r="E989" s="3"/>
      <c r="F989" s="3"/>
      <c r="G989" s="3"/>
      <c r="H989" s="3"/>
      <c r="I989" s="3"/>
      <c r="J989" s="3"/>
      <c r="K989" s="3"/>
      <c r="L989" s="3"/>
      <c r="M989" s="3"/>
      <c r="N989" s="3"/>
      <c r="O989" s="3"/>
      <c r="P989" s="3"/>
      <c r="Q989" s="3"/>
      <c r="R989" s="3"/>
      <c r="S989" s="3"/>
      <c r="T989" s="3"/>
      <c r="U989" s="3"/>
      <c r="V989" s="3"/>
      <c r="W989" s="3"/>
      <c r="X989" s="3"/>
      <c r="Y989" s="3"/>
      <c r="Z989" s="3"/>
      <c r="AA989" s="3"/>
      <c r="AB989" s="3"/>
      <c r="AC989" s="3"/>
      <c r="AD989" s="3"/>
      <c r="AE989" s="3"/>
      <c r="AF989" s="3"/>
      <c r="AG989" s="3"/>
      <c r="AH989" s="3"/>
      <c r="AI989" s="3"/>
      <c r="AJ989" s="3"/>
      <c r="AK989" s="3"/>
      <c r="AL989" s="3"/>
      <c r="AM989" s="3"/>
      <c r="AN989" s="3"/>
      <c r="AO989" s="3"/>
      <c r="AP989" s="3"/>
      <c r="AQ989" s="3"/>
      <c r="AR989" s="3"/>
      <c r="AS989" s="3"/>
      <c r="AT989" s="3"/>
      <c r="AU989" s="3"/>
      <c r="AV989" s="3"/>
      <c r="AW989" s="3"/>
      <c r="AX989" s="3"/>
      <c r="AY989" s="3"/>
      <c r="AZ989" s="3"/>
    </row>
    <row r="990" spans="1:52" ht="18" customHeight="1" x14ac:dyDescent="0.2">
      <c r="A990" s="3" t="str">
        <f t="shared" si="15"/>
        <v xml:space="preserve">                                                  </v>
      </c>
      <c r="B990" s="20" t="s">
        <v>174</v>
      </c>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row>
    <row r="991" spans="1:52" ht="18" customHeight="1" x14ac:dyDescent="0.2">
      <c r="A991" s="3" t="str">
        <f t="shared" si="15"/>
        <v xml:space="preserve">                                                  </v>
      </c>
      <c r="B991" s="20" t="s">
        <v>174</v>
      </c>
      <c r="C991" s="3"/>
      <c r="D991" s="3"/>
      <c r="E991" s="3"/>
      <c r="F991" s="3"/>
      <c r="G991" s="3"/>
      <c r="H991" s="3"/>
      <c r="I991" s="3"/>
      <c r="J991" s="3"/>
      <c r="K991" s="3"/>
      <c r="L991" s="3"/>
      <c r="M991" s="3"/>
      <c r="N991" s="3"/>
      <c r="O991" s="3"/>
      <c r="P991" s="3"/>
      <c r="Q991" s="3"/>
      <c r="R991" s="3"/>
      <c r="S991" s="3"/>
      <c r="T991" s="3"/>
      <c r="U991" s="3"/>
      <c r="V991" s="3"/>
      <c r="W991" s="3"/>
      <c r="X991" s="3"/>
      <c r="Y991" s="3"/>
      <c r="Z991" s="3"/>
      <c r="AA991" s="3"/>
      <c r="AB991" s="3"/>
      <c r="AC991" s="3"/>
      <c r="AD991" s="3"/>
      <c r="AE991" s="3"/>
      <c r="AF991" s="3"/>
      <c r="AG991" s="3"/>
      <c r="AH991" s="3"/>
      <c r="AI991" s="3"/>
      <c r="AJ991" s="3"/>
      <c r="AK991" s="3"/>
      <c r="AL991" s="3"/>
      <c r="AM991" s="3"/>
      <c r="AN991" s="3"/>
      <c r="AO991" s="3"/>
      <c r="AP991" s="3"/>
      <c r="AQ991" s="3"/>
      <c r="AR991" s="3"/>
      <c r="AS991" s="3"/>
      <c r="AT991" s="3"/>
      <c r="AU991" s="3"/>
      <c r="AV991" s="3"/>
      <c r="AW991" s="3"/>
      <c r="AX991" s="3"/>
      <c r="AY991" s="3"/>
      <c r="AZ991" s="3"/>
    </row>
    <row r="992" spans="1:52" ht="18" customHeight="1" x14ac:dyDescent="0.2">
      <c r="A992" s="3" t="str">
        <f t="shared" si="15"/>
        <v xml:space="preserve">                                                  </v>
      </c>
      <c r="B992" s="20" t="s">
        <v>174</v>
      </c>
      <c r="C992" s="3"/>
      <c r="D992" s="3"/>
      <c r="E992" s="3"/>
      <c r="F992" s="3"/>
      <c r="G992" s="3"/>
      <c r="H992" s="3"/>
      <c r="I992" s="3"/>
      <c r="J992" s="3"/>
      <c r="K992" s="3"/>
      <c r="L992" s="3"/>
      <c r="M992" s="3"/>
      <c r="N992" s="3"/>
      <c r="O992" s="3"/>
      <c r="P992" s="3"/>
      <c r="Q992" s="3"/>
      <c r="R992" s="3"/>
      <c r="S992" s="3"/>
      <c r="T992" s="3"/>
      <c r="U992" s="3"/>
      <c r="V992" s="3"/>
      <c r="W992" s="3"/>
      <c r="X992" s="3"/>
      <c r="Y992" s="3"/>
      <c r="Z992" s="3"/>
      <c r="AA992" s="3"/>
      <c r="AB992" s="3"/>
      <c r="AC992" s="3"/>
      <c r="AD992" s="3"/>
      <c r="AE992" s="3"/>
      <c r="AF992" s="3"/>
      <c r="AG992" s="3"/>
      <c r="AH992" s="3"/>
      <c r="AI992" s="3"/>
      <c r="AJ992" s="3"/>
      <c r="AK992" s="3"/>
      <c r="AL992" s="3"/>
      <c r="AM992" s="3"/>
      <c r="AN992" s="3"/>
      <c r="AO992" s="3"/>
      <c r="AP992" s="3"/>
      <c r="AQ992" s="3"/>
      <c r="AR992" s="3"/>
      <c r="AS992" s="3"/>
      <c r="AT992" s="3"/>
      <c r="AU992" s="3"/>
      <c r="AV992" s="3"/>
      <c r="AW992" s="3"/>
      <c r="AX992" s="3"/>
      <c r="AY992" s="3"/>
      <c r="AZ992" s="3"/>
    </row>
    <row r="993" spans="1:52" ht="18" customHeight="1" x14ac:dyDescent="0.2">
      <c r="A993" s="3" t="str">
        <f t="shared" si="15"/>
        <v xml:space="preserve">                                                  </v>
      </c>
      <c r="B993" s="20" t="s">
        <v>174</v>
      </c>
      <c r="C993" s="3"/>
      <c r="D993" s="3"/>
      <c r="E993" s="3"/>
      <c r="F993" s="3"/>
      <c r="G993" s="3"/>
      <c r="H993" s="3"/>
      <c r="I993" s="3"/>
      <c r="J993" s="3"/>
      <c r="K993" s="3"/>
      <c r="L993" s="3"/>
      <c r="M993" s="3"/>
      <c r="N993" s="3"/>
      <c r="O993" s="3"/>
      <c r="P993" s="3"/>
      <c r="Q993" s="3"/>
      <c r="R993" s="3"/>
      <c r="S993" s="3"/>
      <c r="T993" s="3"/>
      <c r="U993" s="3"/>
      <c r="V993" s="3"/>
      <c r="W993" s="3"/>
      <c r="X993" s="3"/>
      <c r="Y993" s="3"/>
      <c r="Z993" s="3"/>
      <c r="AA993" s="3"/>
      <c r="AB993" s="3"/>
      <c r="AC993" s="3"/>
      <c r="AD993" s="3"/>
      <c r="AE993" s="3"/>
      <c r="AF993" s="3"/>
      <c r="AG993" s="3"/>
      <c r="AH993" s="3"/>
      <c r="AI993" s="3"/>
      <c r="AJ993" s="3"/>
      <c r="AK993" s="3"/>
      <c r="AL993" s="3"/>
      <c r="AM993" s="3"/>
      <c r="AN993" s="3"/>
      <c r="AO993" s="3"/>
      <c r="AP993" s="3"/>
      <c r="AQ993" s="3"/>
      <c r="AR993" s="3"/>
      <c r="AS993" s="3"/>
      <c r="AT993" s="3"/>
      <c r="AU993" s="3"/>
      <c r="AV993" s="3"/>
      <c r="AW993" s="3"/>
      <c r="AX993" s="3"/>
      <c r="AY993" s="3"/>
      <c r="AZ993" s="3"/>
    </row>
    <row r="994" spans="1:52" ht="18" customHeight="1" x14ac:dyDescent="0.2">
      <c r="A994" s="3" t="str">
        <f t="shared" si="15"/>
        <v xml:space="preserve">                                                  </v>
      </c>
      <c r="B994" s="20" t="s">
        <v>174</v>
      </c>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row>
    <row r="995" spans="1:52" ht="18" customHeight="1" x14ac:dyDescent="0.2">
      <c r="A995" s="3" t="str">
        <f t="shared" si="15"/>
        <v xml:space="preserve">                                                  </v>
      </c>
      <c r="B995" s="20" t="s">
        <v>174</v>
      </c>
      <c r="C995" s="3"/>
      <c r="D995" s="3"/>
      <c r="E995" s="3"/>
      <c r="F995" s="3"/>
      <c r="G995" s="3"/>
      <c r="H995" s="3"/>
      <c r="I995" s="3"/>
      <c r="J995" s="3"/>
      <c r="K995" s="3"/>
      <c r="L995" s="3"/>
      <c r="M995" s="3"/>
      <c r="N995" s="3"/>
      <c r="O995" s="3"/>
      <c r="P995" s="3"/>
      <c r="Q995" s="3"/>
      <c r="R995" s="3"/>
      <c r="S995" s="3"/>
      <c r="T995" s="3"/>
      <c r="U995" s="3"/>
      <c r="V995" s="3"/>
      <c r="W995" s="3"/>
      <c r="X995" s="3"/>
      <c r="Y995" s="3"/>
      <c r="Z995" s="3"/>
      <c r="AA995" s="3"/>
      <c r="AB995" s="3"/>
      <c r="AC995" s="3"/>
      <c r="AD995" s="3"/>
      <c r="AE995" s="3"/>
      <c r="AF995" s="3"/>
      <c r="AG995" s="3"/>
      <c r="AH995" s="3"/>
      <c r="AI995" s="3"/>
      <c r="AJ995" s="3"/>
      <c r="AK995" s="3"/>
      <c r="AL995" s="3"/>
      <c r="AM995" s="3"/>
      <c r="AN995" s="3"/>
      <c r="AO995" s="3"/>
      <c r="AP995" s="3"/>
      <c r="AQ995" s="3"/>
      <c r="AR995" s="3"/>
      <c r="AS995" s="3"/>
      <c r="AT995" s="3"/>
      <c r="AU995" s="3"/>
      <c r="AV995" s="3"/>
      <c r="AW995" s="3"/>
      <c r="AX995" s="3"/>
      <c r="AY995" s="3"/>
      <c r="AZ995" s="3"/>
    </row>
    <row r="996" spans="1:52" ht="18" customHeight="1" x14ac:dyDescent="0.2">
      <c r="A996" s="3" t="str">
        <f t="shared" si="15"/>
        <v xml:space="preserve">                                                  </v>
      </c>
      <c r="B996" s="20" t="s">
        <v>174</v>
      </c>
      <c r="C996" s="3"/>
      <c r="D996" s="3"/>
      <c r="E996" s="3"/>
      <c r="F996" s="3"/>
      <c r="G996" s="3"/>
      <c r="H996" s="3"/>
      <c r="I996" s="3"/>
      <c r="J996" s="3"/>
      <c r="K996" s="3"/>
      <c r="L996" s="3"/>
      <c r="M996" s="3"/>
      <c r="N996" s="3"/>
      <c r="O996" s="3"/>
      <c r="P996" s="3"/>
      <c r="Q996" s="3"/>
      <c r="R996" s="3"/>
      <c r="S996" s="3"/>
      <c r="T996" s="3"/>
      <c r="U996" s="3"/>
      <c r="V996" s="3"/>
      <c r="W996" s="3"/>
      <c r="X996" s="3"/>
      <c r="Y996" s="3"/>
      <c r="Z996" s="3"/>
      <c r="AA996" s="3"/>
      <c r="AB996" s="3"/>
      <c r="AC996" s="3"/>
      <c r="AD996" s="3"/>
      <c r="AE996" s="3"/>
      <c r="AF996" s="3"/>
      <c r="AG996" s="3"/>
      <c r="AH996" s="3"/>
      <c r="AI996" s="3"/>
      <c r="AJ996" s="3"/>
      <c r="AK996" s="3"/>
      <c r="AL996" s="3"/>
      <c r="AM996" s="3"/>
      <c r="AN996" s="3"/>
      <c r="AO996" s="3"/>
      <c r="AP996" s="3"/>
      <c r="AQ996" s="3"/>
      <c r="AR996" s="3"/>
      <c r="AS996" s="3"/>
      <c r="AT996" s="3"/>
      <c r="AU996" s="3"/>
      <c r="AV996" s="3"/>
      <c r="AW996" s="3"/>
      <c r="AX996" s="3"/>
      <c r="AY996" s="3"/>
      <c r="AZ996" s="3"/>
    </row>
    <row r="997" spans="1:52" ht="18" customHeight="1" x14ac:dyDescent="0.2">
      <c r="A997" s="3" t="str">
        <f t="shared" si="15"/>
        <v xml:space="preserve">                                                  </v>
      </c>
      <c r="B997" s="20" t="s">
        <v>174</v>
      </c>
      <c r="C997" s="3"/>
      <c r="D997" s="3"/>
      <c r="E997" s="3"/>
      <c r="F997" s="3"/>
      <c r="G997" s="3"/>
      <c r="H997" s="3"/>
      <c r="I997" s="3"/>
      <c r="J997" s="3"/>
      <c r="K997" s="3"/>
      <c r="L997" s="3"/>
      <c r="M997" s="3"/>
      <c r="N997" s="3"/>
      <c r="O997" s="3"/>
      <c r="P997" s="3"/>
      <c r="Q997" s="3"/>
      <c r="R997" s="3"/>
      <c r="S997" s="3"/>
      <c r="T997" s="3"/>
      <c r="U997" s="3"/>
      <c r="V997" s="3"/>
      <c r="W997" s="3"/>
      <c r="X997" s="3"/>
      <c r="Y997" s="3"/>
      <c r="Z997" s="3"/>
      <c r="AA997" s="3"/>
      <c r="AB997" s="3"/>
      <c r="AC997" s="3"/>
      <c r="AD997" s="3"/>
      <c r="AE997" s="3"/>
      <c r="AF997" s="3"/>
      <c r="AG997" s="3"/>
      <c r="AH997" s="3"/>
      <c r="AI997" s="3"/>
      <c r="AJ997" s="3"/>
      <c r="AK997" s="3"/>
      <c r="AL997" s="3"/>
      <c r="AM997" s="3"/>
      <c r="AN997" s="3"/>
      <c r="AO997" s="3"/>
      <c r="AP997" s="3"/>
      <c r="AQ997" s="3"/>
      <c r="AR997" s="3"/>
      <c r="AS997" s="3"/>
      <c r="AT997" s="3"/>
      <c r="AU997" s="3"/>
      <c r="AV997" s="3"/>
      <c r="AW997" s="3"/>
      <c r="AX997" s="3"/>
      <c r="AY997" s="3"/>
      <c r="AZ997" s="3"/>
    </row>
    <row r="998" spans="1:52" ht="18" customHeight="1" x14ac:dyDescent="0.2">
      <c r="A998" s="3" t="str">
        <f t="shared" si="15"/>
        <v xml:space="preserve">                                                  </v>
      </c>
      <c r="B998" s="20" t="s">
        <v>174</v>
      </c>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row>
    <row r="999" spans="1:52" ht="18" customHeight="1" x14ac:dyDescent="0.2">
      <c r="A999" s="3" t="str">
        <f t="shared" si="15"/>
        <v xml:space="preserve">                                                  </v>
      </c>
      <c r="B999" s="20" t="s">
        <v>174</v>
      </c>
      <c r="C999" s="3"/>
      <c r="D999" s="3"/>
      <c r="E999" s="3"/>
      <c r="F999" s="3"/>
      <c r="G999" s="3"/>
      <c r="H999" s="3"/>
      <c r="I999" s="3"/>
      <c r="J999" s="3"/>
      <c r="K999" s="3"/>
      <c r="L999" s="3"/>
      <c r="M999" s="3"/>
      <c r="N999" s="3"/>
      <c r="O999" s="3"/>
      <c r="P999" s="3"/>
      <c r="Q999" s="3"/>
      <c r="R999" s="3"/>
      <c r="S999" s="3"/>
      <c r="T999" s="3"/>
      <c r="U999" s="3"/>
      <c r="V999" s="3"/>
      <c r="W999" s="3"/>
      <c r="X999" s="3"/>
      <c r="Y999" s="3"/>
      <c r="Z999" s="3"/>
      <c r="AA999" s="3"/>
      <c r="AB999" s="3"/>
      <c r="AC999" s="3"/>
      <c r="AD999" s="3"/>
      <c r="AE999" s="3"/>
      <c r="AF999" s="3"/>
      <c r="AG999" s="3"/>
      <c r="AH999" s="3"/>
      <c r="AI999" s="3"/>
      <c r="AJ999" s="3"/>
      <c r="AK999" s="3"/>
      <c r="AL999" s="3"/>
      <c r="AM999" s="3"/>
      <c r="AN999" s="3"/>
      <c r="AO999" s="3"/>
      <c r="AP999" s="3"/>
      <c r="AQ999" s="3"/>
      <c r="AR999" s="3"/>
      <c r="AS999" s="3"/>
      <c r="AT999" s="3"/>
      <c r="AU999" s="3"/>
      <c r="AV999" s="3"/>
      <c r="AW999" s="3"/>
      <c r="AX999" s="3"/>
      <c r="AY999" s="3"/>
      <c r="AZ999" s="3"/>
    </row>
    <row r="1000" spans="1:52" ht="18" customHeight="1" x14ac:dyDescent="0.2">
      <c r="A1000" s="3" t="str">
        <f t="shared" si="15"/>
        <v xml:space="preserve">                                                  </v>
      </c>
      <c r="B1000" s="20" t="s">
        <v>174</v>
      </c>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c r="AA1000" s="3"/>
      <c r="AB1000" s="3"/>
      <c r="AC1000" s="3"/>
      <c r="AD1000" s="3"/>
      <c r="AE1000" s="3"/>
      <c r="AF1000" s="3"/>
      <c r="AG1000" s="3"/>
      <c r="AH1000" s="3"/>
      <c r="AI1000" s="3"/>
      <c r="AJ1000" s="3"/>
      <c r="AK1000" s="3"/>
      <c r="AL1000" s="3"/>
      <c r="AM1000" s="3"/>
      <c r="AN1000" s="3"/>
      <c r="AO1000" s="3"/>
      <c r="AP1000" s="3"/>
      <c r="AQ1000" s="3"/>
      <c r="AR1000" s="3"/>
      <c r="AS1000" s="3"/>
      <c r="AT1000" s="3"/>
      <c r="AU1000" s="3"/>
      <c r="AV1000" s="3"/>
      <c r="AW1000" s="3"/>
      <c r="AX1000" s="3"/>
      <c r="AY1000" s="3"/>
      <c r="AZ1000" s="3"/>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3</vt:i4>
      </vt:variant>
    </vt:vector>
  </HeadingPairs>
  <TitlesOfParts>
    <vt:vector size="3" baseType="lpstr">
      <vt:lpstr>Analysepakker</vt:lpstr>
      <vt:lpstr>Rådata</vt:lpstr>
      <vt:lpstr>GEUS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Mads Schmidt Christensen</dc:creator>
  <cp:lastModifiedBy>Mads Schmidt Christensen</cp:lastModifiedBy>
  <dcterms:created xsi:type="dcterms:W3CDTF">2011-09-15T05:42:10Z</dcterms:created>
  <dcterms:modified xsi:type="dcterms:W3CDTF">2019-05-07T08:41:07Z</dcterms:modified>
</cp:coreProperties>
</file>