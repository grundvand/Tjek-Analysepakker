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Denne_projektmappe"/>
  <mc:AlternateContent xmlns:mc="http://schemas.openxmlformats.org/markup-compatibility/2006">
    <mc:Choice Requires="x15">
      <x15ac:absPath xmlns:x15ac="http://schemas.microsoft.com/office/spreadsheetml/2010/11/ac" url="G:\Plan_Byg_Miljoe\Natur_og_Miljø\02_Grundvand\Data\Jupiterdata\Jupiter_udvikling\"/>
    </mc:Choice>
  </mc:AlternateContent>
  <xr:revisionPtr revIDLastSave="0" documentId="13_ncr:1_{7B198DC6-664B-4A29-8845-59CE237E19AF}" xr6:coauthVersionLast="40" xr6:coauthVersionMax="40" xr10:uidLastSave="{00000000-0000-0000-0000-000000000000}"/>
  <bookViews>
    <workbookView xWindow="120" yWindow="45" windowWidth="12240" windowHeight="7170" xr2:uid="{00000000-000D-0000-FFFF-FFFF00000000}"/>
  </bookViews>
  <sheets>
    <sheet name="Analysepakker" sheetId="1" r:id="rId1"/>
    <sheet name="Rådata" sheetId="2" r:id="rId2"/>
    <sheet name="GEUS data" sheetId="3" r:id="rId3"/>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10" i="1" l="1"/>
  <c r="M210" i="1"/>
  <c r="N210" i="1"/>
  <c r="O210" i="1"/>
  <c r="K210" i="1"/>
  <c r="K151" i="1"/>
  <c r="L281" i="1"/>
  <c r="M281" i="1"/>
  <c r="N281" i="1"/>
  <c r="O281" i="1"/>
  <c r="K281" i="1"/>
  <c r="K206" i="1"/>
  <c r="K205" i="1"/>
  <c r="K270" i="1"/>
  <c r="O144" i="1" l="1"/>
  <c r="O146" i="1"/>
  <c r="O147" i="1"/>
  <c r="O148" i="1"/>
  <c r="O149" i="1"/>
  <c r="O151" i="1"/>
  <c r="O152" i="1"/>
  <c r="O153" i="1"/>
  <c r="O154" i="1"/>
  <c r="O155" i="1"/>
  <c r="O156" i="1"/>
  <c r="O157" i="1"/>
  <c r="O158" i="1"/>
  <c r="O160" i="1"/>
  <c r="O161" i="1"/>
  <c r="O162" i="1"/>
  <c r="O164" i="1"/>
  <c r="O165" i="1"/>
  <c r="O166" i="1"/>
  <c r="O167" i="1"/>
  <c r="O168" i="1"/>
  <c r="O169" i="1"/>
  <c r="O170" i="1"/>
  <c r="O171" i="1"/>
  <c r="O172" i="1"/>
  <c r="O173" i="1"/>
  <c r="O174" i="1"/>
  <c r="O175" i="1"/>
  <c r="O177" i="1"/>
  <c r="O179" i="1"/>
  <c r="O180" i="1"/>
  <c r="O181" i="1"/>
  <c r="O182" i="1"/>
  <c r="O183" i="1"/>
  <c r="O184" i="1"/>
  <c r="O189" i="1"/>
  <c r="O190" i="1"/>
  <c r="O191" i="1"/>
  <c r="O192" i="1"/>
  <c r="O195" i="1"/>
  <c r="O196" i="1"/>
  <c r="O197" i="1"/>
  <c r="O198" i="1"/>
  <c r="O199" i="1"/>
  <c r="O200" i="1"/>
  <c r="O201" i="1"/>
  <c r="O202" i="1"/>
  <c r="O203" i="1"/>
  <c r="O211" i="1"/>
  <c r="O212" i="1"/>
  <c r="O215" i="1"/>
  <c r="O216" i="1"/>
  <c r="O217" i="1"/>
  <c r="O218" i="1"/>
  <c r="O219" i="1"/>
  <c r="O220" i="1"/>
  <c r="O221" i="1"/>
  <c r="O222" i="1"/>
  <c r="O223" i="1"/>
  <c r="O224" i="1"/>
  <c r="O225" i="1"/>
  <c r="O226" i="1"/>
  <c r="O227" i="1"/>
  <c r="O228" i="1"/>
  <c r="O229" i="1"/>
  <c r="O230" i="1"/>
  <c r="O231"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63" i="1"/>
  <c r="O264" i="1"/>
  <c r="O265" i="1"/>
  <c r="O266" i="1"/>
  <c r="O269" i="1"/>
  <c r="O271" i="1"/>
  <c r="O272" i="1"/>
  <c r="O273" i="1"/>
  <c r="O275" i="1"/>
  <c r="O276" i="1"/>
  <c r="O277" i="1"/>
  <c r="O278" i="1"/>
  <c r="O279" i="1"/>
  <c r="O280" i="1"/>
  <c r="O283" i="1"/>
  <c r="O284" i="1"/>
  <c r="O286" i="1"/>
  <c r="O287" i="1"/>
  <c r="O289" i="1"/>
  <c r="O290" i="1"/>
  <c r="O293" i="1"/>
  <c r="O294" i="1"/>
  <c r="O295" i="1"/>
  <c r="O296" i="1"/>
  <c r="O297" i="1"/>
  <c r="O298" i="1"/>
  <c r="O299" i="1"/>
  <c r="O300" i="1"/>
  <c r="O301" i="1"/>
  <c r="O302" i="1"/>
  <c r="O303" i="1"/>
  <c r="O304" i="1"/>
  <c r="O305" i="1"/>
  <c r="O306" i="1"/>
  <c r="O307" i="1"/>
  <c r="O308" i="1"/>
  <c r="O309"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8" i="1"/>
  <c r="O344" i="1"/>
  <c r="O345" i="1"/>
  <c r="O346" i="1"/>
  <c r="O348" i="1"/>
  <c r="O349" i="1"/>
  <c r="O350" i="1"/>
  <c r="O351" i="1"/>
  <c r="O352" i="1"/>
  <c r="O353" i="1"/>
  <c r="O354" i="1"/>
  <c r="O355" i="1"/>
  <c r="O356" i="1"/>
  <c r="O357" i="1"/>
  <c r="O358" i="1"/>
  <c r="O359" i="1"/>
  <c r="O361" i="1"/>
  <c r="O362" i="1"/>
  <c r="O363" i="1"/>
  <c r="O364" i="1"/>
  <c r="O365" i="1"/>
  <c r="O366" i="1"/>
  <c r="N144" i="1"/>
  <c r="N146" i="1"/>
  <c r="N147" i="1"/>
  <c r="N148" i="1"/>
  <c r="N149" i="1"/>
  <c r="N151" i="1"/>
  <c r="N152" i="1"/>
  <c r="N153" i="1"/>
  <c r="N154" i="1"/>
  <c r="N155" i="1"/>
  <c r="N156" i="1"/>
  <c r="N157" i="1"/>
  <c r="N158" i="1"/>
  <c r="N160" i="1"/>
  <c r="N161" i="1"/>
  <c r="N162" i="1"/>
  <c r="N164" i="1"/>
  <c r="N165" i="1"/>
  <c r="N166" i="1"/>
  <c r="N167" i="1"/>
  <c r="N168" i="1"/>
  <c r="N169" i="1"/>
  <c r="N170" i="1"/>
  <c r="N171" i="1"/>
  <c r="N172" i="1"/>
  <c r="N173" i="1"/>
  <c r="N174" i="1"/>
  <c r="N175" i="1"/>
  <c r="N177" i="1"/>
  <c r="N179" i="1"/>
  <c r="N180" i="1"/>
  <c r="N181" i="1"/>
  <c r="N182" i="1"/>
  <c r="N183" i="1"/>
  <c r="N184" i="1"/>
  <c r="N189" i="1"/>
  <c r="N190" i="1"/>
  <c r="N191" i="1"/>
  <c r="N192" i="1"/>
  <c r="N195" i="1"/>
  <c r="N196" i="1"/>
  <c r="N197" i="1"/>
  <c r="N198" i="1"/>
  <c r="N199" i="1"/>
  <c r="N200" i="1"/>
  <c r="N201" i="1"/>
  <c r="N202" i="1"/>
  <c r="N203" i="1"/>
  <c r="N211" i="1"/>
  <c r="N212" i="1"/>
  <c r="N215" i="1"/>
  <c r="N216" i="1"/>
  <c r="N217" i="1"/>
  <c r="N218" i="1"/>
  <c r="N219" i="1"/>
  <c r="N220" i="1"/>
  <c r="N221" i="1"/>
  <c r="N222" i="1"/>
  <c r="N223" i="1"/>
  <c r="N224" i="1"/>
  <c r="N225" i="1"/>
  <c r="N226" i="1"/>
  <c r="N227" i="1"/>
  <c r="N228" i="1"/>
  <c r="N229" i="1"/>
  <c r="N230" i="1"/>
  <c r="N231"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63" i="1"/>
  <c r="N264" i="1"/>
  <c r="N265" i="1"/>
  <c r="N266" i="1"/>
  <c r="N269" i="1"/>
  <c r="N271" i="1"/>
  <c r="N272" i="1"/>
  <c r="N273" i="1"/>
  <c r="N275" i="1"/>
  <c r="N276" i="1"/>
  <c r="N277" i="1"/>
  <c r="N278" i="1"/>
  <c r="N279" i="1"/>
  <c r="N280" i="1"/>
  <c r="N283" i="1"/>
  <c r="N284" i="1"/>
  <c r="N286" i="1"/>
  <c r="N287" i="1"/>
  <c r="N289" i="1"/>
  <c r="N290" i="1"/>
  <c r="N293" i="1"/>
  <c r="N294" i="1"/>
  <c r="N295" i="1"/>
  <c r="N296" i="1"/>
  <c r="N297" i="1"/>
  <c r="N298" i="1"/>
  <c r="N299" i="1"/>
  <c r="N300" i="1"/>
  <c r="N301" i="1"/>
  <c r="N302" i="1"/>
  <c r="N303" i="1"/>
  <c r="N304" i="1"/>
  <c r="N305" i="1"/>
  <c r="N306" i="1"/>
  <c r="N307" i="1"/>
  <c r="N308" i="1"/>
  <c r="N309"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8" i="1"/>
  <c r="N344" i="1"/>
  <c r="N345" i="1"/>
  <c r="N346" i="1"/>
  <c r="N348" i="1"/>
  <c r="N349" i="1"/>
  <c r="N350" i="1"/>
  <c r="N351" i="1"/>
  <c r="N352" i="1"/>
  <c r="N353" i="1"/>
  <c r="N354" i="1"/>
  <c r="N355" i="1"/>
  <c r="N356" i="1"/>
  <c r="N357" i="1"/>
  <c r="N358" i="1"/>
  <c r="N359" i="1"/>
  <c r="N361" i="1"/>
  <c r="N362" i="1"/>
  <c r="N363" i="1"/>
  <c r="N364" i="1"/>
  <c r="N365" i="1"/>
  <c r="N366" i="1"/>
  <c r="K103" i="1" l="1"/>
  <c r="M147"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S185" i="1" l="1"/>
  <c r="L283" i="1" l="1"/>
  <c r="M283" i="1"/>
  <c r="L284" i="1"/>
  <c r="M284" i="1"/>
  <c r="L280" i="1"/>
  <c r="M280" i="1"/>
  <c r="L273" i="1"/>
  <c r="M273" i="1"/>
  <c r="L201" i="1"/>
  <c r="M201" i="1"/>
  <c r="L279" i="1"/>
  <c r="M279" i="1"/>
  <c r="L275" i="1"/>
  <c r="M275" i="1"/>
  <c r="L276" i="1"/>
  <c r="M276" i="1"/>
  <c r="L277" i="1"/>
  <c r="M277" i="1"/>
  <c r="L211" i="1"/>
  <c r="M211" i="1"/>
  <c r="L212" i="1"/>
  <c r="M212" i="1"/>
  <c r="L203" i="1"/>
  <c r="M203" i="1"/>
  <c r="L290" i="1"/>
  <c r="M290" i="1"/>
  <c r="L286" i="1"/>
  <c r="M286" i="1"/>
  <c r="L155" i="1"/>
  <c r="M155" i="1"/>
  <c r="L156" i="1"/>
  <c r="M156" i="1"/>
  <c r="L157" i="1"/>
  <c r="M157" i="1"/>
  <c r="L158" i="1"/>
  <c r="M158" i="1"/>
  <c r="K25" i="1"/>
  <c r="L263" i="1"/>
  <c r="M263" i="1"/>
  <c r="L289" i="1"/>
  <c r="M289" i="1"/>
  <c r="L287" i="1"/>
  <c r="M287" i="1"/>
  <c r="K288" i="1"/>
  <c r="L152" i="1"/>
  <c r="M152" i="1"/>
  <c r="L153" i="1"/>
  <c r="M153" i="1"/>
  <c r="L154" i="1"/>
  <c r="M154" i="1"/>
  <c r="L202" i="1"/>
  <c r="M202" i="1"/>
  <c r="K202" i="1"/>
  <c r="L269" i="1"/>
  <c r="M269" i="1"/>
  <c r="L198" i="1"/>
  <c r="M198" i="1"/>
  <c r="L192" i="1"/>
  <c r="M192" i="1"/>
  <c r="L149" i="1"/>
  <c r="M149" i="1"/>
  <c r="L278" i="1"/>
  <c r="M278" i="1"/>
  <c r="K278" i="1"/>
  <c r="L144" i="1"/>
  <c r="M144" i="1"/>
  <c r="K144" i="1"/>
  <c r="L344" i="1"/>
  <c r="M344" i="1"/>
  <c r="L345" i="1"/>
  <c r="M345" i="1"/>
  <c r="L346" i="1"/>
  <c r="M346" i="1"/>
  <c r="L160" i="1"/>
  <c r="M160" i="1"/>
  <c r="L161" i="1"/>
  <c r="M161" i="1"/>
  <c r="L162" i="1"/>
  <c r="M162" i="1"/>
  <c r="L348" i="1"/>
  <c r="M348" i="1"/>
  <c r="L349" i="1"/>
  <c r="M349" i="1"/>
  <c r="L350" i="1"/>
  <c r="M350" i="1"/>
  <c r="L351" i="1"/>
  <c r="M351" i="1"/>
  <c r="L352" i="1"/>
  <c r="M352" i="1"/>
  <c r="L353" i="1"/>
  <c r="M353" i="1"/>
  <c r="L354" i="1"/>
  <c r="M354" i="1"/>
  <c r="L355" i="1"/>
  <c r="M355" i="1"/>
  <c r="L356" i="1"/>
  <c r="M356" i="1"/>
  <c r="L357" i="1"/>
  <c r="M357" i="1"/>
  <c r="L358" i="1"/>
  <c r="M358" i="1"/>
  <c r="L359" i="1"/>
  <c r="M359" i="1"/>
  <c r="L164" i="1"/>
  <c r="M164" i="1"/>
  <c r="L165" i="1"/>
  <c r="M165" i="1"/>
  <c r="L166" i="1"/>
  <c r="M166" i="1"/>
  <c r="L167" i="1"/>
  <c r="M167" i="1"/>
  <c r="L168" i="1"/>
  <c r="M168" i="1"/>
  <c r="L169" i="1"/>
  <c r="M169" i="1"/>
  <c r="L170" i="1"/>
  <c r="M170" i="1"/>
  <c r="L171" i="1"/>
  <c r="M171" i="1"/>
  <c r="L172" i="1"/>
  <c r="M172" i="1"/>
  <c r="L173" i="1"/>
  <c r="M173" i="1"/>
  <c r="L174" i="1"/>
  <c r="M174" i="1"/>
  <c r="L175" i="1"/>
  <c r="M175" i="1"/>
  <c r="L338" i="1"/>
  <c r="M338" i="1"/>
  <c r="L177" i="1"/>
  <c r="M177" i="1"/>
  <c r="L179" i="1"/>
  <c r="M179" i="1"/>
  <c r="L180" i="1"/>
  <c r="M180" i="1"/>
  <c r="L181" i="1"/>
  <c r="M181" i="1"/>
  <c r="L182" i="1"/>
  <c r="M182" i="1"/>
  <c r="L183" i="1"/>
  <c r="M183" i="1"/>
  <c r="L184" i="1"/>
  <c r="M184" i="1"/>
  <c r="K183" i="1"/>
  <c r="L361" i="1"/>
  <c r="M361" i="1"/>
  <c r="L362" i="1"/>
  <c r="M362" i="1"/>
  <c r="L363" i="1"/>
  <c r="M363" i="1"/>
  <c r="L364" i="1"/>
  <c r="M364" i="1"/>
  <c r="L365" i="1"/>
  <c r="M365" i="1"/>
  <c r="L366" i="1"/>
  <c r="M366" i="1"/>
  <c r="K365"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K224" i="1"/>
  <c r="K229"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K302" i="1"/>
  <c r="K307"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M257" i="1"/>
  <c r="L258" i="1"/>
  <c r="M258" i="1"/>
  <c r="K241" i="1"/>
  <c r="K242" i="1"/>
  <c r="K243" i="1"/>
  <c r="K244" i="1"/>
  <c r="K250" i="1"/>
  <c r="K254" i="1"/>
  <c r="K233" i="1"/>
  <c r="K237" i="1"/>
  <c r="K238"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M335" i="1"/>
  <c r="L336" i="1"/>
  <c r="M336" i="1"/>
  <c r="K332" i="1"/>
  <c r="K328" i="1"/>
  <c r="K322" i="1"/>
  <c r="K321" i="1"/>
  <c r="K320" i="1"/>
  <c r="K319" i="1"/>
  <c r="K311" i="1"/>
  <c r="K315" i="1"/>
  <c r="K316" i="1"/>
  <c r="K318" i="1"/>
  <c r="K240" i="1"/>
  <c r="L271" i="1"/>
  <c r="M271" i="1"/>
  <c r="L199" i="1"/>
  <c r="M199" i="1"/>
  <c r="L151" i="1"/>
  <c r="M151" i="1"/>
  <c r="L272" i="1"/>
  <c r="M272" i="1"/>
  <c r="L200" i="1"/>
  <c r="M200" i="1"/>
  <c r="L189" i="1"/>
  <c r="M189" i="1"/>
  <c r="L190" i="1"/>
  <c r="M190" i="1"/>
  <c r="K190" i="1"/>
  <c r="L146" i="1"/>
  <c r="M146" i="1"/>
  <c r="L147" i="1"/>
  <c r="K147" i="1"/>
  <c r="L191" i="1"/>
  <c r="M191" i="1"/>
  <c r="K191" i="1"/>
  <c r="L148" i="1"/>
  <c r="M148" i="1"/>
  <c r="K148" i="1"/>
  <c r="L266" i="1"/>
  <c r="M266" i="1"/>
  <c r="L197" i="1"/>
  <c r="M197" i="1"/>
  <c r="L265" i="1"/>
  <c r="M265" i="1"/>
  <c r="L196" i="1"/>
  <c r="M196" i="1"/>
  <c r="L264" i="1"/>
  <c r="M264" i="1"/>
  <c r="L195" i="1"/>
  <c r="M195"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282" i="1" l="1"/>
  <c r="G210" i="1"/>
  <c r="G205" i="1"/>
  <c r="G206" i="1"/>
  <c r="G270" i="1"/>
  <c r="S270" i="1" s="1"/>
  <c r="G281" i="1"/>
  <c r="G242" i="1"/>
  <c r="S242" i="1" s="1"/>
  <c r="G254" i="1"/>
  <c r="S254" i="1" s="1"/>
  <c r="G121" i="1"/>
  <c r="S121" i="1" s="1"/>
  <c r="G84" i="1"/>
  <c r="S84" i="1" s="1"/>
  <c r="G90" i="1"/>
  <c r="S90" i="1" s="1"/>
  <c r="G77" i="1"/>
  <c r="S77" i="1" s="1"/>
  <c r="G16" i="1"/>
  <c r="S16" i="1" s="1"/>
  <c r="G25" i="1"/>
  <c r="S25" i="1" s="1"/>
  <c r="G18" i="1"/>
  <c r="G318" i="1"/>
  <c r="S318" i="1" s="1"/>
  <c r="G237" i="1"/>
  <c r="S237" i="1" s="1"/>
  <c r="G243" i="1"/>
  <c r="S243" i="1" s="1"/>
  <c r="G229" i="1"/>
  <c r="S229" i="1" s="1"/>
  <c r="G147" i="1"/>
  <c r="S147" i="1" s="1"/>
  <c r="G122" i="1"/>
  <c r="S122" i="1" s="1"/>
  <c r="G114" i="1"/>
  <c r="S114" i="1" s="1"/>
  <c r="G85" i="1"/>
  <c r="S85" i="1" s="1"/>
  <c r="G91" i="1"/>
  <c r="S91" i="1" s="1"/>
  <c r="G319" i="1"/>
  <c r="G311" i="1"/>
  <c r="S311" i="1" s="1"/>
  <c r="G278" i="1"/>
  <c r="S278" i="1" s="1"/>
  <c r="G238" i="1"/>
  <c r="S238" i="1" s="1"/>
  <c r="G244" i="1"/>
  <c r="S244" i="1" s="1"/>
  <c r="G250" i="1"/>
  <c r="S250" i="1" s="1"/>
  <c r="G224" i="1"/>
  <c r="S224" i="1" s="1"/>
  <c r="G202" i="1"/>
  <c r="S202" i="1" s="1"/>
  <c r="G148" i="1"/>
  <c r="S148" i="1" s="1"/>
  <c r="G123" i="1"/>
  <c r="S123" i="1" s="1"/>
  <c r="G135" i="1"/>
  <c r="S135" i="1" s="1"/>
  <c r="G92" i="1"/>
  <c r="S92" i="1" s="1"/>
  <c r="G86" i="1"/>
  <c r="S86" i="1" s="1"/>
  <c r="G80" i="1"/>
  <c r="S80" i="1" s="1"/>
  <c r="G365" i="1"/>
  <c r="G320" i="1"/>
  <c r="S320" i="1" s="1"/>
  <c r="G332" i="1"/>
  <c r="S332" i="1" s="1"/>
  <c r="G288" i="1"/>
  <c r="S288" i="1" s="1"/>
  <c r="G190" i="1"/>
  <c r="S190" i="1" s="1"/>
  <c r="G118" i="1"/>
  <c r="S118" i="1" s="1"/>
  <c r="G124" i="1"/>
  <c r="S124" i="1" s="1"/>
  <c r="G103" i="1"/>
  <c r="S103" i="1" s="1"/>
  <c r="G81" i="1"/>
  <c r="S81" i="1" s="1"/>
  <c r="G87" i="1"/>
  <c r="S87" i="1" s="1"/>
  <c r="G315" i="1"/>
  <c r="S315" i="1" s="1"/>
  <c r="G321" i="1"/>
  <c r="S321" i="1" s="1"/>
  <c r="G307" i="1"/>
  <c r="S307" i="1" s="1"/>
  <c r="G240" i="1"/>
  <c r="S240" i="1" s="1"/>
  <c r="G191" i="1"/>
  <c r="S191" i="1" s="1"/>
  <c r="G183" i="1"/>
  <c r="G119" i="1"/>
  <c r="S119" i="1" s="1"/>
  <c r="G125" i="1"/>
  <c r="S125" i="1" s="1"/>
  <c r="G131" i="1"/>
  <c r="S131" i="1" s="1"/>
  <c r="G110" i="1"/>
  <c r="S110" i="1" s="1"/>
  <c r="G82" i="1"/>
  <c r="S82" i="1" s="1"/>
  <c r="G88" i="1"/>
  <c r="S88" i="1" s="1"/>
  <c r="G316" i="1"/>
  <c r="S316" i="1" s="1"/>
  <c r="G322" i="1"/>
  <c r="S322" i="1" s="1"/>
  <c r="G328" i="1"/>
  <c r="S328" i="1" s="1"/>
  <c r="G302" i="1"/>
  <c r="S302" i="1" s="1"/>
  <c r="G241" i="1"/>
  <c r="S241" i="1" s="1"/>
  <c r="G233" i="1"/>
  <c r="S233" i="1" s="1"/>
  <c r="G144" i="1"/>
  <c r="S144" i="1" s="1"/>
  <c r="T144" i="1" s="1"/>
  <c r="G105" i="1"/>
  <c r="S105" i="1" s="1"/>
  <c r="G83" i="1"/>
  <c r="S83" i="1" s="1"/>
  <c r="G89" i="1"/>
  <c r="S89" i="1" s="1"/>
  <c r="G14" i="1"/>
  <c r="S14" i="1" s="1"/>
  <c r="Q3" i="1"/>
  <c r="S319" i="1"/>
  <c r="R3" i="1"/>
  <c r="R4" i="1"/>
  <c r="Q4" i="1"/>
  <c r="P3" i="1" l="1"/>
  <c r="F3" i="1" s="1"/>
  <c r="K341" i="1" l="1"/>
  <c r="G341" i="1" s="1"/>
  <c r="K342" i="1"/>
  <c r="G342" i="1" s="1"/>
  <c r="K340" i="1"/>
  <c r="G340" i="1" s="1"/>
  <c r="K267" i="1"/>
  <c r="G267" i="1" s="1"/>
  <c r="S267" i="1" s="1"/>
  <c r="K268" i="1"/>
  <c r="G268" i="1" s="1"/>
  <c r="S268" i="1" s="1"/>
  <c r="K274" i="1"/>
  <c r="G274" i="1" s="1"/>
  <c r="S274" i="1" s="1"/>
  <c r="S281" i="1"/>
  <c r="K282" i="1"/>
  <c r="S282" i="1" s="1"/>
  <c r="K204" i="1"/>
  <c r="K207" i="1"/>
  <c r="K208" i="1"/>
  <c r="G208" i="1" s="1"/>
  <c r="S208" i="1" s="1"/>
  <c r="K194" i="1"/>
  <c r="G194" i="1" s="1"/>
  <c r="S194" i="1" s="1"/>
  <c r="K280" i="1" l="1"/>
  <c r="G280" i="1" s="1"/>
  <c r="S280" i="1" s="1"/>
  <c r="G204" i="1"/>
  <c r="S204" i="1" s="1"/>
  <c r="K284" i="1"/>
  <c r="G284" i="1" s="1"/>
  <c r="S284" i="1" s="1"/>
  <c r="G207" i="1"/>
  <c r="K283" i="1"/>
  <c r="G283" i="1" s="1"/>
  <c r="S283" i="1" s="1"/>
  <c r="K76" i="1"/>
  <c r="G76" i="1" s="1"/>
  <c r="K75" i="1"/>
  <c r="G75" i="1" s="1"/>
  <c r="K364" i="1" l="1"/>
  <c r="G364" i="1" s="1"/>
  <c r="K182" i="1"/>
  <c r="G182" i="1" s="1"/>
  <c r="S76" i="1"/>
  <c r="K363" i="1"/>
  <c r="G363" i="1" s="1"/>
  <c r="K181" i="1"/>
  <c r="G181" i="1" s="1"/>
  <c r="S75" i="1"/>
  <c r="K115" i="1"/>
  <c r="K116" i="1"/>
  <c r="K117" i="1"/>
  <c r="K120" i="1"/>
  <c r="K126" i="1"/>
  <c r="K127" i="1"/>
  <c r="K128" i="1"/>
  <c r="K129" i="1"/>
  <c r="K130" i="1"/>
  <c r="K132" i="1"/>
  <c r="K133" i="1"/>
  <c r="K134" i="1"/>
  <c r="K136" i="1"/>
  <c r="G136" i="1" s="1"/>
  <c r="K137" i="1"/>
  <c r="K138" i="1"/>
  <c r="K139" i="1"/>
  <c r="K96" i="1"/>
  <c r="G96" i="1" s="1"/>
  <c r="K97" i="1"/>
  <c r="G97" i="1" s="1"/>
  <c r="K98" i="1"/>
  <c r="G98" i="1" s="1"/>
  <c r="K99" i="1"/>
  <c r="G99" i="1" s="1"/>
  <c r="K100" i="1"/>
  <c r="G100" i="1" s="1"/>
  <c r="K101" i="1"/>
  <c r="G101" i="1" s="1"/>
  <c r="K102" i="1"/>
  <c r="G102" i="1" s="1"/>
  <c r="K104" i="1"/>
  <c r="G104" i="1" s="1"/>
  <c r="K106" i="1"/>
  <c r="K107" i="1"/>
  <c r="K108" i="1"/>
  <c r="K109" i="1"/>
  <c r="K111" i="1"/>
  <c r="K112" i="1"/>
  <c r="K95" i="1"/>
  <c r="G95" i="1" s="1"/>
  <c r="K74" i="1"/>
  <c r="K78" i="1"/>
  <c r="G78" i="1" s="1"/>
  <c r="K73" i="1"/>
  <c r="K71" i="1"/>
  <c r="K59" i="1"/>
  <c r="G59" i="1" s="1"/>
  <c r="K60" i="1"/>
  <c r="G60" i="1" s="1"/>
  <c r="K61" i="1"/>
  <c r="G61" i="1" s="1"/>
  <c r="K62" i="1"/>
  <c r="G62" i="1" s="1"/>
  <c r="K63" i="1"/>
  <c r="G63" i="1" s="1"/>
  <c r="K64" i="1"/>
  <c r="G64" i="1" s="1"/>
  <c r="K65" i="1"/>
  <c r="G65" i="1" s="1"/>
  <c r="K66" i="1"/>
  <c r="G66" i="1" s="1"/>
  <c r="K67" i="1"/>
  <c r="G67" i="1" s="1"/>
  <c r="K68" i="1"/>
  <c r="G68" i="1" s="1"/>
  <c r="K69" i="1"/>
  <c r="G69" i="1" s="1"/>
  <c r="K58" i="1"/>
  <c r="G58" i="1" s="1"/>
  <c r="K56" i="1"/>
  <c r="G56" i="1" s="1"/>
  <c r="S56" i="1" s="1"/>
  <c r="K53" i="1"/>
  <c r="K54" i="1"/>
  <c r="K52" i="1"/>
  <c r="K37" i="1"/>
  <c r="K38" i="1"/>
  <c r="G38" i="1" s="1"/>
  <c r="K39" i="1"/>
  <c r="G39" i="1" s="1"/>
  <c r="K40" i="1"/>
  <c r="G40" i="1" s="1"/>
  <c r="K41" i="1"/>
  <c r="G41" i="1" s="1"/>
  <c r="K42" i="1"/>
  <c r="G42" i="1" s="1"/>
  <c r="K43" i="1"/>
  <c r="G43" i="1" s="1"/>
  <c r="K44" i="1"/>
  <c r="K45" i="1"/>
  <c r="G45" i="1" s="1"/>
  <c r="K46" i="1"/>
  <c r="K47" i="1"/>
  <c r="G47" i="1" s="1"/>
  <c r="K48" i="1"/>
  <c r="K49" i="1"/>
  <c r="K50" i="1"/>
  <c r="G50" i="1" s="1"/>
  <c r="K36" i="1"/>
  <c r="G36" i="1" s="1"/>
  <c r="K26" i="1"/>
  <c r="G26" i="1" s="1"/>
  <c r="K27" i="1"/>
  <c r="G27" i="1" s="1"/>
  <c r="K28" i="1"/>
  <c r="G28" i="1" s="1"/>
  <c r="K29" i="1"/>
  <c r="G29" i="1" s="1"/>
  <c r="K30" i="1"/>
  <c r="G30" i="1" s="1"/>
  <c r="K31" i="1"/>
  <c r="G31" i="1" s="1"/>
  <c r="K32" i="1"/>
  <c r="G32" i="1" s="1"/>
  <c r="K33" i="1"/>
  <c r="K34" i="1"/>
  <c r="G34" i="1" s="1"/>
  <c r="K23" i="1"/>
  <c r="K9" i="1"/>
  <c r="K10" i="1"/>
  <c r="K11" i="1"/>
  <c r="K12" i="1"/>
  <c r="G12" i="1" s="1"/>
  <c r="K13" i="1"/>
  <c r="G13" i="1" s="1"/>
  <c r="K15" i="1"/>
  <c r="K17" i="1"/>
  <c r="K8" i="1"/>
  <c r="G11" i="1" l="1"/>
  <c r="S11" i="1" s="1"/>
  <c r="G8" i="1"/>
  <c r="S8" i="1" s="1"/>
  <c r="T8" i="1" s="1"/>
  <c r="G10" i="1"/>
  <c r="S10" i="1" s="1"/>
  <c r="K231" i="1"/>
  <c r="G231" i="1" s="1"/>
  <c r="S231" i="1" s="1"/>
  <c r="K309" i="1"/>
  <c r="G309" i="1" s="1"/>
  <c r="S309" i="1" s="1"/>
  <c r="G112" i="1"/>
  <c r="S112" i="1" s="1"/>
  <c r="K253" i="1"/>
  <c r="G253" i="1" s="1"/>
  <c r="S253" i="1" s="1"/>
  <c r="K331" i="1"/>
  <c r="G331" i="1" s="1"/>
  <c r="S331" i="1" s="1"/>
  <c r="G134" i="1"/>
  <c r="S134" i="1" s="1"/>
  <c r="K324" i="1"/>
  <c r="G324" i="1" s="1"/>
  <c r="S324" i="1" s="1"/>
  <c r="K246" i="1"/>
  <c r="G246" i="1" s="1"/>
  <c r="S246" i="1" s="1"/>
  <c r="G127" i="1"/>
  <c r="S127" i="1" s="1"/>
  <c r="K200" i="1"/>
  <c r="G200" i="1" s="1"/>
  <c r="S200" i="1" s="1"/>
  <c r="K272" i="1"/>
  <c r="G272" i="1" s="1"/>
  <c r="S272" i="1" s="1"/>
  <c r="G17" i="1"/>
  <c r="S17" i="1" s="1"/>
  <c r="K338" i="1"/>
  <c r="G338" i="1" s="1"/>
  <c r="H337" i="1" s="1"/>
  <c r="K177" i="1"/>
  <c r="G177" i="1" s="1"/>
  <c r="H176" i="1" s="1"/>
  <c r="G71" i="1"/>
  <c r="S71" i="1" s="1"/>
  <c r="K230" i="1"/>
  <c r="G230" i="1" s="1"/>
  <c r="S230" i="1" s="1"/>
  <c r="K308" i="1"/>
  <c r="G308" i="1" s="1"/>
  <c r="S308" i="1" s="1"/>
  <c r="G111" i="1"/>
  <c r="S111" i="1" s="1"/>
  <c r="K330" i="1"/>
  <c r="G330" i="1" s="1"/>
  <c r="S330" i="1" s="1"/>
  <c r="K252" i="1"/>
  <c r="G252" i="1" s="1"/>
  <c r="S252" i="1" s="1"/>
  <c r="G133" i="1"/>
  <c r="S133" i="1" s="1"/>
  <c r="K323" i="1"/>
  <c r="G323" i="1" s="1"/>
  <c r="S323" i="1" s="1"/>
  <c r="K245" i="1"/>
  <c r="G245" i="1" s="1"/>
  <c r="S245" i="1" s="1"/>
  <c r="G126" i="1"/>
  <c r="S126" i="1" s="1"/>
  <c r="G9" i="1"/>
  <c r="S9" i="1" s="1"/>
  <c r="G44" i="1"/>
  <c r="S44" i="1" s="1"/>
  <c r="K146" i="1"/>
  <c r="G146" i="1" s="1"/>
  <c r="S146" i="1" s="1"/>
  <c r="K189" i="1"/>
  <c r="G189" i="1" s="1"/>
  <c r="S189" i="1" s="1"/>
  <c r="T189" i="1" s="1"/>
  <c r="G15" i="1"/>
  <c r="S15" i="1" s="1"/>
  <c r="K149" i="1"/>
  <c r="G149" i="1" s="1"/>
  <c r="S149" i="1" s="1"/>
  <c r="K192" i="1"/>
  <c r="G192" i="1" s="1"/>
  <c r="S192" i="1" s="1"/>
  <c r="G23" i="1"/>
  <c r="S23" i="1" s="1"/>
  <c r="T23" i="1" s="1"/>
  <c r="T24" i="1" s="1"/>
  <c r="T25" i="1" s="1"/>
  <c r="G49" i="1"/>
  <c r="S49" i="1" s="1"/>
  <c r="G37" i="1"/>
  <c r="S37" i="1" s="1"/>
  <c r="K179" i="1"/>
  <c r="G179" i="1" s="1"/>
  <c r="K361" i="1"/>
  <c r="G361" i="1" s="1"/>
  <c r="G73" i="1"/>
  <c r="S73" i="1" s="1"/>
  <c r="K228" i="1"/>
  <c r="G228" i="1" s="1"/>
  <c r="S228" i="1" s="1"/>
  <c r="K306" i="1"/>
  <c r="G306" i="1" s="1"/>
  <c r="S306" i="1" s="1"/>
  <c r="G109" i="1"/>
  <c r="S109" i="1" s="1"/>
  <c r="K258" i="1"/>
  <c r="G258" i="1" s="1"/>
  <c r="S258" i="1" s="1"/>
  <c r="K336" i="1"/>
  <c r="G336" i="1" s="1"/>
  <c r="S336" i="1" s="1"/>
  <c r="G139" i="1"/>
  <c r="S139" i="1" s="1"/>
  <c r="K251" i="1"/>
  <c r="G251" i="1" s="1"/>
  <c r="S251" i="1" s="1"/>
  <c r="K329" i="1"/>
  <c r="G329" i="1" s="1"/>
  <c r="S329" i="1" s="1"/>
  <c r="G132" i="1"/>
  <c r="S132" i="1" s="1"/>
  <c r="K317" i="1"/>
  <c r="G317" i="1" s="1"/>
  <c r="S317" i="1" s="1"/>
  <c r="K239" i="1"/>
  <c r="G239" i="1" s="1"/>
  <c r="S239" i="1" s="1"/>
  <c r="G120" i="1"/>
  <c r="S120" i="1" s="1"/>
  <c r="G48" i="1"/>
  <c r="S48" i="1" s="1"/>
  <c r="K344" i="1"/>
  <c r="G344" i="1" s="1"/>
  <c r="K160" i="1"/>
  <c r="G160" i="1" s="1"/>
  <c r="G52" i="1"/>
  <c r="S52" i="1" s="1"/>
  <c r="K227" i="1"/>
  <c r="G227" i="1" s="1"/>
  <c r="S227" i="1" s="1"/>
  <c r="K305" i="1"/>
  <c r="G305" i="1" s="1"/>
  <c r="S305" i="1" s="1"/>
  <c r="G108" i="1"/>
  <c r="S108" i="1" s="1"/>
  <c r="K257" i="1"/>
  <c r="K335" i="1"/>
  <c r="K327" i="1"/>
  <c r="G327" i="1" s="1"/>
  <c r="S327" i="1" s="1"/>
  <c r="K249" i="1"/>
  <c r="G249" i="1" s="1"/>
  <c r="S249" i="1" s="1"/>
  <c r="G130" i="1"/>
  <c r="S130" i="1" s="1"/>
  <c r="K314" i="1"/>
  <c r="G314" i="1" s="1"/>
  <c r="S314" i="1" s="1"/>
  <c r="K236" i="1"/>
  <c r="G236" i="1" s="1"/>
  <c r="S236" i="1" s="1"/>
  <c r="G117" i="1"/>
  <c r="S117" i="1" s="1"/>
  <c r="G33" i="1"/>
  <c r="S33" i="1" s="1"/>
  <c r="K162" i="1"/>
  <c r="G162" i="1" s="1"/>
  <c r="K346" i="1"/>
  <c r="G346" i="1" s="1"/>
  <c r="G54" i="1"/>
  <c r="S54" i="1" s="1"/>
  <c r="K180" i="1"/>
  <c r="G180" i="1" s="1"/>
  <c r="K362" i="1"/>
  <c r="G362" i="1" s="1"/>
  <c r="G74" i="1"/>
  <c r="S74" i="1" s="1"/>
  <c r="K226" i="1"/>
  <c r="G226" i="1" s="1"/>
  <c r="S226" i="1" s="1"/>
  <c r="K304" i="1"/>
  <c r="G304" i="1" s="1"/>
  <c r="S304" i="1" s="1"/>
  <c r="G107" i="1"/>
  <c r="S107" i="1" s="1"/>
  <c r="K334" i="1"/>
  <c r="G334" i="1" s="1"/>
  <c r="S334" i="1" s="1"/>
  <c r="K256" i="1"/>
  <c r="G256" i="1" s="1"/>
  <c r="S256" i="1" s="1"/>
  <c r="G137" i="1"/>
  <c r="S137" i="1" s="1"/>
  <c r="K248" i="1"/>
  <c r="G248" i="1" s="1"/>
  <c r="S248" i="1" s="1"/>
  <c r="K326" i="1"/>
  <c r="G326" i="1" s="1"/>
  <c r="S326" i="1" s="1"/>
  <c r="G129" i="1"/>
  <c r="S129" i="1" s="1"/>
  <c r="K235" i="1"/>
  <c r="G235" i="1" s="1"/>
  <c r="S235" i="1" s="1"/>
  <c r="K313" i="1"/>
  <c r="G313" i="1" s="1"/>
  <c r="S313" i="1" s="1"/>
  <c r="G116" i="1"/>
  <c r="S116" i="1" s="1"/>
  <c r="G46" i="1"/>
  <c r="S46" i="1" s="1"/>
  <c r="K345" i="1"/>
  <c r="G345" i="1" s="1"/>
  <c r="K161" i="1"/>
  <c r="G161" i="1" s="1"/>
  <c r="G53" i="1"/>
  <c r="S53" i="1" s="1"/>
  <c r="K225" i="1"/>
  <c r="G225" i="1" s="1"/>
  <c r="S225" i="1" s="1"/>
  <c r="K303" i="1"/>
  <c r="G303" i="1" s="1"/>
  <c r="S303" i="1" s="1"/>
  <c r="G106" i="1"/>
  <c r="S106" i="1" s="1"/>
  <c r="K247" i="1"/>
  <c r="G247" i="1" s="1"/>
  <c r="S247" i="1" s="1"/>
  <c r="K325" i="1"/>
  <c r="G325" i="1" s="1"/>
  <c r="S325" i="1" s="1"/>
  <c r="G128" i="1"/>
  <c r="S128" i="1" s="1"/>
  <c r="K234" i="1"/>
  <c r="G234" i="1" s="1"/>
  <c r="S234" i="1" s="1"/>
  <c r="K312" i="1"/>
  <c r="G312" i="1" s="1"/>
  <c r="S312" i="1" s="1"/>
  <c r="G115" i="1"/>
  <c r="S115" i="1" s="1"/>
  <c r="K255" i="1"/>
  <c r="K333" i="1"/>
  <c r="S136" i="1"/>
  <c r="K276" i="1"/>
  <c r="S31" i="1"/>
  <c r="S36" i="1"/>
  <c r="K156" i="1"/>
  <c r="S45" i="1"/>
  <c r="K153" i="1"/>
  <c r="S39" i="1"/>
  <c r="K171" i="1"/>
  <c r="G171" i="1" s="1"/>
  <c r="K355" i="1"/>
  <c r="G355" i="1" s="1"/>
  <c r="S65" i="1"/>
  <c r="K349" i="1"/>
  <c r="G349" i="1" s="1"/>
  <c r="K165" i="1"/>
  <c r="G165" i="1" s="1"/>
  <c r="S59" i="1"/>
  <c r="K223" i="1"/>
  <c r="K301" i="1"/>
  <c r="S104" i="1"/>
  <c r="K275" i="1"/>
  <c r="S30" i="1"/>
  <c r="K158" i="1"/>
  <c r="S50" i="1"/>
  <c r="K152" i="1"/>
  <c r="K211" i="1"/>
  <c r="K287" i="1"/>
  <c r="S38" i="1"/>
  <c r="K164" i="1"/>
  <c r="G164" i="1" s="1"/>
  <c r="K348" i="1"/>
  <c r="G348" i="1" s="1"/>
  <c r="S58" i="1"/>
  <c r="K300" i="1"/>
  <c r="K222" i="1"/>
  <c r="S102" i="1"/>
  <c r="K273" i="1"/>
  <c r="K201" i="1"/>
  <c r="S29" i="1"/>
  <c r="K175" i="1"/>
  <c r="G175" i="1" s="1"/>
  <c r="K359" i="1"/>
  <c r="G359" i="1" s="1"/>
  <c r="S69" i="1"/>
  <c r="K169" i="1"/>
  <c r="G169" i="1" s="1"/>
  <c r="K353" i="1"/>
  <c r="G353" i="1" s="1"/>
  <c r="S63" i="1"/>
  <c r="K299" i="1"/>
  <c r="K221" i="1"/>
  <c r="S101" i="1"/>
  <c r="K196" i="1"/>
  <c r="K265" i="1"/>
  <c r="S13" i="1"/>
  <c r="K279" i="1"/>
  <c r="S34" i="1"/>
  <c r="K199" i="1"/>
  <c r="K271" i="1"/>
  <c r="S28" i="1"/>
  <c r="K290" i="1"/>
  <c r="S42" i="1"/>
  <c r="K174" i="1"/>
  <c r="G174" i="1" s="1"/>
  <c r="K358" i="1"/>
  <c r="G358" i="1" s="1"/>
  <c r="S68" i="1"/>
  <c r="K352" i="1"/>
  <c r="G352" i="1" s="1"/>
  <c r="K168" i="1"/>
  <c r="G168" i="1" s="1"/>
  <c r="S62" i="1"/>
  <c r="K298" i="1"/>
  <c r="K220" i="1"/>
  <c r="S100" i="1"/>
  <c r="K198" i="1"/>
  <c r="G198" i="1" s="1"/>
  <c r="K269" i="1"/>
  <c r="S27" i="1"/>
  <c r="K157" i="1"/>
  <c r="K286" i="1"/>
  <c r="K212" i="1"/>
  <c r="S47" i="1"/>
  <c r="K154" i="1"/>
  <c r="S41" i="1"/>
  <c r="K173" i="1"/>
  <c r="G173" i="1" s="1"/>
  <c r="K357" i="1"/>
  <c r="G357" i="1" s="1"/>
  <c r="S67" i="1"/>
  <c r="K167" i="1"/>
  <c r="G167" i="1" s="1"/>
  <c r="K351" i="1"/>
  <c r="G351" i="1" s="1"/>
  <c r="S61" i="1"/>
  <c r="K219" i="1"/>
  <c r="K297" i="1"/>
  <c r="S99" i="1"/>
  <c r="K155" i="1"/>
  <c r="S43" i="1"/>
  <c r="K264" i="1"/>
  <c r="K195" i="1"/>
  <c r="S12" i="1"/>
  <c r="K277" i="1"/>
  <c r="K203" i="1"/>
  <c r="S32" i="1"/>
  <c r="K266" i="1"/>
  <c r="K197" i="1"/>
  <c r="S26" i="1"/>
  <c r="K289" i="1"/>
  <c r="S40" i="1"/>
  <c r="K356" i="1"/>
  <c r="G356" i="1" s="1"/>
  <c r="K172" i="1"/>
  <c r="G172" i="1" s="1"/>
  <c r="S66" i="1"/>
  <c r="K166" i="1"/>
  <c r="G166" i="1" s="1"/>
  <c r="K350" i="1"/>
  <c r="G350" i="1" s="1"/>
  <c r="S60" i="1"/>
  <c r="K293" i="1"/>
  <c r="G293" i="1" s="1"/>
  <c r="K215" i="1"/>
  <c r="S95" i="1"/>
  <c r="K218" i="1"/>
  <c r="K296" i="1"/>
  <c r="G296" i="1" s="1"/>
  <c r="S98" i="1"/>
  <c r="K217" i="1"/>
  <c r="K295" i="1"/>
  <c r="G295" i="1" s="1"/>
  <c r="S97" i="1"/>
  <c r="K294" i="1"/>
  <c r="G294" i="1" s="1"/>
  <c r="K216" i="1"/>
  <c r="S96" i="1"/>
  <c r="K184" i="1"/>
  <c r="G184" i="1" s="1"/>
  <c r="K366" i="1"/>
  <c r="S78" i="1"/>
  <c r="K354" i="1"/>
  <c r="G354" i="1" s="1"/>
  <c r="K170" i="1"/>
  <c r="G170" i="1" s="1"/>
  <c r="S64" i="1"/>
  <c r="H143" i="1"/>
  <c r="H55" i="1"/>
  <c r="H70" i="1" l="1"/>
  <c r="H22" i="1"/>
  <c r="T26" i="1"/>
  <c r="T9" i="1"/>
  <c r="T10" i="1" s="1"/>
  <c r="T11" i="1" s="1"/>
  <c r="G215" i="1"/>
  <c r="S215" i="1" s="1"/>
  <c r="G264" i="1"/>
  <c r="S264" i="1" s="1"/>
  <c r="G279" i="1"/>
  <c r="S279" i="1" s="1"/>
  <c r="G211" i="1"/>
  <c r="S211" i="1" s="1"/>
  <c r="G218" i="1"/>
  <c r="S218" i="1" s="1"/>
  <c r="G297" i="1"/>
  <c r="S297" i="1" s="1"/>
  <c r="G197" i="1"/>
  <c r="S197" i="1" s="1"/>
  <c r="G195" i="1"/>
  <c r="S195" i="1" s="1"/>
  <c r="G219" i="1"/>
  <c r="S219" i="1" s="1"/>
  <c r="G157" i="1"/>
  <c r="S157" i="1" s="1"/>
  <c r="G298" i="1"/>
  <c r="S298" i="1" s="1"/>
  <c r="G221" i="1"/>
  <c r="S221" i="1" s="1"/>
  <c r="G222" i="1"/>
  <c r="S222" i="1" s="1"/>
  <c r="G287" i="1"/>
  <c r="S287" i="1" s="1"/>
  <c r="G275" i="1"/>
  <c r="S275" i="1" s="1"/>
  <c r="G153" i="1"/>
  <c r="S153" i="1" s="1"/>
  <c r="G276" i="1"/>
  <c r="S276" i="1" s="1"/>
  <c r="G266" i="1"/>
  <c r="S266" i="1" s="1"/>
  <c r="G299" i="1"/>
  <c r="S299" i="1" s="1"/>
  <c r="G300" i="1"/>
  <c r="S300" i="1" s="1"/>
  <c r="G217" i="1"/>
  <c r="S217" i="1" s="1"/>
  <c r="G154" i="1"/>
  <c r="S154" i="1" s="1"/>
  <c r="G269" i="1"/>
  <c r="S269" i="1" s="1"/>
  <c r="G290" i="1"/>
  <c r="S290" i="1" s="1"/>
  <c r="G152" i="1"/>
  <c r="S152" i="1" s="1"/>
  <c r="G156" i="1"/>
  <c r="S156" i="1" s="1"/>
  <c r="G333" i="1"/>
  <c r="S333" i="1" s="1"/>
  <c r="G203" i="1"/>
  <c r="S203" i="1" s="1"/>
  <c r="G155" i="1"/>
  <c r="S155" i="1" s="1"/>
  <c r="G265" i="1"/>
  <c r="S265" i="1" s="1"/>
  <c r="G201" i="1"/>
  <c r="S201" i="1" s="1"/>
  <c r="G301" i="1"/>
  <c r="S301" i="1" s="1"/>
  <c r="G255" i="1"/>
  <c r="S255" i="1" s="1"/>
  <c r="G216" i="1"/>
  <c r="S216" i="1" s="1"/>
  <c r="G289" i="1"/>
  <c r="S289" i="1" s="1"/>
  <c r="G277" i="1"/>
  <c r="S277" i="1" s="1"/>
  <c r="G212" i="1"/>
  <c r="S212" i="1" s="1"/>
  <c r="G271" i="1"/>
  <c r="S271" i="1" s="1"/>
  <c r="G196" i="1"/>
  <c r="S196" i="1" s="1"/>
  <c r="G273" i="1"/>
  <c r="S273" i="1" s="1"/>
  <c r="G158" i="1"/>
  <c r="S158" i="1" s="1"/>
  <c r="G223" i="1"/>
  <c r="S223" i="1" s="1"/>
  <c r="G151" i="1"/>
  <c r="S151" i="1" s="1"/>
  <c r="G366" i="1"/>
  <c r="H360" i="1" s="1"/>
  <c r="G286" i="1"/>
  <c r="G220" i="1"/>
  <c r="S220" i="1" s="1"/>
  <c r="G199" i="1"/>
  <c r="S199" i="1" s="1"/>
  <c r="T12" i="1"/>
  <c r="T13" i="1" s="1"/>
  <c r="T14" i="1" s="1"/>
  <c r="T15" i="1" s="1"/>
  <c r="T16" i="1" s="1"/>
  <c r="T17" i="1" s="1"/>
  <c r="H347" i="1"/>
  <c r="T27" i="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H178" i="1"/>
  <c r="H188" i="1"/>
  <c r="H145" i="1"/>
  <c r="H163" i="1"/>
  <c r="H339" i="1"/>
  <c r="H79" i="1"/>
  <c r="H94" i="1"/>
  <c r="G6" i="1"/>
  <c r="H72" i="1"/>
  <c r="H35" i="1"/>
  <c r="H285" i="1" l="1"/>
  <c r="H209" i="1"/>
  <c r="H214" i="1"/>
  <c r="H292" i="1"/>
  <c r="S286" i="1"/>
  <c r="H150" i="1"/>
  <c r="G141" i="1" s="1"/>
  <c r="H193" i="1"/>
  <c r="T101" i="1"/>
  <c r="T102" i="1" s="1"/>
  <c r="T103" i="1" s="1"/>
  <c r="T104" i="1" s="1"/>
  <c r="T105" i="1" s="1"/>
  <c r="T106" i="1" s="1"/>
  <c r="T107" i="1" s="1"/>
  <c r="T108" i="1" s="1"/>
  <c r="T109" i="1" s="1"/>
  <c r="T110" i="1" s="1"/>
  <c r="T111" i="1" s="1"/>
  <c r="T112" i="1" s="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H6" i="1"/>
  <c r="H57" i="1"/>
  <c r="H343" i="1"/>
  <c r="H51" i="1"/>
  <c r="H159" i="1"/>
  <c r="H24" i="1"/>
  <c r="K263" i="1"/>
  <c r="G263" i="1" s="1"/>
  <c r="S263" i="1" l="1"/>
  <c r="T263" i="1" s="1"/>
  <c r="T264" i="1" s="1"/>
  <c r="T265" i="1" s="1"/>
  <c r="T266" i="1" s="1"/>
  <c r="T267" i="1" s="1"/>
  <c r="T268" i="1" s="1"/>
  <c r="T269" i="1" s="1"/>
  <c r="T270" i="1" l="1"/>
  <c r="T271" i="1" s="1"/>
  <c r="T272" i="1" s="1"/>
  <c r="T273" i="1" s="1"/>
  <c r="T274" i="1" s="1"/>
  <c r="T275" i="1" s="1"/>
  <c r="T276" i="1" s="1"/>
  <c r="T277" i="1" s="1"/>
  <c r="T278" i="1" s="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T310" i="1" s="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T334" i="1" s="1"/>
  <c r="H262" i="1"/>
  <c r="T145" i="1" l="1"/>
  <c r="T146" i="1" s="1"/>
  <c r="T147" i="1" s="1"/>
  <c r="T148" i="1" s="1"/>
  <c r="T149" i="1" s="1"/>
  <c r="T150" i="1" s="1"/>
  <c r="T151" i="1" s="1"/>
  <c r="T152" i="1" s="1"/>
  <c r="T153" i="1" s="1"/>
  <c r="T154" i="1" s="1"/>
  <c r="T155" i="1" s="1"/>
  <c r="T156" i="1" s="1"/>
  <c r="T157" i="1" s="1"/>
  <c r="T158" i="1" s="1"/>
  <c r="H141" i="1" s="1"/>
  <c r="T190" i="1"/>
  <c r="T191" i="1" s="1"/>
  <c r="T192" i="1" s="1"/>
  <c r="T193" i="1" s="1"/>
  <c r="T194" i="1" s="1"/>
  <c r="T195" i="1" s="1"/>
  <c r="T196" i="1" s="1"/>
  <c r="T197" i="1" s="1"/>
  <c r="T198" i="1" s="1"/>
  <c r="T199" i="1" s="1"/>
  <c r="T200" i="1" s="1"/>
  <c r="T201" i="1" s="1"/>
  <c r="T202" i="1" s="1"/>
  <c r="T203" i="1" s="1"/>
  <c r="T204" i="1" s="1"/>
  <c r="L257" i="1"/>
  <c r="G257" i="1"/>
  <c r="H232" i="1" s="1"/>
  <c r="G186" i="1" s="1"/>
  <c r="G138" i="1"/>
  <c r="H113" i="1" s="1"/>
  <c r="G20" i="1" s="1"/>
  <c r="L335" i="1"/>
  <c r="G335" i="1"/>
  <c r="S335" i="1" s="1"/>
  <c r="T335" i="1" s="1"/>
  <c r="T336" i="1" s="1"/>
  <c r="T205" i="1" l="1"/>
  <c r="T206" i="1" s="1"/>
  <c r="T207" i="1" s="1"/>
  <c r="T208" i="1" s="1"/>
  <c r="T209" i="1" s="1"/>
  <c r="H310" i="1"/>
  <c r="G260" i="1" s="1"/>
  <c r="H260" i="1" s="1"/>
  <c r="S257" i="1"/>
  <c r="S138" i="1"/>
  <c r="T138" i="1" s="1"/>
  <c r="T139" i="1" s="1"/>
  <c r="H20" i="1" s="1"/>
  <c r="T210" i="1" l="1"/>
  <c r="T211" i="1" s="1"/>
  <c r="T212" i="1" s="1"/>
  <c r="T213" i="1" s="1"/>
  <c r="T214" i="1" s="1"/>
  <c r="T215" i="1" s="1"/>
  <c r="T216" i="1" s="1"/>
  <c r="T217" i="1" s="1"/>
  <c r="T218" i="1" s="1"/>
  <c r="T219" i="1" s="1"/>
  <c r="T220" i="1" s="1"/>
  <c r="T221" i="1" s="1"/>
  <c r="T222" i="1" s="1"/>
  <c r="T223" i="1" s="1"/>
  <c r="T224" i="1" s="1"/>
  <c r="T225" i="1" s="1"/>
  <c r="T226" i="1" s="1"/>
  <c r="T227" i="1" s="1"/>
  <c r="T228" i="1" s="1"/>
  <c r="T229" i="1" s="1"/>
  <c r="T230" i="1" s="1"/>
  <c r="T231" i="1" s="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T257" i="1" s="1"/>
  <c r="T258" i="1" s="1"/>
  <c r="H186" i="1" s="1"/>
</calcChain>
</file>

<file path=xl/sharedStrings.xml><?xml version="1.0" encoding="utf-8"?>
<sst xmlns="http://schemas.openxmlformats.org/spreadsheetml/2006/main" count="2935" uniqueCount="282">
  <si>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</si>
  <si>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</si>
  <si>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</si>
  <si>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</si>
  <si>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</si>
  <si>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</si>
  <si>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</si>
  <si>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</si>
  <si>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</si>
  <si>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</si>
  <si>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</si>
  <si>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</si>
  <si>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</si>
  <si>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</si>
  <si>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</si>
  <si>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</si>
  <si>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</si>
  <si>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</si>
  <si>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</si>
  <si>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</si>
  <si>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</si>
  <si>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</si>
  <si>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</si>
  <si>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</si>
  <si>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</si>
  <si>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</si>
  <si>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</si>
  <si>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</si>
  <si>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</si>
  <si>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</si>
  <si>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</si>
  <si>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</si>
  <si>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</si>
  <si>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</si>
  <si>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</si>
  <si>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</si>
  <si>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</si>
  <si>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</si>
  <si>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</si>
  <si>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</si>
  <si>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</si>
  <si>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</si>
  <si>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</si>
  <si>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</si>
  <si>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</si>
  <si>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</si>
  <si>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</si>
  <si>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</si>
  <si>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</si>
  <si>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</si>
  <si>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</si>
  <si>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</si>
  <si>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</si>
  <si>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</si>
  <si>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</si>
  <si>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</si>
  <si>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</si>
  <si>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</si>
  <si>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</si>
  <si>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</si>
  <si>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</si>
  <si>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</si>
  <si>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</si>
  <si>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</si>
  <si>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</si>
  <si>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</si>
  <si>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</si>
  <si>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</si>
  <si>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</si>
  <si>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</si>
  <si>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</si>
  <si>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</si>
  <si>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</si>
  <si>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</si>
  <si>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</si>
  <si>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</si>
  <si>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</si>
  <si>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</si>
  <si>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</si>
  <si>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</si>
  <si>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</si>
  <si>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</si>
  <si>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</si>
  <si>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</si>
  <si>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</si>
  <si>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</si>
  <si>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</si>
  <si>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</si>
  <si>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</si>
  <si>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</si>
  <si>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</si>
  <si>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</si>
  <si>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</si>
  <si>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</si>
  <si>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</si>
  <si>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</si>
  <si>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</si>
  <si>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</si>
  <si>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</si>
  <si>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</si>
  <si>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</si>
  <si>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</si>
  <si>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</si>
  <si>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</si>
  <si>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</si>
  <si>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</si>
  <si>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</si>
  <si>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</si>
  <si>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</si>
  <si>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</si>
  <si>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</si>
  <si>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</si>
  <si>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</si>
  <si>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</si>
  <si>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</si>
  <si>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</si>
  <si>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</si>
  <si>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</si>
  <si>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</si>
  <si>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</si>
  <si>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</si>
  <si>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</si>
  <si>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</si>
  <si>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</si>
  <si>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</si>
  <si>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</si>
  <si>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</si>
  <si>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</si>
  <si>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</si>
  <si>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</si>
  <si>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</si>
  <si>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</si>
  <si>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</si>
  <si>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</si>
  <si>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</si>
  <si>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</si>
  <si>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</si>
  <si>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</si>
  <si>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</si>
  <si>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</si>
  <si>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</si>
  <si>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</si>
  <si>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</si>
  <si>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</si>
  <si>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</si>
  <si>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</si>
  <si>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</si>
  <si>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</si>
  <si>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</si>
  <si>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</si>
  <si>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</si>
  <si>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</si>
  <si>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</si>
  <si>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</si>
  <si>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</si>
  <si>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</si>
  <si>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</si>
  <si>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</si>
  <si>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</si>
  <si>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</si>
  <si>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</si>
  <si>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</si>
  <si>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</si>
  <si>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</si>
  <si>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</si>
  <si>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</si>
  <si>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</si>
  <si>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</si>
  <si>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</si>
  <si>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</si>
  <si>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</si>
  <si>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</si>
  <si>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</si>
  <si>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</si>
  <si>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</si>
  <si>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</si>
  <si>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</si>
  <si>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</si>
  <si>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</si>
  <si>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</si>
  <si>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</si>
  <si>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</si>
  <si>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</si>
  <si>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</si>
  <si>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</si>
  <si>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</si>
  <si>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</si>
  <si>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</si>
  <si>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</si>
  <si>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</si>
  <si>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</si>
  <si>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</si>
  <si>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</si>
  <si>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</si>
  <si>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</si>
  <si>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</si>
  <si>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</si>
  <si>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</si>
  <si>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</si>
  <si>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</si>
  <si>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</si>
  <si>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</si>
  <si>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</si>
  <si>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</si>
  <si>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</si>
  <si>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</si>
  <si>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</si>
  <si>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</si>
  <si>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</si>
  <si>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</si>
  <si>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perfluorobutanoate</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</si>
  <si>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</si>
  <si>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</si>
  <si>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</si>
  <si>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</si>
  <si>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</si>
  <si>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</si>
  <si>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</si>
  <si>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</si>
  <si>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</si>
  <si>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</si>
  <si>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</si>
  <si>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</si>
  <si>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</si>
  <si>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</si>
  <si>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</si>
  <si>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</si>
  <si>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</si>
  <si>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</si>
  <si>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</si>
  <si>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</si>
  <si>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</si>
  <si>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</si>
  <si>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</si>
  <si>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</si>
  <si>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</si>
  <si>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</si>
  <si>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</si>
  <si>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</si>
  <si>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</si>
  <si>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</si>
  <si>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</si>
  <si>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</si>
  <si>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</si>
  <si>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</si>
  <si>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 xml:space="preserve">DMS </t>
  </si>
  <si>
    <t>Dimethylsulfamid</t>
  </si>
  <si>
    <t>Konduktivitet</t>
  </si>
  <si>
    <t>Fækale streptokokker</t>
  </si>
  <si>
    <t>Benz[a]pyren</t>
  </si>
  <si>
    <t>Benz(b)fluoranthen</t>
  </si>
  <si>
    <t>Trans-1,2-dichloreth</t>
  </si>
  <si>
    <t>Deisopropyl-hydroxyatrazin</t>
  </si>
  <si>
    <t>DEIA</t>
  </si>
  <si>
    <t>Terbut.azin,desethyl</t>
  </si>
  <si>
    <t>Metribuz-desam-diket</t>
  </si>
  <si>
    <t>Cis-1,2-dichloreth</t>
  </si>
  <si>
    <t>Benz(k)fluoranthen</t>
  </si>
  <si>
    <t>benz(ghi)perylen</t>
  </si>
  <si>
    <t>simazin, Hydroxy</t>
  </si>
  <si>
    <t>atrazin, Desisopropy</t>
  </si>
  <si>
    <t>6:2 FTS</t>
  </si>
  <si>
    <t>Total Phosphor</t>
  </si>
  <si>
    <t>Atrazin, desethyl-desisopropyl-</t>
  </si>
  <si>
    <t>Chloridazon-desphenyl</t>
  </si>
  <si>
    <t>Ethylenthiourinstof</t>
  </si>
  <si>
    <t>Phosphor, total</t>
  </si>
  <si>
    <t>Aggressiv CO2</t>
  </si>
  <si>
    <t>Chloridazon-methyl-desphenyl</t>
  </si>
  <si>
    <t>CGA62826</t>
  </si>
  <si>
    <t>CGA108906</t>
  </si>
  <si>
    <t>Metribuzindesamino</t>
  </si>
  <si>
    <t>Desethyldesisopropylatrazin</t>
  </si>
  <si>
    <t>Desethylhydroxyatrazin</t>
  </si>
  <si>
    <t>Desisopropylhydroxyatrazin</t>
  </si>
  <si>
    <t>Sum af analyserede pesticider</t>
  </si>
  <si>
    <t>Chloroform</t>
  </si>
  <si>
    <t>desaminodiketoMetribuzin</t>
  </si>
  <si>
    <t>diketoMetribuzin</t>
  </si>
  <si>
    <t>Desethyldesisopropylhydroxyatrazin</t>
  </si>
  <si>
    <t>Af Mads Schmidt Christensen // Kalundborg Kommune // macr@kalundborg.dk // februar 2019</t>
  </si>
  <si>
    <t>Kalium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</si>
</sst>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mmm\ yyyy\ /\ hh:mm:ss"/>
  </numFmts>
  <fonts count="31"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8">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6" fillId="0" borderId="0" applyNumberFormat="0" applyFill="0" applyBorder="0" applyAlignment="0" applyProtection="0"/>
  </cellStyleXfs>
  <cellXfs count="56">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Border="1" applyAlignment="1">
      <alignment horizontal="left"/>
    </xf>
    <xf numFmtId="0" fontId="0" fillId="25" borderId="0" xfId="0" applyFill="1"/>
    <xf numFmtId="0" fontId="0" fillId="25" borderId="10" xfId="0"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7" borderId="10" xfId="0" applyFill="1" applyBorder="1" applyAlignment="1">
      <alignment horizontal="center"/>
    </xf>
    <xf numFmtId="0" fontId="3" fillId="0" borderId="10" xfId="0" applyFont="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5" fillId="0" borderId="0" xfId="0" applyNumberFormat="1" applyFont="1"/>
    <xf numFmtId="0" fontId="23" fillId="0" borderId="0" xfId="0" applyFont="1"/>
    <xf numFmtId="0" fontId="23" fillId="26" borderId="0" xfId="0" applyFont="1" applyFill="1"/>
    <xf numFmtId="0" fontId="0" fillId="26" borderId="0" xfId="0" applyFill="1"/>
    <xf numFmtId="0" fontId="23" fillId="2" borderId="0" xfId="0" applyFont="1" applyFill="1"/>
    <xf numFmtId="0" fontId="22" fillId="0" borderId="0" xfId="0" applyFont="1"/>
    <xf numFmtId="0" fontId="29" fillId="0" borderId="0" xfId="0" applyFont="1"/>
    <xf numFmtId="0" fontId="0" fillId="27" borderId="0" xfId="0" applyFill="1"/>
    <xf numFmtId="0" fontId="0" fillId="0" borderId="0" xfId="0" quotePrefix="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6"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9" fillId="26" borderId="0" xfId="0" applyFont="1" applyFill="1"/>
    <xf numFmtId="22" fontId="0" fillId="0" borderId="10" xfId="0" applyNumberFormat="1" applyBorder="1" applyAlignment="1">
      <alignment vertical="center" wrapText="1"/>
    </xf>
    <xf numFmtId="0" fontId="0" fillId="0" borderId="10" xfId="0" applyBorder="1" applyAlignment="1">
      <alignment horizontal="center" vertical="center" wrapText="1"/>
    </xf>
    <xf numFmtId="0" fontId="0" fillId="27" borderId="10" xfId="0" applyFill="1" applyBorder="1" applyAlignment="1">
      <alignment horizontal="left"/>
    </xf>
    <xf numFmtId="0" fontId="28" fillId="26" borderId="10" xfId="46" applyFont="1" applyFill="1" applyBorder="1"/>
    <xf numFmtId="0" fontId="23" fillId="25" borderId="10" xfId="0" applyFont="1" applyFill="1" applyBorder="1" applyAlignment="1">
      <alignment horizontal="left"/>
    </xf>
    <xf numFmtId="0" fontId="0" fillId="25" borderId="10" xfId="0" applyFill="1" applyBorder="1" applyAlignment="1">
      <alignment horizontal="left"/>
    </xf>
    <xf numFmtId="0" fontId="0" fillId="0" borderId="0" xfId="0" applyAlignment="1">
      <alignment horizontal="left"/>
    </xf>
    <xf numFmtId="0" fontId="27" fillId="0" borderId="0" xfId="46" applyFont="1" applyAlignment="1">
      <alignment horizontal="left"/>
    </xf>
    <xf numFmtId="0" fontId="29" fillId="27" borderId="10" xfId="0" applyFont="1" applyFill="1" applyBorder="1"/>
    <xf numFmtId="0" fontId="0" fillId="0" borderId="0" xfId="0" applyFill="1" applyBorder="1" applyAlignment="1">
      <alignment horizontal="left"/>
    </xf>
    <xf numFmtId="0" fontId="0" fillId="0" borderId="0" xfId="0" applyFill="1" applyBorder="1" applyAlignment="1">
      <alignment horizontal="center"/>
    </xf>
    <xf numFmtId="0" fontId="0" fillId="27" borderId="13" xfId="0" applyFill="1" applyBorder="1" applyAlignment="1">
      <alignment horizontal="left"/>
    </xf>
    <xf numFmtId="0" fontId="0" fillId="0" borderId="0" xfId="0" applyFill="1"/>
  </cellXfs>
  <cellStyles count="47">
    <cellStyle name="20 % - Markeringsfarve1 2" xfId="2" xr:uid="{00000000-0005-0000-0000-000000000000}"/>
    <cellStyle name="20 % - Markeringsfarve2 2" xfId="3" xr:uid="{00000000-0005-0000-0000-000001000000}"/>
    <cellStyle name="20 % - Markeringsfarve3 2" xfId="4" xr:uid="{00000000-0005-0000-0000-000002000000}"/>
    <cellStyle name="20 % - Markeringsfarve4 2" xfId="5" xr:uid="{00000000-0005-0000-0000-000003000000}"/>
    <cellStyle name="20 % - Markeringsfarve5 2" xfId="6" xr:uid="{00000000-0005-0000-0000-000004000000}"/>
    <cellStyle name="20 % - Markeringsfarve6 2" xfId="7" xr:uid="{00000000-0005-0000-0000-000005000000}"/>
    <cellStyle name="40 % - Markeringsfarve1 2" xfId="8" xr:uid="{00000000-0005-0000-0000-000006000000}"/>
    <cellStyle name="40 % - Markeringsfarve2 2" xfId="9" xr:uid="{00000000-0005-0000-0000-000007000000}"/>
    <cellStyle name="40 % - Markeringsfarve3 2" xfId="10" xr:uid="{00000000-0005-0000-0000-000008000000}"/>
    <cellStyle name="40 % - Markeringsfarve4 2" xfId="11" xr:uid="{00000000-0005-0000-0000-000009000000}"/>
    <cellStyle name="40 % - Markeringsfarve5 2" xfId="12" xr:uid="{00000000-0005-0000-0000-00000A000000}"/>
    <cellStyle name="40 % - Markeringsfarve6 2" xfId="13" xr:uid="{00000000-0005-0000-0000-00000B000000}"/>
    <cellStyle name="60 % - Markeringsfarve1 2" xfId="14" xr:uid="{00000000-0005-0000-0000-00000C000000}"/>
    <cellStyle name="60 % - Markeringsfarve2 2" xfId="15" xr:uid="{00000000-0005-0000-0000-00000D000000}"/>
    <cellStyle name="60 % - Markeringsfarve3 2" xfId="16" xr:uid="{00000000-0005-0000-0000-00000E000000}"/>
    <cellStyle name="60 % - Markeringsfarve4 2" xfId="17" xr:uid="{00000000-0005-0000-0000-00000F000000}"/>
    <cellStyle name="60 % - Markeringsfarve5 2" xfId="18" xr:uid="{00000000-0005-0000-0000-000010000000}"/>
    <cellStyle name="60 % - Markeringsfarve6 2" xfId="19" xr:uid="{00000000-0005-0000-0000-000011000000}"/>
    <cellStyle name="Advarselstekst 2" xfId="43" xr:uid="{00000000-0005-0000-0000-000012000000}"/>
    <cellStyle name="Bemærk! 2" xfId="39" xr:uid="{00000000-0005-0000-0000-000013000000}"/>
    <cellStyle name="Beregning 2" xfId="27" xr:uid="{00000000-0005-0000-0000-000014000000}"/>
    <cellStyle name="Forklarende tekst 2" xfId="29" xr:uid="{00000000-0005-0000-0000-000015000000}"/>
    <cellStyle name="God 2" xfId="30" xr:uid="{00000000-0005-0000-0000-000016000000}"/>
    <cellStyle name="Input 2" xfId="35" xr:uid="{00000000-0005-0000-0000-000017000000}"/>
    <cellStyle name="Kontroller celle 2" xfId="28" xr:uid="{00000000-0005-0000-0000-000018000000}"/>
    <cellStyle name="Link" xfId="46" builtinId="8"/>
    <cellStyle name="Markeringsfarve1 2" xfId="20" xr:uid="{00000000-0005-0000-0000-00001A000000}"/>
    <cellStyle name="Markeringsfarve2 2" xfId="21" xr:uid="{00000000-0005-0000-0000-00001B000000}"/>
    <cellStyle name="Markeringsfarve3 2" xfId="22" xr:uid="{00000000-0005-0000-0000-00001C000000}"/>
    <cellStyle name="Markeringsfarve4 2" xfId="23" xr:uid="{00000000-0005-0000-0000-00001D000000}"/>
    <cellStyle name="Markeringsfarve5 2" xfId="24" xr:uid="{00000000-0005-0000-0000-00001E000000}"/>
    <cellStyle name="Markeringsfarve6 2" xfId="25" xr:uid="{00000000-0005-0000-0000-00001F000000}"/>
    <cellStyle name="Neutral 2" xfId="37" xr:uid="{00000000-0005-0000-0000-000020000000}"/>
    <cellStyle name="Normal" xfId="0" builtinId="0" customBuiltin="1"/>
    <cellStyle name="Normal 2" xfId="38" xr:uid="{00000000-0005-0000-0000-000022000000}"/>
    <cellStyle name="Normal 2 2" xfId="45" xr:uid="{00000000-0005-0000-0000-000023000000}"/>
    <cellStyle name="Normal 2 3" xfId="44" xr:uid="{00000000-0005-0000-0000-000024000000}"/>
    <cellStyle name="Normal 3" xfId="1" xr:uid="{00000000-0005-0000-0000-000025000000}"/>
    <cellStyle name="Output 2" xfId="40" xr:uid="{00000000-0005-0000-0000-000026000000}"/>
    <cellStyle name="Overskrift 1 2" xfId="31" xr:uid="{00000000-0005-0000-0000-000027000000}"/>
    <cellStyle name="Overskrift 2 2" xfId="32" xr:uid="{00000000-0005-0000-0000-000028000000}"/>
    <cellStyle name="Overskrift 3 2" xfId="33" xr:uid="{00000000-0005-0000-0000-000029000000}"/>
    <cellStyle name="Overskrift 4 2" xfId="34" xr:uid="{00000000-0005-0000-0000-00002A000000}"/>
    <cellStyle name="Sammenkædet celle 2" xfId="36" xr:uid="{00000000-0005-0000-0000-00002B000000}"/>
    <cellStyle name="Titel 2" xfId="41" xr:uid="{00000000-0005-0000-0000-00002C000000}"/>
    <cellStyle name="Total 2" xfId="42" xr:uid="{00000000-0005-0000-0000-00002D000000}"/>
    <cellStyle name="Ugyldig 2" xfId="26" xr:uid="{00000000-0005-0000-0000-00002E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a:extLst>
            <a:ext uri="{FF2B5EF4-FFF2-40B4-BE49-F238E27FC236}">
              <a16:creationId xmlns:a16="http://schemas.microsoft.com/office/drawing/2014/main" id="{00000000-0008-0000-0000-000002000000}"/>
            </a:ext>
          </a:extLst>
        </xdr:cNvPr>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139</xdr:row>
          <xdr:rowOff>0</xdr:rowOff>
        </xdr:from>
        <xdr:to>
          <xdr:col>8</xdr:col>
          <xdr:colOff>0</xdr:colOff>
          <xdr:row>140</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184</xdr:row>
          <xdr:rowOff>0</xdr:rowOff>
        </xdr:from>
        <xdr:to>
          <xdr:col>8</xdr:col>
          <xdr:colOff>0</xdr:colOff>
          <xdr:row>185</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258</xdr:row>
          <xdr:rowOff>0</xdr:rowOff>
        </xdr:from>
        <xdr:to>
          <xdr:col>8</xdr:col>
          <xdr:colOff>0</xdr:colOff>
          <xdr:row>259</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a:extLst>
            <a:ext uri="{FF2B5EF4-FFF2-40B4-BE49-F238E27FC236}">
              <a16:creationId xmlns:a16="http://schemas.microsoft.com/office/drawing/2014/main" id="{00000000-0008-0000-0000-000008000000}"/>
            </a:ext>
          </a:extLst>
        </xdr:cNvPr>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304800</xdr:colOff>
      <xdr:row>3</xdr:row>
      <xdr:rowOff>76200</xdr:rowOff>
    </xdr:to>
    <xdr:sp macro="" textlink="">
      <xdr:nvSpPr>
        <xdr:cNvPr id="3073" name="AutoShape 1" descr="skjul">
          <a:extLst>
            <a:ext uri="{FF2B5EF4-FFF2-40B4-BE49-F238E27FC236}">
              <a16:creationId xmlns:a16="http://schemas.microsoft.com/office/drawing/2014/main" id="{00000000-0008-0000-0200-0000010C0000}"/>
            </a:ext>
          </a:extLst>
        </xdr:cNvPr>
        <xdr:cNvSpPr>
          <a:spLocks noChangeAspect="1" noChangeArrowheads="1"/>
        </xdr:cNvSpPr>
      </xdr:nvSpPr>
      <xdr:spPr bwMode="auto">
        <a:xfrm>
          <a:off x="4162425"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314325</xdr:colOff>
      <xdr:row>2</xdr:row>
      <xdr:rowOff>0</xdr:rowOff>
    </xdr:from>
    <xdr:to>
      <xdr:col>4</xdr:col>
      <xdr:colOff>619125</xdr:colOff>
      <xdr:row>3</xdr:row>
      <xdr:rowOff>76200</xdr:rowOff>
    </xdr:to>
    <xdr:sp macro="" textlink="">
      <xdr:nvSpPr>
        <xdr:cNvPr id="3074" name="AutoShape 2" descr="vis">
          <a:extLst>
            <a:ext uri="{FF2B5EF4-FFF2-40B4-BE49-F238E27FC236}">
              <a16:creationId xmlns:a16="http://schemas.microsoft.com/office/drawing/2014/main" id="{00000000-0008-0000-0200-0000020C0000}"/>
            </a:ext>
          </a:extLst>
        </xdr:cNvPr>
        <xdr:cNvSpPr>
          <a:spLocks noChangeAspect="1" noChangeArrowheads="1"/>
        </xdr:cNvSpPr>
      </xdr:nvSpPr>
      <xdr:spPr bwMode="auto">
        <a:xfrm>
          <a:off x="4476750"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U366"/>
  <sheetViews>
    <sheetView tabSelected="1" zoomScaleNormal="100" workbookViewId="0">
      <selection activeCell="F3" sqref="F3"/>
    </sheetView>
  </sheetViews>
  <sheetFormatPr defaultRowHeight="12.75" x14ac:dyDescent="0.2"/>
  <cols>
    <col min="5" max="5" width="18.875" bestFit="1" customWidth="1"/>
    <col min="6" max="6" width="59.625" bestFit="1" customWidth="1"/>
    <col min="8" max="8" width="9" customWidth="1"/>
    <col min="11" max="11" width="28" hidden="1" customWidth="1"/>
    <col min="12" max="15" width="26.5" hidden="1" customWidth="1"/>
    <col min="16" max="21" width="9" hidden="1" customWidth="1"/>
    <col min="22" max="22" width="9" customWidth="1"/>
  </cols>
  <sheetData>
    <row r="1" spans="1:20" ht="12.75" customHeight="1" x14ac:dyDescent="0.2">
      <c r="A1" s="26" t="s">
        <v>280</v>
      </c>
    </row>
    <row r="2" spans="1:20" ht="12.75" customHeight="1" x14ac:dyDescent="0.2">
      <c r="A2" s="26"/>
    </row>
    <row r="3" spans="1:20" ht="12.75" customHeight="1" x14ac:dyDescent="0.2">
      <c r="A3" t="s">
        <v>218</v>
      </c>
      <c r="E3" t="s">
        <v>198</v>
      </c>
      <c r="F3" s="25" t="str">
        <f>IF(P3&gt;0,IF(Q3&gt;0,Q4,R4),"Vandværkets navn kunne ikke findes")</f>
        <v>Vandværkets navn kunne ikke findes</v>
      </c>
      <c r="P3" s="22">
        <f>Q3+R3</f>
        <v>0</v>
      </c>
      <c r="Q3" s="21">
        <f>IF((IFERROR(SEARCH("Forsyning",Rådata!$B$1000),-1))&gt;0,SEARCH("Forsyning",Rådata!$B$1000),0)</f>
        <v>0</v>
      </c>
      <c r="R3" s="21">
        <f>IF((IFERROR(SEARCH("Vandværk",Rådata!$B$1000),-1))&gt;0,SEARCH("Vandværk",Rådata!$B$1000),0)</f>
        <v>0</v>
      </c>
    </row>
    <row r="4" spans="1:20" ht="12.75" customHeight="1" x14ac:dyDescent="0.2">
      <c r="A4" s="49" t="s">
        <v>219</v>
      </c>
      <c r="B4" s="49"/>
      <c r="C4" s="49"/>
      <c r="D4" s="49"/>
      <c r="E4" t="s">
        <v>199</v>
      </c>
      <c r="F4" s="24">
        <v>43517.752384259256</v>
      </c>
      <c r="P4" s="22"/>
      <c r="Q4" s="21" t="e">
        <f>ReverseString(
LEFT(ReverseString(
LEFT(Rådata!$B$1000,Q3+8)),
SEARCH(",",ReverseString(LEFT(Rådata!$B$1000,Q3+7)))))</f>
        <v>#VALUE!</v>
      </c>
      <c r="R4" s="21" t="e">
        <f>ReverseString(
LEFT(ReverseString(
LEFT(Rådata!$B$1000,R3-2)),
SEARCH(",",ReverseString(LEFT(Rådata!$B$1000,R3-3)))))&amp;" Vandværk"</f>
        <v>#VALUE!</v>
      </c>
    </row>
    <row r="5" spans="1:20" ht="12.75" customHeight="1" x14ac:dyDescent="0.2">
      <c r="A5" t="s">
        <v>215</v>
      </c>
      <c r="H5" s="34"/>
    </row>
    <row r="6" spans="1:20" x14ac:dyDescent="0.2">
      <c r="A6" t="s">
        <v>216</v>
      </c>
      <c r="E6" s="46" t="s">
        <v>53</v>
      </c>
      <c r="F6" s="46"/>
      <c r="G6" s="15" t="str">
        <f>IF(IFERROR(SEARCH("NEJ",CONCATENATE(" ",G8,G9,G10,G11,G12,G13,G14,G15,G16,G17)),1)=1,"OK","NEJ")</f>
        <v>NEJ</v>
      </c>
      <c r="H6" t="str">
        <f>IF(G6="OK","",RIGHT(T17,LEN(T17)))</f>
        <v>Lugt, Smag, Farve, Turbiditet, pH, Ledningsevne, Kimtal ved 22 °C, Coliforme bakterier, E. coli, Jern</v>
      </c>
      <c r="K6" s="31"/>
    </row>
    <row r="7" spans="1:20" x14ac:dyDescent="0.2">
      <c r="A7" t="s">
        <v>217</v>
      </c>
      <c r="F7" s="16"/>
      <c r="G7" s="5"/>
    </row>
    <row r="8" spans="1:20" x14ac:dyDescent="0.2">
      <c r="F8" s="3" t="s">
        <v>54</v>
      </c>
      <c r="G8" s="4" t="str">
        <f>IF((IFERROR(SEARCH(K8,Rådata!$B$1000),-1)+IFERROR(SEARCH(L8,Rådata!$B$1000),-1)+IFERROR(SEARCH(M8,Rådata!$B$1000),-1)+IFERROR(SEARCH(N8,Rådata!$B$1000),-1)+IFERROR(SEARCH(O8,Rådata!$B$1000),-1))&gt;0,"-","NEJ")</f>
        <v>NEJ</v>
      </c>
      <c r="K8" s="29" t="str">
        <f t="shared" ref="K8:K13" si="0">F8</f>
        <v>Lugt</v>
      </c>
      <c r="L8" s="29" t="s">
        <v>179</v>
      </c>
      <c r="M8" s="29" t="s">
        <v>179</v>
      </c>
      <c r="N8" s="29" t="s">
        <v>179</v>
      </c>
      <c r="O8" s="29" t="s">
        <v>179</v>
      </c>
      <c r="S8" s="2" t="str">
        <f t="shared" ref="S8:S69" si="1">IF(G8="NEJ",F8,"")</f>
        <v>Lugt</v>
      </c>
      <c r="T8" t="str">
        <f>S8</f>
        <v>Lugt</v>
      </c>
    </row>
    <row r="9" spans="1:20" x14ac:dyDescent="0.2">
      <c r="F9" s="3" t="s">
        <v>55</v>
      </c>
      <c r="G9" s="4" t="str">
        <f>IF((IFERROR(SEARCH(K9,Rådata!$B$1000),-1)+IFERROR(SEARCH(L9,Rådata!$B$1000),-1)+IFERROR(SEARCH(M9,Rådata!$B$1000),-1)+IFERROR(SEARCH(N9,Rådata!$B$1000),-1)+IFERROR(SEARCH(O9,Rådata!$B$1000),-1))&gt;0,"-","NEJ")</f>
        <v>NEJ</v>
      </c>
      <c r="K9" s="29" t="str">
        <f t="shared" si="0"/>
        <v>Smag</v>
      </c>
      <c r="L9" s="29" t="s">
        <v>179</v>
      </c>
      <c r="M9" s="29" t="s">
        <v>179</v>
      </c>
      <c r="N9" s="29" t="s">
        <v>179</v>
      </c>
      <c r="O9" s="29" t="s">
        <v>179</v>
      </c>
      <c r="S9" s="2" t="str">
        <f t="shared" si="1"/>
        <v>Smag</v>
      </c>
      <c r="T9" t="str">
        <f>IF(S9="",T8,T8&amp;", "&amp;S9)</f>
        <v>Lugt, Smag</v>
      </c>
    </row>
    <row r="10" spans="1:20" x14ac:dyDescent="0.2">
      <c r="F10" s="3" t="s">
        <v>56</v>
      </c>
      <c r="G10" s="4" t="str">
        <f>IF((IFERROR(SEARCH(K10,Rådata!$B$1000),-1)+IFERROR(SEARCH(L10,Rådata!$B$1000),-1)+IFERROR(SEARCH(M10,Rådata!$B$1000),-1)+IFERROR(SEARCH(N10,Rådata!$B$1000),-1)+IFERROR(SEARCH(O10,Rådata!$B$1000),-1))&gt;0,"-","NEJ")</f>
        <v>NEJ</v>
      </c>
      <c r="K10" s="29" t="str">
        <f t="shared" si="0"/>
        <v>Farve</v>
      </c>
      <c r="L10" s="29" t="s">
        <v>179</v>
      </c>
      <c r="M10" s="29" t="s">
        <v>179</v>
      </c>
      <c r="N10" s="29" t="s">
        <v>179</v>
      </c>
      <c r="O10" s="29" t="s">
        <v>179</v>
      </c>
      <c r="S10" s="2" t="str">
        <f t="shared" si="1"/>
        <v>Farve</v>
      </c>
      <c r="T10" t="str">
        <f t="shared" ref="T10:T17" si="2">IF(S10="",T9,T9&amp;", "&amp;S10)</f>
        <v>Lugt, Smag, Farve</v>
      </c>
    </row>
    <row r="11" spans="1:20" x14ac:dyDescent="0.2">
      <c r="F11" s="3" t="s">
        <v>1</v>
      </c>
      <c r="G11" s="4" t="str">
        <f>IF((IFERROR(SEARCH(K11,Rådata!$B$1000),-1)+IFERROR(SEARCH(L11,Rådata!$B$1000),-1)+IFERROR(SEARCH(M11,Rådata!$B$1000),-1)+IFERROR(SEARCH(N11,Rådata!$B$1000),-1)+IFERROR(SEARCH(O11,Rådata!$B$1000),-1))&gt;0,"-","NEJ")</f>
        <v>NEJ</v>
      </c>
      <c r="K11" s="29" t="str">
        <f t="shared" si="0"/>
        <v>Turbiditet</v>
      </c>
      <c r="L11" s="29" t="s">
        <v>179</v>
      </c>
      <c r="M11" s="29" t="s">
        <v>179</v>
      </c>
      <c r="N11" s="29" t="s">
        <v>179</v>
      </c>
      <c r="O11" s="29" t="s">
        <v>179</v>
      </c>
      <c r="S11" s="2" t="str">
        <f t="shared" si="1"/>
        <v>Turbiditet</v>
      </c>
      <c r="T11" t="str">
        <f t="shared" si="2"/>
        <v>Lugt, Smag, Farve, Turbiditet</v>
      </c>
    </row>
    <row r="12" spans="1:20" x14ac:dyDescent="0.2">
      <c r="F12" s="3" t="s">
        <v>51</v>
      </c>
      <c r="G12" s="4" t="str">
        <f>IF((IFERROR(SEARCH(K12,Rådata!$B$1000),-1)+IFERROR(SEARCH(L12,Rådata!$B$1000),-1)+IFERROR(SEARCH(M12,Rådata!$B$1000),-1)+IFERROR(SEARCH(N12,Rådata!$B$1000),-1)+IFERROR(SEARCH(O12,Rådata!$B$1000),-1))&gt;0,"-","NEJ")</f>
        <v>NEJ</v>
      </c>
      <c r="K12" s="29" t="str">
        <f t="shared" si="0"/>
        <v>pH</v>
      </c>
      <c r="L12" s="29" t="s">
        <v>179</v>
      </c>
      <c r="M12" s="29" t="s">
        <v>179</v>
      </c>
      <c r="N12" s="29" t="s">
        <v>179</v>
      </c>
      <c r="O12" s="29" t="s">
        <v>179</v>
      </c>
      <c r="S12" s="2" t="str">
        <f t="shared" si="1"/>
        <v>pH</v>
      </c>
      <c r="T12" t="str">
        <f t="shared" si="2"/>
        <v>Lugt, Smag, Farve, Turbiditet, pH</v>
      </c>
    </row>
    <row r="13" spans="1:20" x14ac:dyDescent="0.2">
      <c r="F13" s="3" t="s">
        <v>52</v>
      </c>
      <c r="G13" s="4" t="str">
        <f>IF((IFERROR(SEARCH(K13,Rådata!$B$1000),-1)+IFERROR(SEARCH(L13,Rådata!$B$1000),-1)+IFERROR(SEARCH(M13,Rådata!$B$1000),-1)+IFERROR(SEARCH(N13,Rådata!$B$1000),-1)+IFERROR(SEARCH(O13,Rådata!$B$1000),-1))&gt;0,"-","NEJ")</f>
        <v>NEJ</v>
      </c>
      <c r="K13" s="29" t="str">
        <f t="shared" si="0"/>
        <v>Ledningsevne</v>
      </c>
      <c r="L13" s="29" t="s">
        <v>247</v>
      </c>
      <c r="M13" s="29" t="s">
        <v>179</v>
      </c>
      <c r="N13" s="29" t="s">
        <v>179</v>
      </c>
      <c r="O13" s="29" t="s">
        <v>179</v>
      </c>
      <c r="S13" s="2" t="str">
        <f t="shared" si="1"/>
        <v>Ledningsevne</v>
      </c>
      <c r="T13" t="str">
        <f t="shared" si="2"/>
        <v>Lugt, Smag, Farve, Turbiditet, pH, Ledningsevne</v>
      </c>
    </row>
    <row r="14" spans="1:20" x14ac:dyDescent="0.2">
      <c r="F14" s="3" t="s">
        <v>57</v>
      </c>
      <c r="G14" s="4" t="str">
        <f>IF((IFERROR(SEARCH(K14,Rådata!$B$1000),-1)+IFERROR(SEARCH(L14,Rådata!$B$1000),-1)+IFERROR(SEARCH(M14,Rådata!$B$1000),-1)+IFERROR(SEARCH(N14,Rådata!$B$1000),-1)+IFERROR(SEARCH(O14,Rådata!$B$1000),-1))&gt;0,"-","NEJ")</f>
        <v>NEJ</v>
      </c>
      <c r="K14" s="29" t="s">
        <v>129</v>
      </c>
      <c r="L14" s="29" t="s">
        <v>179</v>
      </c>
      <c r="M14" s="29" t="s">
        <v>179</v>
      </c>
      <c r="N14" s="29" t="s">
        <v>179</v>
      </c>
      <c r="O14" s="29" t="s">
        <v>179</v>
      </c>
      <c r="S14" s="2" t="str">
        <f t="shared" si="1"/>
        <v>Kimtal ved 22 °C</v>
      </c>
      <c r="T14" t="str">
        <f t="shared" si="2"/>
        <v>Lugt, Smag, Farve, Turbiditet, pH, Ledningsevne, Kimtal ved 22 °C</v>
      </c>
    </row>
    <row r="15" spans="1:20" x14ac:dyDescent="0.2">
      <c r="A15" t="s">
        <v>218</v>
      </c>
      <c r="F15" s="3" t="s">
        <v>58</v>
      </c>
      <c r="G15" s="4" t="str">
        <f>IF((IFERROR(SEARCH(K15,Rådata!$B$1000),-1)+IFERROR(SEARCH(L15,Rådata!$B$1000),-1)+IFERROR(SEARCH(M15,Rådata!$B$1000),-1)+IFERROR(SEARCH(N15,Rådata!$B$1000),-1)+IFERROR(SEARCH(O15,Rådata!$B$1000),-1))&gt;0,"-","NEJ")</f>
        <v>NEJ</v>
      </c>
      <c r="K15" s="29" t="str">
        <f>F15</f>
        <v>Coliforme bakterier</v>
      </c>
      <c r="L15" s="29" t="s">
        <v>244</v>
      </c>
      <c r="M15" s="29" t="s">
        <v>179</v>
      </c>
      <c r="N15" s="29" t="s">
        <v>179</v>
      </c>
      <c r="O15" s="29" t="s">
        <v>179</v>
      </c>
      <c r="S15" s="2" t="str">
        <f t="shared" si="1"/>
        <v>Coliforme bakterier</v>
      </c>
      <c r="T15" t="str">
        <f t="shared" si="2"/>
        <v>Lugt, Smag, Farve, Turbiditet, pH, Ledningsevne, Kimtal ved 22 °C, Coliforme bakterier</v>
      </c>
    </row>
    <row r="16" spans="1:20" x14ac:dyDescent="0.2">
      <c r="A16" s="49" t="s">
        <v>239</v>
      </c>
      <c r="B16" s="49"/>
      <c r="C16" s="49"/>
      <c r="D16" s="49"/>
      <c r="F16" s="3" t="s">
        <v>59</v>
      </c>
      <c r="G16" s="4" t="str">
        <f>IF((IFERROR(SEARCH(K16,Rådata!$B$1000),-1)+IFERROR(SEARCH(L16,Rådata!$B$1000),-1)+IFERROR(SEARCH(M16,Rådata!$B$1000),-1)+IFERROR(SEARCH(N16,Rådata!$B$1000),-1)+IFERROR(SEARCH(O16,Rådata!$B$1000),-1))&gt;0,"-","NEJ")</f>
        <v>NEJ</v>
      </c>
      <c r="K16" s="29" t="s">
        <v>2</v>
      </c>
      <c r="L16" s="29" t="s">
        <v>59</v>
      </c>
      <c r="M16" s="29" t="s">
        <v>243</v>
      </c>
      <c r="N16" s="29" t="s">
        <v>179</v>
      </c>
      <c r="O16" s="29" t="s">
        <v>179</v>
      </c>
      <c r="S16" s="2" t="str">
        <f t="shared" si="1"/>
        <v>E. coli</v>
      </c>
      <c r="T16" t="str">
        <f t="shared" si="2"/>
        <v>Lugt, Smag, Farve, Turbiditet, pH, Ledningsevne, Kimtal ved 22 °C, Coliforme bakterier, E. coli</v>
      </c>
    </row>
    <row r="17" spans="1:20" x14ac:dyDescent="0.2">
      <c r="A17" t="s">
        <v>240</v>
      </c>
      <c r="F17" s="3" t="s">
        <v>60</v>
      </c>
      <c r="G17" s="4" t="str">
        <f>IF((IFERROR(SEARCH(K17,Rådata!$B$1000),-1)+IFERROR(SEARCH(L17,Rådata!$B$1000),-1)+IFERROR(SEARCH(M17,Rådata!$B$1000),-1)+IFERROR(SEARCH(N17,Rådata!$B$1000),-1)+IFERROR(SEARCH(O17,Rådata!$B$1000),-1))&gt;0,"-","NEJ")</f>
        <v>NEJ</v>
      </c>
      <c r="K17" s="29" t="str">
        <f>F17</f>
        <v>Jern</v>
      </c>
      <c r="L17" s="29" t="s">
        <v>179</v>
      </c>
      <c r="M17" s="29" t="s">
        <v>179</v>
      </c>
      <c r="N17" s="29" t="s">
        <v>179</v>
      </c>
      <c r="O17" s="29" t="s">
        <v>179</v>
      </c>
      <c r="S17" s="2" t="str">
        <f t="shared" si="1"/>
        <v>Jern</v>
      </c>
      <c r="T17" t="str">
        <f t="shared" si="2"/>
        <v>Lugt, Smag, Farve, Turbiditet, pH, Ledningsevne, Kimtal ved 22 °C, Coliforme bakterier, E. coli, Jern</v>
      </c>
    </row>
    <row r="18" spans="1:20" x14ac:dyDescent="0.2">
      <c r="A18" s="36" t="s">
        <v>241</v>
      </c>
      <c r="F18" s="23" t="s">
        <v>4</v>
      </c>
      <c r="G18" s="18" t="str">
        <f>IF((IFERROR(SEARCH(K18,Rådata!$B$1000),-1)+IFERROR(SEARCH(L18,Rådata!$B$1000),-1)+IFERROR(SEARCH(M18,Rådata!$B$1000),-1)+IFERROR(SEARCH(N18,Rådata!$B$1000),-1)+IFERROR(SEARCH(O18,Rådata!$B$1000),-1))&gt;0,"-","NEJ")</f>
        <v>NEJ</v>
      </c>
      <c r="K18" s="29" t="s">
        <v>4</v>
      </c>
      <c r="L18" s="29" t="s">
        <v>179</v>
      </c>
      <c r="M18" s="29" t="s">
        <v>179</v>
      </c>
      <c r="N18" s="29" t="s">
        <v>179</v>
      </c>
      <c r="O18" s="29" t="s">
        <v>179</v>
      </c>
      <c r="S18" s="33"/>
    </row>
    <row r="19" spans="1:20" x14ac:dyDescent="0.2">
      <c r="A19" t="s">
        <v>216</v>
      </c>
    </row>
    <row r="20" spans="1:20" x14ac:dyDescent="0.2">
      <c r="A20" t="s">
        <v>217</v>
      </c>
      <c r="E20" s="46" t="s">
        <v>61</v>
      </c>
      <c r="F20" s="46"/>
      <c r="G20" s="15" t="str">
        <f>IF(IFERROR(SEARCH("NEJ",CONCATENATE(" ",H22,H24,H35,H51,H55,H57,H70,H72,H79,H94,H113)),1)=1,"OK","NEJ")</f>
        <v>NEJ</v>
      </c>
      <c r="H20" t="str">
        <f>IF(G20="OK","",RIGHT(T139,LEN(T139)))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20" s="31"/>
    </row>
    <row r="21" spans="1:20" x14ac:dyDescent="0.2">
      <c r="F21" s="17"/>
      <c r="G21" s="5"/>
    </row>
    <row r="22" spans="1:20" x14ac:dyDescent="0.2">
      <c r="A22" s="32"/>
      <c r="E22" s="47" t="s">
        <v>62</v>
      </c>
      <c r="F22" s="47"/>
      <c r="G22" s="12"/>
      <c r="H22" s="13" t="str">
        <f>IF(IFERROR(SEARCH("NEJ"," "&amp;G23),1)=1,"OK","NEJ")</f>
        <v>NEJ</v>
      </c>
      <c r="K22" s="27"/>
    </row>
    <row r="23" spans="1:20" x14ac:dyDescent="0.2">
      <c r="A23" s="32"/>
      <c r="F23" s="7" t="s">
        <v>3</v>
      </c>
      <c r="G23" s="4" t="str">
        <f>IF((IFERROR(SEARCH(K23,Rådata!$B$1000),-1)+IFERROR(SEARCH(L23,Rådata!$B$1000),-1)+IFERROR(SEARCH(M23,Rådata!$B$1000),-1)+IFERROR(SEARCH(N23,Rådata!$B$1000),-1)+IFERROR(SEARCH(O23,Rådata!$B$1000),-1))&gt;0,"-","NEJ")</f>
        <v>NEJ</v>
      </c>
      <c r="K23" s="29" t="str">
        <f>F23</f>
        <v>Enterokokker</v>
      </c>
      <c r="L23" s="29" t="s">
        <v>248</v>
      </c>
      <c r="M23" s="29" t="s">
        <v>179</v>
      </c>
      <c r="N23" s="29" t="s">
        <v>179</v>
      </c>
      <c r="O23" s="29" t="s">
        <v>179</v>
      </c>
      <c r="S23" s="2" t="str">
        <f t="shared" si="1"/>
        <v>Enterokokker</v>
      </c>
      <c r="T23" t="str">
        <f>S23</f>
        <v>Enterokokker</v>
      </c>
    </row>
    <row r="24" spans="1:20" x14ac:dyDescent="0.2">
      <c r="E24" s="47" t="s">
        <v>63</v>
      </c>
      <c r="F24" s="47"/>
      <c r="G24" s="12"/>
      <c r="H24" s="13" t="str">
        <f>IF(IFERROR(SEARCH("NEJ",CONCATENATE(" ",G25,G26,G27,G28,G29,G30,G31,G32,G33,G34)),1)=1,"OK","NEJ")</f>
        <v>NEJ</v>
      </c>
      <c r="K24" s="28"/>
      <c r="L24" s="29"/>
      <c r="M24" s="29"/>
      <c r="N24" s="29"/>
      <c r="O24" s="29"/>
      <c r="T24" t="str">
        <f>IF(S24="",T23,T23&amp;", "&amp;S24)</f>
        <v>Enterokokker</v>
      </c>
    </row>
    <row r="25" spans="1:20" x14ac:dyDescent="0.2">
      <c r="F25" s="9" t="s">
        <v>64</v>
      </c>
      <c r="G25" s="4" t="str">
        <f>IF((IFERROR(SEARCH(K25,Rådata!$B$1000),-1)+IFERROR(SEARCH(L25,Rådata!$B$1000),-1)+IFERROR(SEARCH(M25,Rådata!$B$1000),-1)+IFERROR(SEARCH(N25,Rådata!$B$1000),-1)+IFERROR(SEARCH(O25,Rådata!$B$1000),-1))&gt;0,"-","NEJ")</f>
        <v>NEJ</v>
      </c>
      <c r="K25" s="29" t="str">
        <f t="shared" ref="K25:K34" si="3">F25</f>
        <v>Temperatur</v>
      </c>
      <c r="L25" s="29" t="s">
        <v>179</v>
      </c>
      <c r="M25" s="29" t="s">
        <v>179</v>
      </c>
      <c r="N25" s="29" t="s">
        <v>179</v>
      </c>
      <c r="O25" s="29" t="s">
        <v>179</v>
      </c>
      <c r="S25" s="2" t="str">
        <f t="shared" si="1"/>
        <v>Temperatur</v>
      </c>
      <c r="T25" t="str">
        <f t="shared" ref="T25:T88" si="4">IF(S25="",T24,T24&amp;", "&amp;S25)</f>
        <v>Enterokokker, Temperatur</v>
      </c>
    </row>
    <row r="26" spans="1:20" x14ac:dyDescent="0.2">
      <c r="F26" s="3" t="s">
        <v>65</v>
      </c>
      <c r="G26" s="4" t="str">
        <f>IF((IFERROR(SEARCH(K26,Rådata!$B$1000),-1)+IFERROR(SEARCH(L26,Rådata!$B$1000),-1)+IFERROR(SEARCH(M26,Rådata!$B$1000),-1)+IFERROR(SEARCH(N26,Rådata!$B$1000),-1)+IFERROR(SEARCH(O26,Rådata!$B$1000),-1))&gt;0,"-","NEJ")</f>
        <v>NEJ</v>
      </c>
      <c r="K26" s="29" t="str">
        <f t="shared" si="3"/>
        <v>NVOC</v>
      </c>
      <c r="L26" s="29" t="s">
        <v>179</v>
      </c>
      <c r="M26" s="29" t="s">
        <v>179</v>
      </c>
      <c r="N26" s="29" t="s">
        <v>179</v>
      </c>
      <c r="O26" s="29" t="s">
        <v>179</v>
      </c>
      <c r="S26" s="2" t="str">
        <f t="shared" si="1"/>
        <v>NVOC</v>
      </c>
      <c r="T26" t="str">
        <f t="shared" si="4"/>
        <v>Enterokokker, Temperatur, NVOC</v>
      </c>
    </row>
    <row r="27" spans="1:20" x14ac:dyDescent="0.2">
      <c r="F27" s="3" t="s">
        <v>66</v>
      </c>
      <c r="G27" s="4" t="str">
        <f>IF((IFERROR(SEARCH(K27,Rådata!$B$1000),-1)+IFERROR(SEARCH(L27,Rådata!$B$1000),-1)+IFERROR(SEARCH(M27,Rådata!$B$1000),-1)+IFERROR(SEARCH(N27,Rådata!$B$1000),-1)+IFERROR(SEARCH(O27,Rådata!$B$1000),-1))&gt;0,"-","NEJ")</f>
        <v>NEJ</v>
      </c>
      <c r="K27" s="29" t="str">
        <f t="shared" si="3"/>
        <v>Natrium</v>
      </c>
      <c r="L27" s="29" t="s">
        <v>179</v>
      </c>
      <c r="M27" s="29" t="s">
        <v>179</v>
      </c>
      <c r="N27" s="29" t="s">
        <v>179</v>
      </c>
      <c r="O27" s="29" t="s">
        <v>179</v>
      </c>
      <c r="S27" s="2" t="str">
        <f t="shared" si="1"/>
        <v>Natrium</v>
      </c>
      <c r="T27" t="str">
        <f t="shared" si="4"/>
        <v>Enterokokker, Temperatur, NVOC, Natrium</v>
      </c>
    </row>
    <row r="28" spans="1:20" x14ac:dyDescent="0.2">
      <c r="F28" s="3" t="s">
        <v>67</v>
      </c>
      <c r="G28" s="4" t="str">
        <f>IF((IFERROR(SEARCH(K28,Rådata!$B$1000),-1)+IFERROR(SEARCH(L28,Rådata!$B$1000),-1)+IFERROR(SEARCH(M28,Rådata!$B$1000),-1)+IFERROR(SEARCH(N28,Rådata!$B$1000),-1)+IFERROR(SEARCH(O28,Rådata!$B$1000),-1))&gt;0,"-","NEJ")</f>
        <v>NEJ</v>
      </c>
      <c r="K28" s="29" t="str">
        <f t="shared" si="3"/>
        <v>Ammonium</v>
      </c>
      <c r="L28" s="29" t="s">
        <v>179</v>
      </c>
      <c r="M28" s="29" t="s">
        <v>179</v>
      </c>
      <c r="N28" s="29" t="s">
        <v>179</v>
      </c>
      <c r="O28" s="29" t="s">
        <v>179</v>
      </c>
      <c r="S28" s="2" t="str">
        <f t="shared" si="1"/>
        <v>Ammonium</v>
      </c>
      <c r="T28" t="str">
        <f t="shared" si="4"/>
        <v>Enterokokker, Temperatur, NVOC, Natrium, Ammonium</v>
      </c>
    </row>
    <row r="29" spans="1:20" x14ac:dyDescent="0.2">
      <c r="A29" t="s">
        <v>221</v>
      </c>
      <c r="F29" s="3" t="s">
        <v>68</v>
      </c>
      <c r="G29" s="4" t="str">
        <f>IF((IFERROR(SEARCH(K29,Rådata!$B$1000),-1)+IFERROR(SEARCH(L29,Rådata!$B$1000),-1)+IFERROR(SEARCH(M29,Rådata!$B$1000),-1)+IFERROR(SEARCH(N29,Rådata!$B$1000),-1)+IFERROR(SEARCH(O29,Rådata!$B$1000),-1))&gt;0,"-","NEJ")</f>
        <v>NEJ</v>
      </c>
      <c r="K29" s="29" t="str">
        <f t="shared" si="3"/>
        <v>Mangan</v>
      </c>
      <c r="L29" s="29" t="s">
        <v>179</v>
      </c>
      <c r="M29" s="29" t="s">
        <v>179</v>
      </c>
      <c r="N29" s="29" t="s">
        <v>179</v>
      </c>
      <c r="O29" s="29" t="s">
        <v>179</v>
      </c>
      <c r="S29" s="2" t="str">
        <f t="shared" si="1"/>
        <v>Mangan</v>
      </c>
      <c r="T29" t="str">
        <f t="shared" si="4"/>
        <v>Enterokokker, Temperatur, NVOC, Natrium, Ammonium, Mangan</v>
      </c>
    </row>
    <row r="30" spans="1:20" x14ac:dyDescent="0.2">
      <c r="A30" s="50" t="s">
        <v>53</v>
      </c>
      <c r="B30" s="50"/>
      <c r="C30" s="50"/>
      <c r="F30" s="3" t="s">
        <v>6</v>
      </c>
      <c r="G30" s="4" t="str">
        <f>IF((IFERROR(SEARCH(K30,Rådata!$B$1000),-1)+IFERROR(SEARCH(L30,Rådata!$B$1000),-1)+IFERROR(SEARCH(M30,Rådata!$B$1000),-1)+IFERROR(SEARCH(N30,Rådata!$B$1000),-1)+IFERROR(SEARCH(O30,Rådata!$B$1000),-1))&gt;0,"-","NEJ")</f>
        <v>NEJ</v>
      </c>
      <c r="K30" s="29" t="str">
        <f t="shared" si="3"/>
        <v>Chlorid</v>
      </c>
      <c r="L30" s="29" t="s">
        <v>177</v>
      </c>
      <c r="M30" s="29" t="s">
        <v>179</v>
      </c>
      <c r="N30" s="29" t="s">
        <v>179</v>
      </c>
      <c r="O30" s="29" t="s">
        <v>179</v>
      </c>
      <c r="S30" s="2" t="str">
        <f t="shared" si="1"/>
        <v>Chlorid</v>
      </c>
      <c r="T30" t="str">
        <f t="shared" si="4"/>
        <v>Enterokokker, Temperatur, NVOC, Natrium, Ammonium, Mangan, Chlorid</v>
      </c>
    </row>
    <row r="31" spans="1:20" x14ac:dyDescent="0.2">
      <c r="A31" s="50" t="s">
        <v>61</v>
      </c>
      <c r="B31" s="50"/>
      <c r="C31" s="50"/>
      <c r="F31" s="3" t="s">
        <v>7</v>
      </c>
      <c r="G31" s="4" t="str">
        <f>IF((IFERROR(SEARCH(K31,Rådata!$B$1000),-1)+IFERROR(SEARCH(L31,Rådata!$B$1000),-1)+IFERROR(SEARCH(M31,Rådata!$B$1000),-1)+IFERROR(SEARCH(N31,Rådata!$B$1000),-1)+IFERROR(SEARCH(O31,Rådata!$B$1000),-1))&gt;0,"-","NEJ")</f>
        <v>NEJ</v>
      </c>
      <c r="K31" s="29" t="str">
        <f t="shared" si="3"/>
        <v>Sulfat</v>
      </c>
      <c r="L31" s="29" t="s">
        <v>179</v>
      </c>
      <c r="M31" s="29" t="s">
        <v>179</v>
      </c>
      <c r="N31" s="29" t="s">
        <v>179</v>
      </c>
      <c r="O31" s="29" t="s">
        <v>179</v>
      </c>
      <c r="S31" s="2" t="str">
        <f t="shared" si="1"/>
        <v>Sulfat</v>
      </c>
      <c r="T31" t="str">
        <f t="shared" si="4"/>
        <v>Enterokokker, Temperatur, NVOC, Natrium, Ammonium, Mangan, Chlorid, Sulfat</v>
      </c>
    </row>
    <row r="32" spans="1:20" x14ac:dyDescent="0.2">
      <c r="A32" s="50" t="s">
        <v>176</v>
      </c>
      <c r="B32" s="50"/>
      <c r="C32" s="50"/>
      <c r="F32" s="3" t="s">
        <v>5</v>
      </c>
      <c r="G32" s="4" t="str">
        <f>IF((IFERROR(SEARCH(K32,Rådata!$B$1000),-1)+IFERROR(SEARCH(L32,Rådata!$B$1000),-1)+IFERROR(SEARCH(M32,Rådata!$B$1000),-1)+IFERROR(SEARCH(N32,Rådata!$B$1000),-1)+IFERROR(SEARCH(O32,Rådata!$B$1000),-1))&gt;0,"-","NEJ")</f>
        <v>NEJ</v>
      </c>
      <c r="K32" s="29" t="str">
        <f t="shared" si="3"/>
        <v>Nitrat</v>
      </c>
      <c r="L32" s="29" t="s">
        <v>179</v>
      </c>
      <c r="M32" s="29" t="s">
        <v>179</v>
      </c>
      <c r="N32" s="29" t="s">
        <v>179</v>
      </c>
      <c r="O32" s="29" t="s">
        <v>179</v>
      </c>
      <c r="S32" s="2" t="str">
        <f t="shared" si="1"/>
        <v>Nitrat</v>
      </c>
      <c r="T32" t="str">
        <f t="shared" si="4"/>
        <v>Enterokokker, Temperatur, NVOC, Natrium, Ammonium, Mangan, Chlorid, Sulfat, Nitrat</v>
      </c>
    </row>
    <row r="33" spans="1:20" x14ac:dyDescent="0.2">
      <c r="A33" s="50" t="s">
        <v>175</v>
      </c>
      <c r="B33" s="50"/>
      <c r="C33" s="50"/>
      <c r="F33" s="3" t="s">
        <v>4</v>
      </c>
      <c r="G33" s="4" t="str">
        <f>IF((IFERROR(SEARCH(K33,Rådata!$B$1000),-1)+IFERROR(SEARCH(L33,Rådata!$B$1000),-1)+IFERROR(SEARCH(M33,Rådata!$B$1000),-1)+IFERROR(SEARCH(N33,Rådata!$B$1000),-1)+IFERROR(SEARCH(O33,Rådata!$B$1000),-1))&gt;0,"-","NEJ")</f>
        <v>NEJ</v>
      </c>
      <c r="K33" s="29" t="str">
        <f t="shared" si="3"/>
        <v>Nitrit</v>
      </c>
      <c r="L33" s="29" t="s">
        <v>179</v>
      </c>
      <c r="M33" s="29" t="s">
        <v>179</v>
      </c>
      <c r="N33" s="29" t="s">
        <v>179</v>
      </c>
      <c r="O33" s="29" t="s">
        <v>179</v>
      </c>
      <c r="S33" s="2" t="str">
        <f t="shared" si="1"/>
        <v>Nitrit</v>
      </c>
      <c r="T33" t="str">
        <f t="shared" si="4"/>
        <v>Enterokokker, Temperatur, NVOC, Natrium, Ammonium, Mangan, Chlorid, Sulfat, Nitrat, Nitrit</v>
      </c>
    </row>
    <row r="34" spans="1:20" x14ac:dyDescent="0.2">
      <c r="A34" s="50" t="s">
        <v>169</v>
      </c>
      <c r="B34" s="50"/>
      <c r="C34" s="50"/>
      <c r="F34" s="10" t="s">
        <v>69</v>
      </c>
      <c r="G34" s="4" t="str">
        <f>IF((IFERROR(SEARCH(K34,Rådata!$B$1000),-1)+IFERROR(SEARCH(L34,Rådata!$B$1000),-1)+IFERROR(SEARCH(M34,Rådata!$B$1000),-1)+IFERROR(SEARCH(N34,Rådata!$B$1000),-1)+IFERROR(SEARCH(O34,Rådata!$B$1000),-1))&gt;0,"-","NEJ")</f>
        <v>NEJ</v>
      </c>
      <c r="K34" s="29" t="str">
        <f t="shared" si="3"/>
        <v>Fluorid</v>
      </c>
      <c r="L34" s="29" t="s">
        <v>179</v>
      </c>
      <c r="M34" s="29" t="s">
        <v>179</v>
      </c>
      <c r="N34" s="29" t="s">
        <v>179</v>
      </c>
      <c r="O34" s="29" t="s">
        <v>179</v>
      </c>
      <c r="S34" s="2" t="str">
        <f t="shared" si="1"/>
        <v>Fluorid</v>
      </c>
      <c r="T34" t="str">
        <f t="shared" si="4"/>
        <v>Enterokokker, Temperatur, NVOC, Natrium, Ammonium, Mangan, Chlorid, Sulfat, Nitrat, Nitrit, Fluorid</v>
      </c>
    </row>
    <row r="35" spans="1:20" x14ac:dyDescent="0.2">
      <c r="E35" s="47" t="s">
        <v>70</v>
      </c>
      <c r="F35" s="47"/>
      <c r="G35" s="13"/>
      <c r="H35" s="13" t="str">
        <f>IF(IFERROR(SEARCH("NEJ",CONCATENATE(" ",G36,G37,G38,G39,G40,G41,G42,G43,G44,G45,G46,G47,G48,G49,G50)),1)=1,"OK","NEJ")</f>
        <v>NEJ</v>
      </c>
      <c r="K35" s="28"/>
      <c r="L35" s="29"/>
      <c r="M35" s="29"/>
      <c r="N35" s="29"/>
      <c r="O35" s="29"/>
      <c r="T35" t="str">
        <f t="shared" si="4"/>
        <v>Enterokokker, Temperatur, NVOC, Natrium, Ammonium, Mangan, Chlorid, Sulfat, Nitrat, Nitrit, Fluorid</v>
      </c>
    </row>
    <row r="36" spans="1:20" x14ac:dyDescent="0.2">
      <c r="F36" s="9" t="s">
        <v>71</v>
      </c>
      <c r="G36" s="4" t="str">
        <f>IF((IFERROR(SEARCH(K36,Rådata!$B$1000),-1)+IFERROR(SEARCH(L36,Rådata!$B$1000),-1)+IFERROR(SEARCH(M36,Rådata!$B$1000),-1)+IFERROR(SEARCH(N36,Rådata!$B$1000),-1)+IFERROR(SEARCH(O36,Rådata!$B$1000),-1))&gt;0,"-","NEJ")</f>
        <v>NEJ</v>
      </c>
      <c r="K36" s="29" t="str">
        <f t="shared" ref="K36:K50" si="5">F36</f>
        <v>Aluminium</v>
      </c>
      <c r="L36" s="29" t="s">
        <v>179</v>
      </c>
      <c r="M36" s="29" t="s">
        <v>179</v>
      </c>
      <c r="N36" s="29" t="s">
        <v>179</v>
      </c>
      <c r="O36" s="29" t="s">
        <v>179</v>
      </c>
      <c r="S36" s="2" t="str">
        <f t="shared" si="1"/>
        <v>Aluminium</v>
      </c>
      <c r="T36" t="str">
        <f t="shared" si="4"/>
        <v>Enterokokker, Temperatur, NVOC, Natrium, Ammonium, Mangan, Chlorid, Sulfat, Nitrat, Nitrit, Fluorid, Aluminium</v>
      </c>
    </row>
    <row r="37" spans="1:20" x14ac:dyDescent="0.2">
      <c r="F37" s="3" t="s">
        <v>72</v>
      </c>
      <c r="G37" s="4" t="str">
        <f>IF((IFERROR(SEARCH(K37,Rådata!$B$1000),-1)+IFERROR(SEARCH(L37,Rådata!$B$1000),-1)+IFERROR(SEARCH(M37,Rådata!$B$1000),-1)+IFERROR(SEARCH(N37,Rådata!$B$1000),-1)+IFERROR(SEARCH(O37,Rådata!$B$1000),-1))&gt;0,"-","NEJ")</f>
        <v>NEJ</v>
      </c>
      <c r="K37" s="29" t="str">
        <f t="shared" si="5"/>
        <v>Antimon</v>
      </c>
      <c r="L37" s="29" t="s">
        <v>179</v>
      </c>
      <c r="M37" s="29" t="s">
        <v>179</v>
      </c>
      <c r="N37" s="29" t="s">
        <v>179</v>
      </c>
      <c r="O37" s="29" t="s">
        <v>179</v>
      </c>
      <c r="S37" s="2" t="str">
        <f t="shared" si="1"/>
        <v>Antimon</v>
      </c>
      <c r="T37" t="str">
        <f t="shared" si="4"/>
        <v>Enterokokker, Temperatur, NVOC, Natrium, Ammonium, Mangan, Chlorid, Sulfat, Nitrat, Nitrit, Fluorid, Aluminium, Antimon</v>
      </c>
    </row>
    <row r="38" spans="1:20" x14ac:dyDescent="0.2">
      <c r="F38" s="3" t="s">
        <v>73</v>
      </c>
      <c r="G38" s="4" t="str">
        <f>IF((IFERROR(SEARCH(K38,Rådata!$B$1000),-1)+IFERROR(SEARCH(L38,Rådata!$B$1000),-1)+IFERROR(SEARCH(M38,Rådata!$B$1000),-1)+IFERROR(SEARCH(N38,Rådata!$B$1000),-1)+IFERROR(SEARCH(O38,Rådata!$B$1000),-1))&gt;0,"-","NEJ")</f>
        <v>NEJ</v>
      </c>
      <c r="K38" s="29" t="str">
        <f t="shared" si="5"/>
        <v>Arsen</v>
      </c>
      <c r="L38" s="29" t="s">
        <v>179</v>
      </c>
      <c r="M38" s="29" t="s">
        <v>179</v>
      </c>
      <c r="N38" s="29" t="s">
        <v>179</v>
      </c>
      <c r="O38" s="29" t="s">
        <v>179</v>
      </c>
      <c r="S38" s="2" t="str">
        <f t="shared" si="1"/>
        <v>Arsen</v>
      </c>
      <c r="T38" t="str">
        <f t="shared" si="4"/>
        <v>Enterokokker, Temperatur, NVOC, Natrium, Ammonium, Mangan, Chlorid, Sulfat, Nitrat, Nitrit, Fluorid, Aluminium, Antimon, Arsen</v>
      </c>
    </row>
    <row r="39" spans="1:20" x14ac:dyDescent="0.2">
      <c r="F39" s="3" t="s">
        <v>74</v>
      </c>
      <c r="G39" s="4" t="str">
        <f>IF((IFERROR(SEARCH(K39,Rådata!$B$1000),-1)+IFERROR(SEARCH(L39,Rådata!$B$1000),-1)+IFERROR(SEARCH(M39,Rådata!$B$1000),-1)+IFERROR(SEARCH(N39,Rådata!$B$1000),-1)+IFERROR(SEARCH(O39,Rådata!$B$1000),-1))&gt;0,"-","NEJ")</f>
        <v>NEJ</v>
      </c>
      <c r="K39" s="29" t="str">
        <f t="shared" si="5"/>
        <v>Bly</v>
      </c>
      <c r="L39" s="29" t="s">
        <v>179</v>
      </c>
      <c r="M39" s="29" t="s">
        <v>179</v>
      </c>
      <c r="N39" s="29" t="s">
        <v>179</v>
      </c>
      <c r="O39" s="29" t="s">
        <v>179</v>
      </c>
      <c r="S39" s="2" t="str">
        <f t="shared" si="1"/>
        <v>Bly</v>
      </c>
      <c r="T39" t="str">
        <f t="shared" si="4"/>
        <v>Enterokokker, Temperatur, NVOC, Natrium, Ammonium, Mangan, Chlorid, Sulfat, Nitrat, Nitrit, Fluorid, Aluminium, Antimon, Arsen, Bly</v>
      </c>
    </row>
    <row r="40" spans="1:20" x14ac:dyDescent="0.2">
      <c r="F40" s="3" t="s">
        <v>75</v>
      </c>
      <c r="G40" s="4" t="str">
        <f>IF((IFERROR(SEARCH(K40,Rådata!$B$1000),-1)+IFERROR(SEARCH(L40,Rådata!$B$1000),-1)+IFERROR(SEARCH(M40,Rådata!$B$1000),-1)+IFERROR(SEARCH(N40,Rådata!$B$1000),-1)+IFERROR(SEARCH(O40,Rådata!$B$1000),-1))&gt;0,"-","NEJ")</f>
        <v>NEJ</v>
      </c>
      <c r="K40" s="29" t="str">
        <f t="shared" si="5"/>
        <v>Bor</v>
      </c>
      <c r="L40" s="29" t="s">
        <v>179</v>
      </c>
      <c r="M40" s="29" t="s">
        <v>179</v>
      </c>
      <c r="N40" s="29" t="s">
        <v>179</v>
      </c>
      <c r="O40" s="29" t="s">
        <v>179</v>
      </c>
      <c r="S40" s="2" t="str">
        <f t="shared" si="1"/>
        <v>Bor</v>
      </c>
      <c r="T40" t="str">
        <f t="shared" si="4"/>
        <v>Enterokokker, Temperatur, NVOC, Natrium, Ammonium, Mangan, Chlorid, Sulfat, Nitrat, Nitrit, Fluorid, Aluminium, Antimon, Arsen, Bly, Bor</v>
      </c>
    </row>
    <row r="41" spans="1:20" x14ac:dyDescent="0.2">
      <c r="F41" s="3" t="s">
        <v>76</v>
      </c>
      <c r="G41" s="4" t="str">
        <f>IF((IFERROR(SEARCH(K41,Rådata!$B$1000),-1)+IFERROR(SEARCH(L41,Rådata!$B$1000),-1)+IFERROR(SEARCH(M41,Rådata!$B$1000),-1)+IFERROR(SEARCH(N41,Rådata!$B$1000),-1)+IFERROR(SEARCH(O41,Rådata!$B$1000),-1))&gt;0,"-","NEJ")</f>
        <v>NEJ</v>
      </c>
      <c r="K41" s="29" t="str">
        <f t="shared" si="5"/>
        <v>Cadmium</v>
      </c>
      <c r="L41" s="29" t="s">
        <v>179</v>
      </c>
      <c r="M41" s="29" t="s">
        <v>179</v>
      </c>
      <c r="N41" s="29" t="s">
        <v>179</v>
      </c>
      <c r="O41" s="29" t="s">
        <v>179</v>
      </c>
      <c r="S41" s="2" t="str">
        <f t="shared" si="1"/>
        <v>Cadmium</v>
      </c>
      <c r="T41" t="str">
        <f t="shared" si="4"/>
        <v>Enterokokker, Temperatur, NVOC, Natrium, Ammonium, Mangan, Chlorid, Sulfat, Nitrat, Nitrit, Fluorid, Aluminium, Antimon, Arsen, Bly, Bor, Cadmium</v>
      </c>
    </row>
    <row r="42" spans="1:20" x14ac:dyDescent="0.2">
      <c r="F42" s="3" t="s">
        <v>91</v>
      </c>
      <c r="G42" s="4" t="str">
        <f>IF((IFERROR(SEARCH(K42,Rådata!$B$1000),-1)+IFERROR(SEARCH(L42,Rådata!$B$1000),-1)+IFERROR(SEARCH(M42,Rådata!$B$1000),-1)+IFERROR(SEARCH(N42,Rådata!$B$1000),-1)+IFERROR(SEARCH(O42,Rådata!$B$1000),-1))&gt;0,"-","NEJ")</f>
        <v>NEJ</v>
      </c>
      <c r="K42" s="29" t="str">
        <f t="shared" si="5"/>
        <v>Kobolt</v>
      </c>
      <c r="L42" s="29" t="s">
        <v>168</v>
      </c>
      <c r="M42" s="29" t="s">
        <v>179</v>
      </c>
      <c r="N42" s="29" t="s">
        <v>179</v>
      </c>
      <c r="O42" s="29" t="s">
        <v>179</v>
      </c>
      <c r="S42" s="2" t="str">
        <f t="shared" si="1"/>
        <v>Kobolt</v>
      </c>
      <c r="T42" t="str">
        <f t="shared" si="4"/>
        <v>Enterokokker, Temperatur, NVOC, Natrium, Ammonium, Mangan, Chlorid, Sulfat, Nitrat, Nitrit, Fluorid, Aluminium, Antimon, Arsen, Bly, Bor, Cadmium, Kobolt</v>
      </c>
    </row>
    <row r="43" spans="1:20" x14ac:dyDescent="0.2">
      <c r="F43" s="3" t="s">
        <v>77</v>
      </c>
      <c r="G43" s="4" t="str">
        <f>IF((IFERROR(SEARCH(K43,Rådata!$B$1000),-1)+IFERROR(SEARCH(L43,Rådata!$B$1000),-1)+IFERROR(SEARCH(M43,Rådata!$B$1000),-1)+IFERROR(SEARCH(N43,Rådata!$B$1000),-1)+IFERROR(SEARCH(O43,Rådata!$B$1000),-1))&gt;0,"-","NEJ")</f>
        <v>NEJ</v>
      </c>
      <c r="K43" s="29" t="str">
        <f t="shared" si="5"/>
        <v>Chrom</v>
      </c>
      <c r="L43" s="29" t="s">
        <v>200</v>
      </c>
      <c r="M43" s="29" t="s">
        <v>179</v>
      </c>
      <c r="N43" s="29" t="s">
        <v>179</v>
      </c>
      <c r="O43" s="29" t="s">
        <v>179</v>
      </c>
      <c r="S43" s="2" t="str">
        <f t="shared" si="1"/>
        <v>Chrom</v>
      </c>
      <c r="T43" t="str">
        <f t="shared" si="4"/>
        <v>Enterokokker, Temperatur, NVOC, Natrium, Ammonium, Mangan, Chlorid, Sulfat, Nitrat, Nitrit, Fluorid, Aluminium, Antimon, Arsen, Bly, Bor, Cadmium, Kobolt, Chrom</v>
      </c>
    </row>
    <row r="44" spans="1:20" x14ac:dyDescent="0.2">
      <c r="F44" s="3" t="s">
        <v>78</v>
      </c>
      <c r="G44" s="4" t="str">
        <f>IF((IFERROR(SEARCH(K44,Rådata!$B$1000),-1)+IFERROR(SEARCH(L44,Rådata!$B$1000),-1)+IFERROR(SEARCH(M44,Rådata!$B$1000),-1)+IFERROR(SEARCH(N44,Rådata!$B$1000),-1)+IFERROR(SEARCH(O44,Rådata!$B$1000),-1))&gt;0,"-","NEJ")</f>
        <v>NEJ</v>
      </c>
      <c r="K44" s="29" t="str">
        <f t="shared" si="5"/>
        <v>Cyanid</v>
      </c>
      <c r="L44" s="29" t="s">
        <v>179</v>
      </c>
      <c r="M44" s="29" t="s">
        <v>179</v>
      </c>
      <c r="N44" s="29" t="s">
        <v>179</v>
      </c>
      <c r="O44" s="29" t="s">
        <v>179</v>
      </c>
      <c r="S44" s="2" t="str">
        <f t="shared" si="1"/>
        <v>Cyanid</v>
      </c>
      <c r="T44" t="str">
        <f t="shared" si="4"/>
        <v>Enterokokker, Temperatur, NVOC, Natrium, Ammonium, Mangan, Chlorid, Sulfat, Nitrat, Nitrit, Fluorid, Aluminium, Antimon, Arsen, Bly, Bor, Cadmium, Kobolt, Chrom, Cyanid</v>
      </c>
    </row>
    <row r="45" spans="1:20" x14ac:dyDescent="0.2">
      <c r="F45" s="3" t="s">
        <v>79</v>
      </c>
      <c r="G45" s="4" t="str">
        <f>IF((IFERROR(SEARCH(K45,Rådata!$B$1000),-1)+IFERROR(SEARCH(L45,Rådata!$B$1000),-1)+IFERROR(SEARCH(M45,Rådata!$B$1000),-1)+IFERROR(SEARCH(N45,Rådata!$B$1000),-1)+IFERROR(SEARCH(O45,Rådata!$B$1000),-1))&gt;0,"-","NEJ")</f>
        <v>NEJ</v>
      </c>
      <c r="K45" s="29" t="str">
        <f t="shared" si="5"/>
        <v>Kobber</v>
      </c>
      <c r="L45" s="29" t="s">
        <v>178</v>
      </c>
      <c r="M45" s="29" t="s">
        <v>179</v>
      </c>
      <c r="N45" s="29" t="s">
        <v>179</v>
      </c>
      <c r="O45" s="29" t="s">
        <v>179</v>
      </c>
      <c r="S45" s="2" t="str">
        <f t="shared" si="1"/>
        <v>Kobber</v>
      </c>
      <c r="T45" t="str">
        <f t="shared" si="4"/>
        <v>Enterokokker, Temperatur, NVOC, Natrium, Ammonium, Mangan, Chlorid, Sulfat, Nitrat, Nitrit, Fluorid, Aluminium, Antimon, Arsen, Bly, Bor, Cadmium, Kobolt, Chrom, Cyanid, Kobber</v>
      </c>
    </row>
    <row r="46" spans="1:20" x14ac:dyDescent="0.2">
      <c r="F46" s="3" t="s">
        <v>80</v>
      </c>
      <c r="G46" s="4" t="str">
        <f>IF((IFERROR(SEARCH(K46,Rådata!$B$1000),-1)+IFERROR(SEARCH(L46,Rådata!$B$1000),-1)+IFERROR(SEARCH(M46,Rådata!$B$1000),-1)+IFERROR(SEARCH(N46,Rådata!$B$1000),-1)+IFERROR(SEARCH(O46,Rådata!$B$1000),-1))&gt;0,"-","NEJ")</f>
        <v>NEJ</v>
      </c>
      <c r="K46" s="29" t="str">
        <f t="shared" si="5"/>
        <v>Kviksølv</v>
      </c>
      <c r="L46" s="29" t="s">
        <v>179</v>
      </c>
      <c r="M46" s="29" t="s">
        <v>179</v>
      </c>
      <c r="N46" s="29" t="s">
        <v>179</v>
      </c>
      <c r="O46" s="29" t="s">
        <v>179</v>
      </c>
      <c r="S46" s="2" t="str">
        <f t="shared" si="1"/>
        <v>Kviksølv</v>
      </c>
      <c r="T46" t="str">
        <f t="shared" si="4"/>
        <v>Enterokokker, Temperatur, NVOC, Natrium, Ammonium, Mangan, Chlorid, Sulfat, Nitrat, Nitrit, Fluorid, Aluminium, Antimon, Arsen, Bly, Bor, Cadmium, Kobolt, Chrom, Cyanid, Kobber, Kviksølv</v>
      </c>
    </row>
    <row r="47" spans="1:20" x14ac:dyDescent="0.2">
      <c r="F47" s="3" t="s">
        <v>81</v>
      </c>
      <c r="G47" s="4" t="str">
        <f>IF((IFERROR(SEARCH(K47,Rådata!$B$1000),-1)+IFERROR(SEARCH(L47,Rådata!$B$1000),-1)+IFERROR(SEARCH(M47,Rådata!$B$1000),-1)+IFERROR(SEARCH(N47,Rådata!$B$1000),-1)+IFERROR(SEARCH(O47,Rådata!$B$1000),-1))&gt;0,"-","NEJ")</f>
        <v>NEJ</v>
      </c>
      <c r="K47" s="29" t="str">
        <f t="shared" si="5"/>
        <v>Nikkel</v>
      </c>
      <c r="L47" s="29" t="s">
        <v>179</v>
      </c>
      <c r="M47" s="29" t="s">
        <v>179</v>
      </c>
      <c r="N47" s="29" t="s">
        <v>179</v>
      </c>
      <c r="O47" s="29" t="s">
        <v>179</v>
      </c>
      <c r="S47" s="2" t="str">
        <f t="shared" si="1"/>
        <v>Nikkel</v>
      </c>
      <c r="T47" t="str">
        <f t="shared" si="4"/>
        <v>Enterokokker, Temperatur, NVOC, Natrium, Ammonium, Mangan, Chlorid, Sulfat, Nitrat, Nitrit, Fluorid, Aluminium, Antimon, Arsen, Bly, Bor, Cadmium, Kobolt, Chrom, Cyanid, Kobber, Kviksølv, Nikkel</v>
      </c>
    </row>
    <row r="48" spans="1:20" x14ac:dyDescent="0.2">
      <c r="F48" s="3" t="s">
        <v>82</v>
      </c>
      <c r="G48" s="4" t="str">
        <f>IF((IFERROR(SEARCH(K48,Rådata!$B$1000),-1)+IFERROR(SEARCH(L48,Rådata!$B$1000),-1)+IFERROR(SEARCH(M48,Rådata!$B$1000),-1)+IFERROR(SEARCH(N48,Rådata!$B$1000),-1)+IFERROR(SEARCH(O48,Rådata!$B$1000),-1))&gt;0,"-","NEJ")</f>
        <v>NEJ</v>
      </c>
      <c r="K48" s="29" t="str">
        <f t="shared" si="5"/>
        <v>Selen</v>
      </c>
      <c r="L48" s="29" t="s">
        <v>179</v>
      </c>
      <c r="M48" s="29" t="s">
        <v>179</v>
      </c>
      <c r="N48" s="29" t="s">
        <v>179</v>
      </c>
      <c r="O48" s="29" t="s">
        <v>179</v>
      </c>
      <c r="S48" s="2" t="str">
        <f t="shared" si="1"/>
        <v>Selen</v>
      </c>
      <c r="T48" t="str">
        <f t="shared" si="4"/>
        <v>Enterokokker, Temperatur, NVOC, Natrium, Ammonium, Mangan, Chlorid, Sulfat, Nitrat, Nitrit, Fluorid, Aluminium, Antimon, Arsen, Bly, Bor, Cadmium, Kobolt, Chrom, Cyanid, Kobber, Kviksølv, Nikkel, Selen</v>
      </c>
    </row>
    <row r="49" spans="5:20" x14ac:dyDescent="0.2">
      <c r="F49" s="3" t="s">
        <v>83</v>
      </c>
      <c r="G49" s="4" t="str">
        <f>IF((IFERROR(SEARCH(K49,Rådata!$B$1000),-1)+IFERROR(SEARCH(L49,Rådata!$B$1000),-1)+IFERROR(SEARCH(M49,Rådata!$B$1000),-1)+IFERROR(SEARCH(N49,Rådata!$B$1000),-1)+IFERROR(SEARCH(O49,Rådata!$B$1000),-1))&gt;0,"-","NEJ")</f>
        <v>NEJ</v>
      </c>
      <c r="K49" s="29" t="str">
        <f t="shared" si="5"/>
        <v>Sølv</v>
      </c>
      <c r="L49" s="29" t="s">
        <v>179</v>
      </c>
      <c r="M49" s="29" t="s">
        <v>179</v>
      </c>
      <c r="N49" s="29" t="s">
        <v>179</v>
      </c>
      <c r="O49" s="29" t="s">
        <v>179</v>
      </c>
      <c r="S49" s="2" t="str">
        <f t="shared" si="1"/>
        <v>Sølv</v>
      </c>
      <c r="T49" t="str">
        <f t="shared" si="4"/>
        <v>Enterokokker, Temperatur, NVOC, Natrium, Ammonium, Mangan, Chlorid, Sulfat, Nitrat, Nitrit, Fluorid, Aluminium, Antimon, Arsen, Bly, Bor, Cadmium, Kobolt, Chrom, Cyanid, Kobber, Kviksølv, Nikkel, Selen, Sølv</v>
      </c>
    </row>
    <row r="50" spans="5:20" x14ac:dyDescent="0.2">
      <c r="F50" s="10" t="s">
        <v>84</v>
      </c>
      <c r="G50" s="4" t="str">
        <f>IF((IFERROR(SEARCH(K50,Rådata!$B$1000),-1)+IFERROR(SEARCH(L50,Rådata!$B$1000),-1)+IFERROR(SEARCH(M50,Rådata!$B$1000),-1)+IFERROR(SEARCH(N50,Rådata!$B$1000),-1)+IFERROR(SEARCH(O50,Rådata!$B$1000),-1))&gt;0,"-","NEJ")</f>
        <v>NEJ</v>
      </c>
      <c r="K50" s="29" t="str">
        <f t="shared" si="5"/>
        <v>Zink</v>
      </c>
      <c r="L50" s="29" t="s">
        <v>179</v>
      </c>
      <c r="M50" s="29" t="s">
        <v>179</v>
      </c>
      <c r="N50" s="29" t="s">
        <v>179</v>
      </c>
      <c r="O50" s="29" t="s">
        <v>179</v>
      </c>
      <c r="S50" s="2" t="str">
        <f t="shared" si="1"/>
        <v>Zink</v>
      </c>
      <c r="T50" t="str">
        <f t="shared" si="4"/>
        <v>Enterokokker, Temperatur, NVOC, Natrium, Ammonium, Mangan, Chlorid, Sulfat, Nitrat, Nitrit, Fluorid, Aluminium, Antimon, Arsen, Bly, Bor, Cadmium, Kobolt, Chrom, Cyanid, Kobber, Kviksølv, Nikkel, Selen, Sølv, Zink</v>
      </c>
    </row>
    <row r="51" spans="5:20" x14ac:dyDescent="0.2">
      <c r="E51" s="47" t="s">
        <v>86</v>
      </c>
      <c r="F51" s="47"/>
      <c r="G51" s="13"/>
      <c r="H51" s="13" t="str">
        <f>IF(IFERROR(SEARCH("NEJ",CONCATENATE(" ",G52,G53,G54)),1)=1,"OK","NEJ")</f>
        <v>NEJ</v>
      </c>
      <c r="K51" s="28"/>
      <c r="L51" s="29"/>
      <c r="M51" s="29"/>
      <c r="N51" s="29"/>
      <c r="O51" s="29"/>
      <c r="T51" t="str">
        <f t="shared" si="4"/>
        <v>Enterokokker, Temperatur, NVOC, Natrium, Ammonium, Mangan, Chlorid, Sulfat, Nitrat, Nitrit, Fluorid, Aluminium, Antimon, Arsen, Bly, Bor, Cadmium, Kobolt, Chrom, Cyanid, Kobber, Kviksølv, Nikkel, Selen, Sølv, Zink</v>
      </c>
    </row>
    <row r="52" spans="5:20" x14ac:dyDescent="0.2">
      <c r="F52" s="9" t="s">
        <v>8</v>
      </c>
      <c r="G52" s="4" t="str">
        <f>IF((IFERROR(SEARCH(K52,Rådata!$B$1000),-1)+IFERROR(SEARCH(L52,Rådata!$B$1000),-1)+IFERROR(SEARCH(M52,Rådata!$B$1000),-1)+IFERROR(SEARCH(N52,Rådata!$B$1000),-1)+IFERROR(SEARCH(O52,Rådata!$B$1000),-1))&gt;0,"-","NEJ")</f>
        <v>NEJ</v>
      </c>
      <c r="K52" s="29" t="str">
        <f>F52</f>
        <v>Acrylamid</v>
      </c>
      <c r="L52" s="29" t="s">
        <v>179</v>
      </c>
      <c r="M52" s="29" t="s">
        <v>179</v>
      </c>
      <c r="N52" s="29" t="s">
        <v>179</v>
      </c>
      <c r="O52" s="29" t="s">
        <v>179</v>
      </c>
      <c r="S52" s="2" t="str">
        <f t="shared" si="1"/>
        <v>Acrylamid</v>
      </c>
      <c r="T52" t="str">
        <f t="shared" si="4"/>
        <v>Enterokokker, Temperatur, NVOC, Natrium, Ammonium, Mangan, Chlorid, Sulfat, Nitrat, Nitrit, Fluorid, Aluminium, Antimon, Arsen, Bly, Bor, Cadmium, Kobolt, Chrom, Cyanid, Kobber, Kviksølv, Nikkel, Selen, Sølv, Zink, Acrylamid</v>
      </c>
    </row>
    <row r="53" spans="5:20" x14ac:dyDescent="0.2">
      <c r="F53" s="3" t="s">
        <v>9</v>
      </c>
      <c r="G53" s="4" t="str">
        <f>IF((IFERROR(SEARCH(K53,Rådata!$B$1000),-1)+IFERROR(SEARCH(L53,Rådata!$B$1000),-1)+IFERROR(SEARCH(M53,Rådata!$B$1000),-1)+IFERROR(SEARCH(N53,Rådata!$B$1000),-1)+IFERROR(SEARCH(O53,Rådata!$B$1000),-1))&gt;0,"-","NEJ")</f>
        <v>NEJ</v>
      </c>
      <c r="K53" s="29" t="str">
        <f>F53</f>
        <v>Epichlorhydrin</v>
      </c>
      <c r="L53" s="29" t="s">
        <v>179</v>
      </c>
      <c r="M53" s="29" t="s">
        <v>179</v>
      </c>
      <c r="N53" s="29" t="s">
        <v>179</v>
      </c>
      <c r="O53" s="29" t="s">
        <v>179</v>
      </c>
      <c r="S53" s="2" t="str">
        <f t="shared" si="1"/>
        <v>Epichlorhydrin</v>
      </c>
      <c r="T53" t="str">
        <f t="shared" si="4"/>
        <v>Enterokokker, Temperatur, NVOC, Natrium, Ammonium, Mangan, Chlorid, Sulfat, Nitrat, Nitrit, Fluorid, Aluminium, Antimon, Arsen, Bly, Bor, Cadmium, Kobolt, Chrom, Cyanid, Kobber, Kviksølv, Nikkel, Selen, Sølv, Zink, Acrylamid, Epichlorhydrin</v>
      </c>
    </row>
    <row r="54" spans="5:20" x14ac:dyDescent="0.2">
      <c r="F54" s="10" t="s">
        <v>41</v>
      </c>
      <c r="G54" s="4" t="str">
        <f>IF((IFERROR(SEARCH(K54,Rådata!$B$1000),-1)+IFERROR(SEARCH(L54,Rådata!$B$1000),-1)+IFERROR(SEARCH(M54,Rådata!$B$1000),-1)+IFERROR(SEARCH(N54,Rådata!$B$1000),-1)+IFERROR(SEARCH(O54,Rådata!$B$1000),-1))&gt;0,"-","NEJ")</f>
        <v>NEJ</v>
      </c>
      <c r="K54" s="29" t="str">
        <f>F54</f>
        <v>Vinylchlorid</v>
      </c>
      <c r="L54" s="29" t="s">
        <v>179</v>
      </c>
      <c r="M54" s="29" t="s">
        <v>179</v>
      </c>
      <c r="N54" s="29" t="s">
        <v>179</v>
      </c>
      <c r="O54" s="29" t="s">
        <v>179</v>
      </c>
      <c r="S54" s="2" t="str">
        <f t="shared" si="1"/>
        <v>Vinylchlorid</v>
      </c>
      <c r="T54" t="str">
        <f t="shared" si="4"/>
        <v>Enterokokker, Temperatur, NVOC, Natrium, Ammonium, Mangan, Chlorid, Sulfat, Nitrat, Nitrit, Fluorid, Aluminium, Antimon, Arsen, Bly, Bor, Cadmium, Kobolt, Chrom, Cyanid, Kobber, Kviksølv, Nikkel, Selen, Sølv, Zink, Acrylamid, Epichlorhydrin, Vinylchlorid</v>
      </c>
    </row>
    <row r="55" spans="5:20" x14ac:dyDescent="0.2">
      <c r="E55" s="47" t="s">
        <v>85</v>
      </c>
      <c r="F55" s="47"/>
      <c r="G55" s="13"/>
      <c r="H55" s="13" t="str">
        <f>IF(IFERROR(SEARCH("NEJ",CONCATENATE(" ",G56)),1)=1,"OK","NEJ")</f>
        <v>NEJ</v>
      </c>
      <c r="K55" s="28"/>
      <c r="L55" s="29"/>
      <c r="M55" s="29"/>
      <c r="N55" s="29"/>
      <c r="O55" s="29"/>
      <c r="T55" t="str">
        <f t="shared" si="4"/>
        <v>Enterokokker, Temperatur, NVOC, Natrium, Ammonium, Mangan, Chlorid, Sulfat, Nitrat, Nitrit, Fluorid, Aluminium, Antimon, Arsen, Bly, Bor, Cadmium, Kobolt, Chrom, Cyanid, Kobber, Kviksølv, Nikkel, Selen, Sølv, Zink, Acrylamid, Epichlorhydrin, Vinylchlorid</v>
      </c>
    </row>
    <row r="56" spans="5:20" x14ac:dyDescent="0.2">
      <c r="F56" s="7" t="s">
        <v>14</v>
      </c>
      <c r="G56" s="4" t="str">
        <f>IF((IFERROR(SEARCH(K56,Rådata!$B$1000),-1)+IFERROR(SEARCH(L56,Rådata!$B$1000),-1)+IFERROR(SEARCH(M56,Rådata!$B$1000),-1)+IFERROR(SEARCH(N56,Rådata!$B$1000),-1)+IFERROR(SEARCH(O56,Rådata!$B$1000),-1))&gt;0,"-","NEJ")</f>
        <v>NEJ</v>
      </c>
      <c r="K56" s="29" t="str">
        <f>F56</f>
        <v>Pentachlorphenol</v>
      </c>
      <c r="L56" s="29" t="s">
        <v>179</v>
      </c>
      <c r="M56" s="29" t="s">
        <v>179</v>
      </c>
      <c r="N56" s="29" t="s">
        <v>179</v>
      </c>
      <c r="O56" s="29" t="s">
        <v>179</v>
      </c>
      <c r="S56" s="2" t="str">
        <f t="shared" si="1"/>
        <v>Pentachlorphenol</v>
      </c>
      <c r="T56"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20" x14ac:dyDescent="0.2">
      <c r="E57" s="47" t="s">
        <v>87</v>
      </c>
      <c r="F57" s="47"/>
      <c r="G57" s="13"/>
      <c r="H57" s="13" t="str">
        <f>IF(IFERROR(SEARCH("NEJ",CONCATENATE(" ",G58,G59,G60,G61,G62,G63,G64,G65,G66,G67,G68,G69)),1)=1,"OK","NEJ")</f>
        <v>NEJ</v>
      </c>
      <c r="K57" s="28"/>
      <c r="L57" s="29"/>
      <c r="M57" s="29"/>
      <c r="N57" s="29"/>
      <c r="O57" s="29"/>
      <c r="T57"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20" x14ac:dyDescent="0.2">
      <c r="F58" s="9" t="s">
        <v>42</v>
      </c>
      <c r="G58" s="4" t="str">
        <f>IF((IFERROR(SEARCH(K58,Rådata!$B$1000),-1)+IFERROR(SEARCH(L58,Rådata!$B$1000),-1)+IFERROR(SEARCH(M58,Rådata!$B$1000),-1)+IFERROR(SEARCH(N58,Rådata!$B$1000),-1)+IFERROR(SEARCH(O58,Rådata!$B$1000),-1))&gt;0,"-","NEJ")</f>
        <v>NEJ</v>
      </c>
      <c r="K58" s="29" t="str">
        <f t="shared" ref="K58:K69" si="6">F58</f>
        <v>Dichlormethan</v>
      </c>
      <c r="L58" s="29" t="s">
        <v>201</v>
      </c>
      <c r="M58" s="29" t="s">
        <v>179</v>
      </c>
      <c r="N58" s="29" t="s">
        <v>179</v>
      </c>
      <c r="O58" s="29" t="s">
        <v>179</v>
      </c>
      <c r="S58" s="2" t="str">
        <f t="shared" si="1"/>
        <v>Dichlormethan</v>
      </c>
      <c r="T5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20" x14ac:dyDescent="0.2">
      <c r="F59" s="3" t="s">
        <v>92</v>
      </c>
      <c r="G59" s="4" t="str">
        <f>IF((IFERROR(SEARCH(K59,Rådata!$B$1000),-1)+IFERROR(SEARCH(L59,Rådata!$B$1000),-1)+IFERROR(SEARCH(M59,Rådata!$B$1000),-1)+IFERROR(SEARCH(N59,Rådata!$B$1000),-1)+IFERROR(SEARCH(O59,Rådata!$B$1000),-1))&gt;0,"-","NEJ")</f>
        <v>NEJ</v>
      </c>
      <c r="K59" s="29" t="str">
        <f t="shared" si="6"/>
        <v>Trichlormethan</v>
      </c>
      <c r="L59" s="29" t="s">
        <v>276</v>
      </c>
      <c r="M59" s="29" t="s">
        <v>179</v>
      </c>
      <c r="N59" s="29" t="s">
        <v>179</v>
      </c>
      <c r="O59" s="29" t="s">
        <v>179</v>
      </c>
      <c r="S59" s="2" t="str">
        <f t="shared" si="1"/>
        <v>Trichlormethan</v>
      </c>
      <c r="T5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20" x14ac:dyDescent="0.2">
      <c r="F60" s="3" t="s">
        <v>44</v>
      </c>
      <c r="G60" s="4" t="str">
        <f>IF((IFERROR(SEARCH(K60,Rådata!$B$1000),-1)+IFERROR(SEARCH(L60,Rådata!$B$1000),-1)+IFERROR(SEARCH(M60,Rådata!$B$1000),-1)+IFERROR(SEARCH(N60,Rådata!$B$1000),-1)+IFERROR(SEARCH(O60,Rådata!$B$1000),-1))&gt;0,"-","NEJ")</f>
        <v>NEJ</v>
      </c>
      <c r="K60" s="29" t="str">
        <f t="shared" si="6"/>
        <v>1,2-dichlorethan</v>
      </c>
      <c r="L60" s="29" t="s">
        <v>179</v>
      </c>
      <c r="M60" s="29" t="s">
        <v>179</v>
      </c>
      <c r="N60" s="29" t="s">
        <v>179</v>
      </c>
      <c r="O60" s="29" t="s">
        <v>179</v>
      </c>
      <c r="S60" s="2" t="str">
        <f t="shared" si="1"/>
        <v>1,2-dichlorethan</v>
      </c>
      <c r="T6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20" x14ac:dyDescent="0.2">
      <c r="F61" s="3" t="s">
        <v>47</v>
      </c>
      <c r="G61" s="4" t="str">
        <f>IF((IFERROR(SEARCH(K61,Rådata!$B$1000),-1)+IFERROR(SEARCH(L61,Rådata!$B$1000),-1)+IFERROR(SEARCH(M61,Rådata!$B$1000),-1)+IFERROR(SEARCH(N61,Rådata!$B$1000),-1)+IFERROR(SEARCH(O61,Rådata!$B$1000),-1))&gt;0,"-","NEJ")</f>
        <v>NEJ</v>
      </c>
      <c r="K61" s="29" t="str">
        <f t="shared" si="6"/>
        <v>Trichlorethen</v>
      </c>
      <c r="L61" s="29" t="s">
        <v>202</v>
      </c>
      <c r="M61" s="29" t="s">
        <v>179</v>
      </c>
      <c r="N61" s="29" t="s">
        <v>179</v>
      </c>
      <c r="O61" s="29" t="s">
        <v>179</v>
      </c>
      <c r="S61" s="2" t="str">
        <f t="shared" si="1"/>
        <v>Trichlorethen</v>
      </c>
      <c r="T6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20" x14ac:dyDescent="0.2">
      <c r="F62" s="3" t="s">
        <v>50</v>
      </c>
      <c r="G62" s="4" t="str">
        <f>IF((IFERROR(SEARCH(K62,Rådata!$B$1000),-1)+IFERROR(SEARCH(L62,Rådata!$B$1000),-1)+IFERROR(SEARCH(M62,Rådata!$B$1000),-1)+IFERROR(SEARCH(N62,Rådata!$B$1000),-1)+IFERROR(SEARCH(O62,Rådata!$B$1000),-1))&gt;0,"-","NEJ")</f>
        <v>NEJ</v>
      </c>
      <c r="K62" s="29" t="str">
        <f t="shared" si="6"/>
        <v>Tetrachlorethen</v>
      </c>
      <c r="L62" s="29" t="s">
        <v>203</v>
      </c>
      <c r="M62" s="29" t="s">
        <v>179</v>
      </c>
      <c r="N62" s="29" t="s">
        <v>179</v>
      </c>
      <c r="O62" s="29" t="s">
        <v>179</v>
      </c>
      <c r="S62" s="2" t="str">
        <f t="shared" si="1"/>
        <v>Tetrachlorethen</v>
      </c>
      <c r="T6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20" x14ac:dyDescent="0.2">
      <c r="F63" s="3" t="s">
        <v>43</v>
      </c>
      <c r="G63" s="4" t="str">
        <f>IF((IFERROR(SEARCH(K63,Rådata!$B$1000),-1)+IFERROR(SEARCH(L63,Rådata!$B$1000),-1)+IFERROR(SEARCH(M63,Rådata!$B$1000),-1)+IFERROR(SEARCH(N63,Rådata!$B$1000),-1)+IFERROR(SEARCH(O63,Rådata!$B$1000),-1))&gt;0,"-","NEJ")</f>
        <v>NEJ</v>
      </c>
      <c r="K63" s="29" t="str">
        <f t="shared" si="6"/>
        <v>1,1-dichlorethen</v>
      </c>
      <c r="L63" s="29" t="s">
        <v>204</v>
      </c>
      <c r="M63" s="29" t="s">
        <v>179</v>
      </c>
      <c r="N63" s="29" t="s">
        <v>179</v>
      </c>
      <c r="O63" s="29" t="s">
        <v>179</v>
      </c>
      <c r="S63" s="2" t="str">
        <f t="shared" si="1"/>
        <v>1,1-dichlorethen</v>
      </c>
      <c r="T6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20" x14ac:dyDescent="0.2">
      <c r="F64" s="3" t="s">
        <v>231</v>
      </c>
      <c r="G64" s="4" t="str">
        <f>IF((IFERROR(SEARCH(K64,Rådata!$B$1000),-1)+IFERROR(SEARCH(L64,Rådata!$B$1000),-1)+IFERROR(SEARCH(M64,Rådata!$B$1000),-1)+IFERROR(SEARCH(N64,Rådata!$B$1000),-1)+IFERROR(SEARCH(O64,Rådata!$B$1000),-1))&gt;0,"-","NEJ")</f>
        <v>NEJ</v>
      </c>
      <c r="K64" s="29" t="str">
        <f t="shared" si="6"/>
        <v>Cis-1,2-dichlorethen</v>
      </c>
      <c r="L64" s="29" t="s">
        <v>205</v>
      </c>
      <c r="M64" s="29" t="s">
        <v>256</v>
      </c>
      <c r="N64" s="29" t="s">
        <v>179</v>
      </c>
      <c r="O64" s="29" t="s">
        <v>179</v>
      </c>
      <c r="S64" s="2" t="str">
        <f t="shared" si="1"/>
        <v>Cis-1,2-dichlorethen</v>
      </c>
      <c r="T6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20" x14ac:dyDescent="0.2">
      <c r="F65" s="3" t="s">
        <v>93</v>
      </c>
      <c r="G65" s="4" t="str">
        <f>IF((IFERROR(SEARCH(K65,Rådata!$B$1000),-1)+IFERROR(SEARCH(L65,Rådata!$B$1000),-1)+IFERROR(SEARCH(M65,Rådata!$B$1000),-1)+IFERROR(SEARCH(N65,Rådata!$B$1000),-1)+IFERROR(SEARCH(O65,Rådata!$B$1000),-1))&gt;0,"-","NEJ")</f>
        <v>NEJ</v>
      </c>
      <c r="K65" s="29" t="str">
        <f t="shared" si="6"/>
        <v>Trans-1,2-dichlorethen</v>
      </c>
      <c r="L65" s="29" t="s">
        <v>206</v>
      </c>
      <c r="M65" s="29" t="s">
        <v>251</v>
      </c>
      <c r="N65" s="29" t="s">
        <v>179</v>
      </c>
      <c r="O65" s="29" t="s">
        <v>179</v>
      </c>
      <c r="S65" s="2" t="str">
        <f t="shared" si="1"/>
        <v>Trans-1,2-dichlorethen</v>
      </c>
      <c r="T6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20" x14ac:dyDescent="0.2">
      <c r="F66" s="3" t="s">
        <v>45</v>
      </c>
      <c r="G66" s="4" t="str">
        <f>IF((IFERROR(SEARCH(K66,Rådata!$B$1000),-1)+IFERROR(SEARCH(L66,Rådata!$B$1000),-1)+IFERROR(SEARCH(M66,Rådata!$B$1000),-1)+IFERROR(SEARCH(N66,Rådata!$B$1000),-1)+IFERROR(SEARCH(O66,Rådata!$B$1000),-1))&gt;0,"-","NEJ")</f>
        <v>NEJ</v>
      </c>
      <c r="K66" s="29" t="str">
        <f t="shared" si="6"/>
        <v>1,1,1-trichlorethan</v>
      </c>
      <c r="L66" s="29" t="s">
        <v>179</v>
      </c>
      <c r="M66" s="29" t="s">
        <v>179</v>
      </c>
      <c r="N66" s="29" t="s">
        <v>179</v>
      </c>
      <c r="O66" s="29" t="s">
        <v>179</v>
      </c>
      <c r="S66" s="2" t="str">
        <f t="shared" si="1"/>
        <v>1,1,1-trichlorethan</v>
      </c>
      <c r="T6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20" x14ac:dyDescent="0.2">
      <c r="F67" s="3" t="s">
        <v>46</v>
      </c>
      <c r="G67" s="4" t="str">
        <f>IF((IFERROR(SEARCH(K67,Rådata!$B$1000),-1)+IFERROR(SEARCH(L67,Rådata!$B$1000),-1)+IFERROR(SEARCH(M67,Rådata!$B$1000),-1)+IFERROR(SEARCH(N67,Rådata!$B$1000),-1)+IFERROR(SEARCH(O67,Rådata!$B$1000),-1))&gt;0,"-","NEJ")</f>
        <v>NEJ</v>
      </c>
      <c r="K67" s="29" t="str">
        <f t="shared" si="6"/>
        <v>1,1,2-trichlorethan</v>
      </c>
      <c r="L67" s="29" t="s">
        <v>179</v>
      </c>
      <c r="M67" s="29" t="s">
        <v>179</v>
      </c>
      <c r="N67" s="29" t="s">
        <v>179</v>
      </c>
      <c r="O67" s="29" t="s">
        <v>179</v>
      </c>
      <c r="S67" s="2" t="str">
        <f t="shared" si="1"/>
        <v>1,1,2-trichlorethan</v>
      </c>
      <c r="T6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20" x14ac:dyDescent="0.2">
      <c r="F68" s="3" t="s">
        <v>49</v>
      </c>
      <c r="G68" s="4" t="str">
        <f>IF((IFERROR(SEARCH(K68,Rådata!$B$1000),-1)+IFERROR(SEARCH(L68,Rådata!$B$1000),-1)+IFERROR(SEARCH(M68,Rådata!$B$1000),-1)+IFERROR(SEARCH(N68,Rådata!$B$1000),-1)+IFERROR(SEARCH(O68,Rådata!$B$1000),-1))&gt;0,"-","NEJ")</f>
        <v>NEJ</v>
      </c>
      <c r="K68" s="29" t="str">
        <f t="shared" si="6"/>
        <v>1,1,2,2-tetrachlorethan</v>
      </c>
      <c r="L68" s="29" t="s">
        <v>179</v>
      </c>
      <c r="M68" s="29" t="s">
        <v>179</v>
      </c>
      <c r="N68" s="29" t="s">
        <v>179</v>
      </c>
      <c r="O68" s="29" t="s">
        <v>179</v>
      </c>
      <c r="S68" s="2" t="str">
        <f t="shared" si="1"/>
        <v>1,1,2,2-tetrachlorethan</v>
      </c>
      <c r="T6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20" x14ac:dyDescent="0.2">
      <c r="F69" s="10" t="s">
        <v>48</v>
      </c>
      <c r="G69" s="4" t="str">
        <f>IF((IFERROR(SEARCH(K69,Rådata!$B$1000),-1)+IFERROR(SEARCH(L69,Rådata!$B$1000),-1)+IFERROR(SEARCH(M69,Rådata!$B$1000),-1)+IFERROR(SEARCH(N69,Rådata!$B$1000),-1)+IFERROR(SEARCH(O69,Rådata!$B$1000),-1))&gt;0,"-","NEJ")</f>
        <v>NEJ</v>
      </c>
      <c r="K69" s="29" t="str">
        <f t="shared" si="6"/>
        <v>1,1,1,2-tetrachlorethan</v>
      </c>
      <c r="L69" s="29" t="s">
        <v>179</v>
      </c>
      <c r="M69" s="29" t="s">
        <v>179</v>
      </c>
      <c r="N69" s="29" t="s">
        <v>179</v>
      </c>
      <c r="O69" s="29" t="s">
        <v>179</v>
      </c>
      <c r="S69" s="2" t="str">
        <f t="shared" si="1"/>
        <v>1,1,1,2-tetrachlorethan</v>
      </c>
      <c r="T6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20" x14ac:dyDescent="0.2">
      <c r="E70" s="47" t="s">
        <v>88</v>
      </c>
      <c r="F70" s="47"/>
      <c r="G70" s="13"/>
      <c r="H70" s="13" t="str">
        <f>IF(IFERROR(SEARCH("NEJ",CONCATENATE(" ",G71)),1)=1,"OK","NEJ")</f>
        <v>NEJ</v>
      </c>
      <c r="K70" s="28"/>
      <c r="L70" s="29"/>
      <c r="M70" s="29"/>
      <c r="N70" s="29"/>
      <c r="O70" s="29"/>
      <c r="T7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20" x14ac:dyDescent="0.2">
      <c r="F71" s="7" t="s">
        <v>10</v>
      </c>
      <c r="G71" s="4" t="str">
        <f>IF((IFERROR(SEARCH(K71,Rådata!$B$1000),-1)+IFERROR(SEARCH(L71,Rådata!$B$1000),-1)+IFERROR(SEARCH(M71,Rådata!$B$1000),-1)+IFERROR(SEARCH(N71,Rådata!$B$1000),-1)+IFERROR(SEARCH(O71,Rådata!$B$1000),-1))&gt;0,"-","NEJ")</f>
        <v>NEJ</v>
      </c>
      <c r="K71" s="29" t="str">
        <f>F71</f>
        <v>Benzen</v>
      </c>
      <c r="L71" s="29" t="s">
        <v>179</v>
      </c>
      <c r="M71" s="29" t="s">
        <v>179</v>
      </c>
      <c r="N71" s="29" t="s">
        <v>179</v>
      </c>
      <c r="O71" s="29" t="s">
        <v>179</v>
      </c>
      <c r="S71" s="2" t="str">
        <f t="shared" ref="S71:S134" si="7">IF(G71="NEJ",F71,"")</f>
        <v>Benzen</v>
      </c>
      <c r="T7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20" x14ac:dyDescent="0.2">
      <c r="E72" s="47" t="s">
        <v>89</v>
      </c>
      <c r="F72" s="47"/>
      <c r="G72" s="13"/>
      <c r="H72" s="13" t="str">
        <f>IF(IFERROR(SEARCH("NEJ",CONCATENATE(" ",G73,G74,G75,G76,G77,G78)),1)=1,"OK","NEJ")</f>
        <v>NEJ</v>
      </c>
      <c r="K72" s="28"/>
      <c r="L72" s="29"/>
      <c r="M72" s="29"/>
      <c r="N72" s="29"/>
      <c r="O72" s="29"/>
      <c r="T7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20" x14ac:dyDescent="0.2">
      <c r="F73" s="9" t="s">
        <v>12</v>
      </c>
      <c r="G73" s="4" t="str">
        <f>IF((IFERROR(SEARCH(K73,Rådata!$B$1000),-1)+IFERROR(SEARCH(L73,Rådata!$B$1000),-1)+IFERROR(SEARCH(M73,Rådata!$B$1000),-1)+IFERROR(SEARCH(N73,Rådata!$B$1000),-1)+IFERROR(SEARCH(O73,Rådata!$B$1000),-1))&gt;0,"-","NEJ")</f>
        <v>NEJ</v>
      </c>
      <c r="K73" s="29" t="str">
        <f>F73</f>
        <v>Benzo(a)pyren</v>
      </c>
      <c r="L73" s="29" t="s">
        <v>249</v>
      </c>
      <c r="M73" s="29" t="s">
        <v>179</v>
      </c>
      <c r="N73" s="29" t="s">
        <v>179</v>
      </c>
      <c r="O73" s="29" t="s">
        <v>179</v>
      </c>
      <c r="S73" s="2" t="str">
        <f t="shared" si="7"/>
        <v>Benzo(a)pyren</v>
      </c>
      <c r="T7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20" x14ac:dyDescent="0.2">
      <c r="F74" s="3" t="s">
        <v>11</v>
      </c>
      <c r="G74" s="4" t="str">
        <f>IF((IFERROR(SEARCH(K74,Rådata!$B$1000),-1)+IFERROR(SEARCH(L74,Rådata!$B$1000),-1)+IFERROR(SEARCH(M74,Rådata!$B$1000),-1)+IFERROR(SEARCH(N74,Rådata!$B$1000),-1)+IFERROR(SEARCH(O74,Rådata!$B$1000),-1))&gt;0,"-","NEJ")</f>
        <v>NEJ</v>
      </c>
      <c r="K74" s="29" t="str">
        <f>F74</f>
        <v>Fluoranthen</v>
      </c>
      <c r="L74" s="29" t="s">
        <v>179</v>
      </c>
      <c r="M74" s="29" t="s">
        <v>179</v>
      </c>
      <c r="N74" s="29" t="s">
        <v>179</v>
      </c>
      <c r="O74" s="29" t="s">
        <v>179</v>
      </c>
      <c r="S74" s="2" t="str">
        <f t="shared" si="7"/>
        <v>Fluoranthen</v>
      </c>
      <c r="T7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20" x14ac:dyDescent="0.2">
      <c r="F75" s="3" t="s">
        <v>232</v>
      </c>
      <c r="G75" s="4" t="str">
        <f>IF((IFERROR(SEARCH(K75,Rådata!$B$1000),-1)+IFERROR(SEARCH(L75,Rådata!$B$1000),-1)+IFERROR(SEARCH(M75,Rådata!$B$1000),-1)+IFERROR(SEARCH(N75,Rådata!$B$1000),-1)+IFERROR(SEARCH(O75,Rådata!$B$1000),-1))&gt;0,"-","NEJ")</f>
        <v>NEJ</v>
      </c>
      <c r="K75" s="29" t="str">
        <f>F75</f>
        <v>Benzo(b)fluoranthen</v>
      </c>
      <c r="L75" s="29" t="s">
        <v>207</v>
      </c>
      <c r="M75" s="29" t="s">
        <v>250</v>
      </c>
      <c r="N75" s="29" t="s">
        <v>179</v>
      </c>
      <c r="O75" s="29" t="s">
        <v>179</v>
      </c>
      <c r="S75" s="2" t="str">
        <f t="shared" si="7"/>
        <v>Benzo(b)fluoranthen</v>
      </c>
      <c r="T7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20" x14ac:dyDescent="0.2">
      <c r="F76" s="3" t="s">
        <v>233</v>
      </c>
      <c r="G76" s="4" t="str">
        <f>IF((IFERROR(SEARCH(K76,Rådata!$B$1000),-1)+IFERROR(SEARCH(L76,Rådata!$B$1000),-1)+IFERROR(SEARCH(M76,Rådata!$B$1000),-1)+IFERROR(SEARCH(N76,Rådata!$B$1000),-1)+IFERROR(SEARCH(O76,Rådata!$B$1000),-1))&gt;0,"-","NEJ")</f>
        <v>NEJ</v>
      </c>
      <c r="K76" s="29" t="str">
        <f>F76</f>
        <v>Benzo(k)fluoranthen</v>
      </c>
      <c r="L76" s="29" t="s">
        <v>207</v>
      </c>
      <c r="M76" s="29" t="s">
        <v>257</v>
      </c>
      <c r="N76" s="29" t="s">
        <v>179</v>
      </c>
      <c r="O76" s="29" t="s">
        <v>179</v>
      </c>
      <c r="S76" s="2" t="str">
        <f t="shared" si="7"/>
        <v>Benzo(k)fluoranthen</v>
      </c>
      <c r="T7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20" x14ac:dyDescent="0.2">
      <c r="F77" s="3" t="s">
        <v>234</v>
      </c>
      <c r="G77" s="4" t="str">
        <f>IF((IFERROR(SEARCH(K77,Rådata!$B$1000),-1)+IFERROR(SEARCH(L77,Rådata!$B$1000),-1)+IFERROR(SEARCH(M77,Rådata!$B$1000),-1)+IFERROR(SEARCH(N77,Rådata!$B$1000),-1)+IFERROR(SEARCH(O77,Rådata!$B$1000),-1))&gt;0,"-","NEJ")</f>
        <v>NEJ</v>
      </c>
      <c r="K77" s="29" t="s">
        <v>130</v>
      </c>
      <c r="L77" s="29" t="s">
        <v>179</v>
      </c>
      <c r="M77" s="29" t="s">
        <v>258</v>
      </c>
      <c r="N77" s="29" t="s">
        <v>179</v>
      </c>
      <c r="O77" s="29" t="s">
        <v>179</v>
      </c>
      <c r="S77" s="2" t="str">
        <f t="shared" si="7"/>
        <v>Benzo(ghi)perylen</v>
      </c>
      <c r="T7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20" x14ac:dyDescent="0.2">
      <c r="F78" s="10" t="s">
        <v>235</v>
      </c>
      <c r="G78" s="4" t="str">
        <f>IF((IFERROR(SEARCH(K78,Rådata!$B$1000),-1)+IFERROR(SEARCH(L78,Rådata!$B$1000),-1)+IFERROR(SEARCH(M78,Rådata!$B$1000),-1)+IFERROR(SEARCH(N78,Rådata!$B$1000),-1)+IFERROR(SEARCH(O78,Rådata!$B$1000),-1))&gt;0,"-","NEJ")</f>
        <v>NEJ</v>
      </c>
      <c r="K78" s="29" t="str">
        <f>F78</f>
        <v>Indeno(1,2,3-cd)pyren</v>
      </c>
      <c r="L78" s="29" t="s">
        <v>179</v>
      </c>
      <c r="M78" s="29" t="s">
        <v>179</v>
      </c>
      <c r="N78" s="29" t="s">
        <v>179</v>
      </c>
      <c r="O78" s="29" t="s">
        <v>179</v>
      </c>
      <c r="S78" s="2" t="str">
        <f t="shared" si="7"/>
        <v>Indeno(1,2,3-cd)pyren</v>
      </c>
      <c r="T7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20" x14ac:dyDescent="0.2">
      <c r="E79" s="47" t="s">
        <v>90</v>
      </c>
      <c r="F79" s="47"/>
      <c r="G79" s="13"/>
      <c r="H79" s="13" t="str">
        <f>IF(IFERROR(SEARCH("NEJ",CONCATENATE(" ",G80,G81,G82,G83,G84,G85,G86,G87,G88,G89,G90,G91,G92)),1)=1,"OK","NEJ")</f>
        <v>NEJ</v>
      </c>
      <c r="K79" s="28"/>
      <c r="L79" s="29"/>
      <c r="M79" s="29"/>
      <c r="N79" s="29"/>
      <c r="O79" s="29"/>
      <c r="T7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20" x14ac:dyDescent="0.2">
      <c r="F80" s="9" t="s">
        <v>94</v>
      </c>
      <c r="G80" s="4" t="str">
        <f>IF((IFERROR(SEARCH(K80,Rådata!$B$1000),-1)+IFERROR(SEARCH(L80,Rådata!$B$1000),-1)+IFERROR(SEARCH(M80,Rådata!$B$1000),-1)+IFERROR(SEARCH(N80,Rådata!$B$1000),-1)+IFERROR(SEARCH(O80,Rådata!$B$1000),-1))&gt;0,"-","NEJ")</f>
        <v>NEJ</v>
      </c>
      <c r="K80" s="29" t="s">
        <v>131</v>
      </c>
      <c r="L80" s="29" t="s">
        <v>179</v>
      </c>
      <c r="M80" s="29" t="s">
        <v>179</v>
      </c>
      <c r="N80" s="29" t="s">
        <v>179</v>
      </c>
      <c r="O80" s="29" t="s">
        <v>179</v>
      </c>
      <c r="S80" s="2" t="str">
        <f t="shared" si="7"/>
        <v>PFBS (perfluorbutansulfonsyre)</v>
      </c>
      <c r="T80"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20" x14ac:dyDescent="0.2">
      <c r="F81" s="3" t="s">
        <v>95</v>
      </c>
      <c r="G81" s="4" t="str">
        <f>IF((IFERROR(SEARCH(K81,Rådata!$B$1000),-1)+IFERROR(SEARCH(L81,Rådata!$B$1000),-1)+IFERROR(SEARCH(M81,Rådata!$B$1000),-1)+IFERROR(SEARCH(N81,Rådata!$B$1000),-1)+IFERROR(SEARCH(O81,Rådata!$B$1000),-1))&gt;0,"-","NEJ")</f>
        <v>NEJ</v>
      </c>
      <c r="K81" s="29" t="s">
        <v>132</v>
      </c>
      <c r="L81" s="29" t="s">
        <v>179</v>
      </c>
      <c r="M81" s="29" t="s">
        <v>179</v>
      </c>
      <c r="N81" s="29" t="s">
        <v>179</v>
      </c>
      <c r="O81" s="29" t="s">
        <v>179</v>
      </c>
      <c r="S81" s="2" t="str">
        <f t="shared" si="7"/>
        <v>PFHxS (perfluorhexansulfonsyre)</v>
      </c>
      <c r="T81"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20" x14ac:dyDescent="0.2">
      <c r="F82" s="3" t="s">
        <v>96</v>
      </c>
      <c r="G82" s="4" t="str">
        <f>IF((IFERROR(SEARCH(K82,Rådata!$B$1000),-1)+IFERROR(SEARCH(L82,Rådata!$B$1000),-1)+IFERROR(SEARCH(M82,Rådata!$B$1000),-1)+IFERROR(SEARCH(N82,Rådata!$B$1000),-1)+IFERROR(SEARCH(O82,Rådata!$B$1000),-1))&gt;0,"-","NEJ")</f>
        <v>NEJ</v>
      </c>
      <c r="K82" s="29" t="s">
        <v>140</v>
      </c>
      <c r="L82" s="29" t="s">
        <v>179</v>
      </c>
      <c r="M82" s="29" t="s">
        <v>179</v>
      </c>
      <c r="N82" s="29" t="s">
        <v>179</v>
      </c>
      <c r="O82" s="29" t="s">
        <v>179</v>
      </c>
      <c r="S82" s="2" t="str">
        <f t="shared" si="7"/>
        <v>PFOS (perfluoroctansulfonsyre)</v>
      </c>
      <c r="T82"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20" x14ac:dyDescent="0.2">
      <c r="F83" s="3" t="s">
        <v>97</v>
      </c>
      <c r="G83" s="4" t="str">
        <f>IF((IFERROR(SEARCH(K83,Rådata!$B$1000),-1)+IFERROR(SEARCH(L83,Rådata!$B$1000),-1)+IFERROR(SEARCH(M83,Rådata!$B$1000),-1)+IFERROR(SEARCH(N83,Rådata!$B$1000),-1)+IFERROR(SEARCH(O83,Rådata!$B$1000),-1))&gt;0,"-","NEJ")</f>
        <v>NEJ</v>
      </c>
      <c r="K83" s="29" t="s">
        <v>141</v>
      </c>
      <c r="L83" s="29" t="s">
        <v>179</v>
      </c>
      <c r="M83" s="29" t="s">
        <v>179</v>
      </c>
      <c r="N83" s="29" t="s">
        <v>179</v>
      </c>
      <c r="O83" s="29" t="s">
        <v>179</v>
      </c>
      <c r="S83" s="2" t="str">
        <f t="shared" si="7"/>
        <v>PFOSA (perfluoroctansulfonamid)</v>
      </c>
      <c r="T83"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20" x14ac:dyDescent="0.2">
      <c r="F84" s="3" t="s">
        <v>98</v>
      </c>
      <c r="G84" s="4" t="str">
        <f>IF((IFERROR(SEARCH(K84,Rådata!$B$1000),-1)+IFERROR(SEARCH(L84,Rådata!$B$1000),-1)+IFERROR(SEARCH(M84,Rådata!$B$1000),-1)+IFERROR(SEARCH(N84,Rådata!$B$1000),-1)+IFERROR(SEARCH(O84,Rådata!$B$1000),-1))&gt;0,"-","NEJ")</f>
        <v>NEJ</v>
      </c>
      <c r="K84" s="29" t="s">
        <v>142</v>
      </c>
      <c r="L84" s="29" t="s">
        <v>208</v>
      </c>
      <c r="M84" s="29" t="s">
        <v>261</v>
      </c>
      <c r="N84" s="29" t="s">
        <v>179</v>
      </c>
      <c r="O84" s="29" t="s">
        <v>179</v>
      </c>
      <c r="S84" s="2" t="str">
        <f t="shared" si="7"/>
        <v>6:2 FTS (6:2 fluorotelomersulfonsyre)</v>
      </c>
      <c r="T84"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20" x14ac:dyDescent="0.2">
      <c r="F85" s="3" t="s">
        <v>99</v>
      </c>
      <c r="G85" s="4" t="str">
        <f>IF((IFERROR(SEARCH(K85,Rådata!$B$1000),-1)+IFERROR(SEARCH(L85,Rådata!$B$1000),-1)+IFERROR(SEARCH(M85,Rådata!$B$1000),-1)+IFERROR(SEARCH(N85,Rådata!$B$1000),-1)+IFERROR(SEARCH(O85,Rådata!$B$1000),-1))&gt;0,"-","NEJ")</f>
        <v>NEJ</v>
      </c>
      <c r="K85" s="29" t="s">
        <v>133</v>
      </c>
      <c r="L85" s="29" t="s">
        <v>210</v>
      </c>
      <c r="M85" s="29" t="s">
        <v>179</v>
      </c>
      <c r="N85" s="29" t="s">
        <v>179</v>
      </c>
      <c r="O85" s="29" t="s">
        <v>179</v>
      </c>
      <c r="S85" s="2" t="str">
        <f t="shared" si="7"/>
        <v>PFBA (perfluorbutansyre)</v>
      </c>
      <c r="T85"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20" x14ac:dyDescent="0.2">
      <c r="F86" s="3" t="s">
        <v>100</v>
      </c>
      <c r="G86" s="4" t="str">
        <f>IF((IFERROR(SEARCH(K86,Rådata!$B$1000),-1)+IFERROR(SEARCH(L86,Rådata!$B$1000),-1)+IFERROR(SEARCH(M86,Rådata!$B$1000),-1)+IFERROR(SEARCH(N86,Rådata!$B$1000),-1)+IFERROR(SEARCH(O86,Rådata!$B$1000),-1))&gt;0,"-","NEJ")</f>
        <v>NEJ</v>
      </c>
      <c r="K86" s="29" t="s">
        <v>134</v>
      </c>
      <c r="L86" s="29" t="s">
        <v>179</v>
      </c>
      <c r="M86" s="29" t="s">
        <v>179</v>
      </c>
      <c r="N86" s="29" t="s">
        <v>179</v>
      </c>
      <c r="O86" s="29" t="s">
        <v>179</v>
      </c>
      <c r="S86" s="2" t="str">
        <f t="shared" si="7"/>
        <v>PFPeA (perfluorpentansyre)</v>
      </c>
      <c r="T86"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20" x14ac:dyDescent="0.2">
      <c r="F87" s="3" t="s">
        <v>101</v>
      </c>
      <c r="G87" s="4" t="str">
        <f>IF((IFERROR(SEARCH(K87,Rådata!$B$1000),-1)+IFERROR(SEARCH(L87,Rådata!$B$1000),-1)+IFERROR(SEARCH(M87,Rådata!$B$1000),-1)+IFERROR(SEARCH(N87,Rådata!$B$1000),-1)+IFERROR(SEARCH(O87,Rådata!$B$1000),-1))&gt;0,"-","NEJ")</f>
        <v>NEJ</v>
      </c>
      <c r="K87" s="29" t="s">
        <v>135</v>
      </c>
      <c r="L87" s="29" t="s">
        <v>211</v>
      </c>
      <c r="M87" s="29" t="s">
        <v>179</v>
      </c>
      <c r="N87" s="29" t="s">
        <v>179</v>
      </c>
      <c r="O87" s="29" t="s">
        <v>179</v>
      </c>
      <c r="S87" s="2" t="str">
        <f t="shared" si="7"/>
        <v>PFHxA (perfluorhexansyre)</v>
      </c>
      <c r="T87"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20" x14ac:dyDescent="0.2">
      <c r="F88" s="3" t="s">
        <v>102</v>
      </c>
      <c r="G88" s="4" t="str">
        <f>IF((IFERROR(SEARCH(K88,Rådata!$B$1000),-1)+IFERROR(SEARCH(L88,Rådata!$B$1000),-1)+IFERROR(SEARCH(M88,Rådata!$B$1000),-1)+IFERROR(SEARCH(N88,Rådata!$B$1000),-1)+IFERROR(SEARCH(O88,Rådata!$B$1000),-1))&gt;0,"-","NEJ")</f>
        <v>NEJ</v>
      </c>
      <c r="K88" s="29" t="s">
        <v>136</v>
      </c>
      <c r="L88" s="29" t="s">
        <v>212</v>
      </c>
      <c r="M88" s="29" t="s">
        <v>179</v>
      </c>
      <c r="N88" s="29" t="s">
        <v>179</v>
      </c>
      <c r="O88" s="29" t="s">
        <v>179</v>
      </c>
      <c r="S88" s="2" t="str">
        <f t="shared" si="7"/>
        <v>PFHpA (perfluorheptansyre)</v>
      </c>
      <c r="T88"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20" x14ac:dyDescent="0.2">
      <c r="F89" s="3" t="s">
        <v>103</v>
      </c>
      <c r="G89" s="4" t="str">
        <f>IF((IFERROR(SEARCH(K89,Rådata!$B$1000),-1)+IFERROR(SEARCH(L89,Rådata!$B$1000),-1)+IFERROR(SEARCH(M89,Rådata!$B$1000),-1)+IFERROR(SEARCH(N89,Rådata!$B$1000),-1)+IFERROR(SEARCH(O89,Rådata!$B$1000),-1))&gt;0,"-","NEJ")</f>
        <v>NEJ</v>
      </c>
      <c r="K89" s="29" t="s">
        <v>139</v>
      </c>
      <c r="L89" s="29" t="s">
        <v>179</v>
      </c>
      <c r="M89" s="29" t="s">
        <v>179</v>
      </c>
      <c r="N89" s="29" t="s">
        <v>179</v>
      </c>
      <c r="O89" s="29" t="s">
        <v>179</v>
      </c>
      <c r="S89" s="2" t="str">
        <f t="shared" si="7"/>
        <v>PFOA (perfluoroctansyre)</v>
      </c>
      <c r="T89" t="str">
        <f t="shared" ref="T89:T153" si="8">IF(S89="",T88,T88&amp;", "&amp;S89)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20" x14ac:dyDescent="0.2">
      <c r="F90" s="3" t="s">
        <v>104</v>
      </c>
      <c r="G90" s="4" t="str">
        <f>IF((IFERROR(SEARCH(K90,Rådata!$B$1000),-1)+IFERROR(SEARCH(L90,Rådata!$B$1000),-1)+IFERROR(SEARCH(M90,Rådata!$B$1000),-1)+IFERROR(SEARCH(N90,Rådata!$B$1000),-1)+IFERROR(SEARCH(O90,Rådata!$B$1000),-1))&gt;0,"-","NEJ")</f>
        <v>NEJ</v>
      </c>
      <c r="K90" s="29" t="s">
        <v>137</v>
      </c>
      <c r="L90" s="42" t="s">
        <v>213</v>
      </c>
      <c r="M90" s="29" t="s">
        <v>179</v>
      </c>
      <c r="N90" s="29" t="s">
        <v>179</v>
      </c>
      <c r="O90" s="29" t="s">
        <v>179</v>
      </c>
      <c r="S90" s="2" t="str">
        <f t="shared" si="7"/>
        <v>PFNA (perfluornonansyre)</v>
      </c>
      <c r="T9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20" x14ac:dyDescent="0.2">
      <c r="F91" s="3" t="s">
        <v>105</v>
      </c>
      <c r="G91" s="4" t="str">
        <f>IF((IFERROR(SEARCH(K91,Rådata!$B$1000),-1)+IFERROR(SEARCH(L91,Rådata!$B$1000),-1)+IFERROR(SEARCH(M91,Rådata!$B$1000),-1)+IFERROR(SEARCH(N91,Rådata!$B$1000),-1)+IFERROR(SEARCH(O91,Rådata!$B$1000),-1))&gt;0,"-","NEJ")</f>
        <v>NEJ</v>
      </c>
      <c r="K91" s="29" t="s">
        <v>138</v>
      </c>
      <c r="L91" s="29" t="s">
        <v>214</v>
      </c>
      <c r="M91" s="29" t="s">
        <v>179</v>
      </c>
      <c r="N91" s="29" t="s">
        <v>179</v>
      </c>
      <c r="O91" s="29" t="s">
        <v>179</v>
      </c>
      <c r="S91" s="2" t="str">
        <f t="shared" si="7"/>
        <v>PFDA (perfluordecansyre)</v>
      </c>
      <c r="T9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20" x14ac:dyDescent="0.2">
      <c r="F92" s="10" t="s">
        <v>106</v>
      </c>
      <c r="G92" s="4" t="str">
        <f>IF((IFERROR(SEARCH(K92,Rådata!$B$1000),-1)+IFERROR(SEARCH(L92,Rådata!$B$1000),-1)+IFERROR(SEARCH(M92,Rådata!$B$1000),-1)+IFERROR(SEARCH(N92,Rådata!$B$1000),-1)+IFERROR(SEARCH(O92,Rådata!$B$1000),-1))&gt;0,"-","NEJ")</f>
        <v>NEJ</v>
      </c>
      <c r="K92" s="29" t="s">
        <v>13</v>
      </c>
      <c r="L92" s="29" t="s">
        <v>209</v>
      </c>
      <c r="M92" s="29" t="s">
        <v>106</v>
      </c>
      <c r="N92" s="29" t="s">
        <v>179</v>
      </c>
      <c r="O92" s="29" t="s">
        <v>179</v>
      </c>
      <c r="S92" s="2" t="str">
        <f t="shared" si="7"/>
        <v>Sum af PFAS</v>
      </c>
      <c r="T9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20" x14ac:dyDescent="0.2">
      <c r="E93" s="47" t="s">
        <v>107</v>
      </c>
      <c r="F93" s="47"/>
      <c r="G93" s="13"/>
      <c r="K93" s="28"/>
      <c r="L93" s="29"/>
      <c r="M93" s="29"/>
      <c r="N93" s="29"/>
      <c r="O93" s="29"/>
      <c r="T9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20" x14ac:dyDescent="0.2">
      <c r="E94" s="47" t="s">
        <v>108</v>
      </c>
      <c r="F94" s="47"/>
      <c r="G94" s="13"/>
      <c r="H94" s="13" t="str">
        <f>IF(IFERROR(SEARCH("NEJ",CONCATENATE(" ",G95,G96,G97,G98,G99,G100,G101,G102,G104,G105,G106,G107,G108,G109,G110,G111,G112)),1)=1,"OK","NEJ")</f>
        <v>NEJ</v>
      </c>
      <c r="K94" s="28"/>
      <c r="L94" s="29"/>
      <c r="M94" s="29"/>
      <c r="N94" s="29"/>
      <c r="O94" s="29"/>
      <c r="T9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20" x14ac:dyDescent="0.2">
      <c r="F95" s="9" t="s">
        <v>17</v>
      </c>
      <c r="G95" s="4" t="str">
        <f>IF((IFERROR(SEARCH(K95,Rådata!$B$1000),-1)+IFERROR(SEARCH(L95,Rådata!$B$1000),-1)+IFERROR(SEARCH(M95,Rådata!$B$1000),-1)+IFERROR(SEARCH(N95,Rådata!$B$1000),-1)+IFERROR(SEARCH(O95,Rådata!$B$1000),-1))&gt;0,"-","NEJ")</f>
        <v>NEJ</v>
      </c>
      <c r="K95" s="29" t="str">
        <f t="shared" ref="K95:K104" si="9">F95</f>
        <v>Aldrin</v>
      </c>
      <c r="L95" s="29" t="s">
        <v>179</v>
      </c>
      <c r="M95" s="29" t="s">
        <v>179</v>
      </c>
      <c r="N95" s="29" t="s">
        <v>179</v>
      </c>
      <c r="O95" s="29" t="s">
        <v>179</v>
      </c>
      <c r="S95" s="2" t="str">
        <f t="shared" si="7"/>
        <v>Aldrin</v>
      </c>
      <c r="T9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20" x14ac:dyDescent="0.2">
      <c r="F96" s="3" t="s">
        <v>236</v>
      </c>
      <c r="G96" s="4" t="str">
        <f>IF((IFERROR(SEARCH(K96,Rådata!$B$1000),-1)+IFERROR(SEARCH(L96,Rådata!$B$1000),-1)+IFERROR(SEARCH(M96,Rådata!$B$1000),-1)+IFERROR(SEARCH(N96,Rådata!$B$1000),-1)+IFERROR(SEARCH(O96,Rådata!$B$1000),-1))&gt;0,"-","NEJ")</f>
        <v>NEJ</v>
      </c>
      <c r="K96" s="29" t="str">
        <f t="shared" si="9"/>
        <v>Dieldrin</v>
      </c>
      <c r="L96" s="29" t="s">
        <v>179</v>
      </c>
      <c r="M96" s="29" t="s">
        <v>179</v>
      </c>
      <c r="N96" s="29" t="s">
        <v>179</v>
      </c>
      <c r="O96" s="29" t="s">
        <v>179</v>
      </c>
      <c r="S96" s="2" t="str">
        <f t="shared" si="7"/>
        <v>Dieldrin</v>
      </c>
      <c r="T9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6:20" x14ac:dyDescent="0.2">
      <c r="F97" s="3" t="s">
        <v>237</v>
      </c>
      <c r="G97" s="4" t="str">
        <f>IF((IFERROR(SEARCH(K97,Rådata!$B$1000),-1)+IFERROR(SEARCH(L97,Rådata!$B$1000),-1)+IFERROR(SEARCH(M97,Rådata!$B$1000),-1)+IFERROR(SEARCH(N97,Rådata!$B$1000),-1)+IFERROR(SEARCH(O97,Rådata!$B$1000),-1))&gt;0,"-","NEJ")</f>
        <v>NEJ</v>
      </c>
      <c r="K97" s="29" t="str">
        <f t="shared" si="9"/>
        <v>Heptachlor</v>
      </c>
      <c r="L97" s="29" t="s">
        <v>179</v>
      </c>
      <c r="M97" s="29" t="s">
        <v>179</v>
      </c>
      <c r="N97" s="29" t="s">
        <v>179</v>
      </c>
      <c r="O97" s="29" t="s">
        <v>179</v>
      </c>
      <c r="S97" s="2" t="str">
        <f t="shared" si="7"/>
        <v>Heptachlor</v>
      </c>
      <c r="T9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6:20" x14ac:dyDescent="0.2">
      <c r="F98" s="3" t="s">
        <v>238</v>
      </c>
      <c r="G98" s="4" t="str">
        <f>IF((IFERROR(SEARCH(K98,Rådata!$B$1000),-1)+IFERROR(SEARCH(L98,Rådata!$B$1000),-1)+IFERROR(SEARCH(M98,Rådata!$B$1000),-1)+IFERROR(SEARCH(N98,Rådata!$B$1000),-1)+IFERROR(SEARCH(O98,Rådata!$B$1000),-1))&gt;0,"-","NEJ")</f>
        <v>NEJ</v>
      </c>
      <c r="K98" s="29" t="str">
        <f t="shared" si="9"/>
        <v>Heptachlorepoxid</v>
      </c>
      <c r="L98" s="29" t="s">
        <v>179</v>
      </c>
      <c r="M98" s="29" t="s">
        <v>179</v>
      </c>
      <c r="N98" s="29" t="s">
        <v>179</v>
      </c>
      <c r="O98" s="29" t="s">
        <v>179</v>
      </c>
      <c r="S98" s="2" t="str">
        <f t="shared" si="7"/>
        <v>Heptachlorepoxid</v>
      </c>
      <c r="T9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6:20" x14ac:dyDescent="0.2">
      <c r="F99" s="3" t="s">
        <v>19</v>
      </c>
      <c r="G99" s="4" t="str">
        <f>IF((IFERROR(SEARCH(K99,Rådata!$B$1000),-1)+IFERROR(SEARCH(L99,Rådata!$B$1000),-1)+IFERROR(SEARCH(M99,Rådata!$B$1000),-1)+IFERROR(SEARCH(N99,Rådata!$B$1000),-1)+IFERROR(SEARCH(O99,Rådata!$B$1000),-1))&gt;0,"-","NEJ")</f>
        <v>NEJ</v>
      </c>
      <c r="K99" s="29" t="str">
        <f t="shared" si="9"/>
        <v>Atrazin</v>
      </c>
      <c r="L99" s="29" t="s">
        <v>179</v>
      </c>
      <c r="M99" s="29" t="s">
        <v>179</v>
      </c>
      <c r="N99" s="29" t="s">
        <v>179</v>
      </c>
      <c r="O99" s="29" t="s">
        <v>179</v>
      </c>
      <c r="S99" s="2" t="str">
        <f t="shared" si="7"/>
        <v>Atrazin</v>
      </c>
      <c r="T9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6:20" x14ac:dyDescent="0.2">
      <c r="F100" s="3" t="s">
        <v>20</v>
      </c>
      <c r="G100" s="4" t="str">
        <f>IF((IFERROR(SEARCH(K100,Rådata!$B$1000),-1)+IFERROR(SEARCH(L100,Rådata!$B$1000),-1)+IFERROR(SEARCH(M100,Rådata!$B$1000),-1)+IFERROR(SEARCH(N100,Rådata!$B$1000),-1)+IFERROR(SEARCH(O100,Rådata!$B$1000),-1))&gt;0,"-","NEJ")</f>
        <v>NEJ</v>
      </c>
      <c r="K100" s="29" t="str">
        <f t="shared" si="9"/>
        <v>Bentazon</v>
      </c>
      <c r="L100" s="29" t="s">
        <v>179</v>
      </c>
      <c r="M100" s="29" t="s">
        <v>179</v>
      </c>
      <c r="N100" s="29" t="s">
        <v>179</v>
      </c>
      <c r="O100" s="29" t="s">
        <v>179</v>
      </c>
      <c r="S100" s="2" t="str">
        <f t="shared" si="7"/>
        <v>Bentazon</v>
      </c>
      <c r="T10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6:20" x14ac:dyDescent="0.2">
      <c r="F101" s="3" t="s">
        <v>28</v>
      </c>
      <c r="G101" s="4" t="str">
        <f>IF((IFERROR(SEARCH(K101,Rådata!$B$1000),-1)+IFERROR(SEARCH(L101,Rådata!$B$1000),-1)+IFERROR(SEARCH(M101,Rådata!$B$1000),-1)+IFERROR(SEARCH(N101,Rådata!$B$1000),-1)+IFERROR(SEARCH(O101,Rådata!$B$1000),-1))&gt;0,"-","NEJ")</f>
        <v>NEJ</v>
      </c>
      <c r="K101" s="29" t="str">
        <f t="shared" si="9"/>
        <v>Dichlobenil</v>
      </c>
      <c r="L101" s="29" t="s">
        <v>179</v>
      </c>
      <c r="M101" s="29" t="s">
        <v>179</v>
      </c>
      <c r="N101" s="29" t="s">
        <v>179</v>
      </c>
      <c r="O101" s="29" t="s">
        <v>179</v>
      </c>
      <c r="S101" s="2" t="str">
        <f t="shared" si="7"/>
        <v>Dichlobenil</v>
      </c>
      <c r="T101" t="str">
        <f t="shared" ref="T101:T119" si="10">IF(S101="",T100,T100&amp;", "&amp;S101)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6:20" x14ac:dyDescent="0.2">
      <c r="F102" s="3" t="s">
        <v>109</v>
      </c>
      <c r="G102" s="4" t="str">
        <f>IF((IFERROR(SEARCH(K102,Rådata!$B$1000),-1)+IFERROR(SEARCH(L102,Rådata!$B$1000),-1)+IFERROR(SEARCH(M102,Rådata!$B$1000),-1)+IFERROR(SEARCH(N102,Rådata!$B$1000),-1)+IFERROR(SEARCH(O102,Rådata!$B$1000),-1))&gt;0,"-","NEJ")</f>
        <v>NEJ</v>
      </c>
      <c r="K102" s="29" t="str">
        <f t="shared" si="9"/>
        <v>Dichlorprop</v>
      </c>
      <c r="L102" s="29" t="s">
        <v>179</v>
      </c>
      <c r="M102" s="29" t="s">
        <v>179</v>
      </c>
      <c r="N102" s="29" t="s">
        <v>179</v>
      </c>
      <c r="O102" s="29" t="s">
        <v>179</v>
      </c>
      <c r="S102" s="2" t="str">
        <f t="shared" si="7"/>
        <v>Dichlorprop</v>
      </c>
      <c r="T10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6:20" x14ac:dyDescent="0.2">
      <c r="F103" s="3" t="s">
        <v>245</v>
      </c>
      <c r="G103" s="4" t="str">
        <f>IF((IFERROR(SEARCH(K103,Rådata!$B$1000),-1)+IFERROR(SEARCH(L103,Rådata!$B$1000),-1)+IFERROR(SEARCH(M103,Rådata!$B$1000),-1)+IFERROR(SEARCH(N103,Rådata!$B$1000),-1)+IFERROR(SEARCH(O103,Rådata!$B$1000),-1))&gt;0,"-","NEJ")</f>
        <v>NEJ</v>
      </c>
      <c r="K103" s="29" t="str">
        <f>F103</f>
        <v xml:space="preserve">DMS </v>
      </c>
      <c r="L103" s="29" t="s">
        <v>246</v>
      </c>
      <c r="M103" s="29" t="s">
        <v>179</v>
      </c>
      <c r="N103" s="29" t="s">
        <v>179</v>
      </c>
      <c r="O103" s="29" t="s">
        <v>179</v>
      </c>
      <c r="S103" s="2" t="str">
        <f t="shared" si="7"/>
        <v xml:space="preserve">DMS </v>
      </c>
      <c r="T103"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v>
      </c>
    </row>
    <row r="104" spans="6:20" x14ac:dyDescent="0.2">
      <c r="F104" s="3" t="s">
        <v>30</v>
      </c>
      <c r="G104" s="4" t="str">
        <f>IF((IFERROR(SEARCH(K104,Rådata!$B$1000),-1)+IFERROR(SEARCH(L104,Rådata!$B$1000),-1)+IFERROR(SEARCH(M104,Rådata!$B$1000),-1)+IFERROR(SEARCH(N104,Rådata!$B$1000),-1)+IFERROR(SEARCH(O104,Rådata!$B$1000),-1))&gt;0,"-","NEJ")</f>
        <v>NEJ</v>
      </c>
      <c r="K104" s="29" t="str">
        <f t="shared" si="9"/>
        <v>Diuron</v>
      </c>
      <c r="L104" s="29" t="s">
        <v>179</v>
      </c>
      <c r="M104" s="29" t="s">
        <v>179</v>
      </c>
      <c r="N104" s="29" t="s">
        <v>179</v>
      </c>
      <c r="O104" s="29" t="s">
        <v>179</v>
      </c>
      <c r="S104" s="2" t="str">
        <f t="shared" si="7"/>
        <v>Diuron</v>
      </c>
      <c r="T10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v>
      </c>
    </row>
    <row r="105" spans="6:20" x14ac:dyDescent="0.2">
      <c r="F105" s="3" t="s">
        <v>110</v>
      </c>
      <c r="G105" s="4" t="str">
        <f>IF((IFERROR(SEARCH(K105,Rådata!$B$1000),-1)+IFERROR(SEARCH(L105,Rådata!$B$1000),-1)+IFERROR(SEARCH(M105,Rådata!$B$1000),-1)+IFERROR(SEARCH(N105,Rådata!$B$1000),-1)+IFERROR(SEARCH(O105,Rådata!$B$1000),-1))&gt;0,"-","NEJ")</f>
        <v>NEJ</v>
      </c>
      <c r="K105" s="29" t="s">
        <v>143</v>
      </c>
      <c r="L105" s="29" t="s">
        <v>265</v>
      </c>
      <c r="M105" s="29" t="s">
        <v>179</v>
      </c>
      <c r="N105" s="29" t="s">
        <v>179</v>
      </c>
      <c r="O105" s="29" t="s">
        <v>179</v>
      </c>
      <c r="S105" s="2" t="str">
        <f t="shared" si="7"/>
        <v>ETU (Ethylenthiourea)</v>
      </c>
      <c r="T10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v>
      </c>
    </row>
    <row r="106" spans="6:20" x14ac:dyDescent="0.2">
      <c r="F106" s="3" t="s">
        <v>31</v>
      </c>
      <c r="G106" s="4" t="str">
        <f>IF((IFERROR(SEARCH(K106,Rådata!$B$1000),-1)+IFERROR(SEARCH(L106,Rådata!$B$1000),-1)+IFERROR(SEARCH(M106,Rådata!$B$1000),-1)+IFERROR(SEARCH(N106,Rådata!$B$1000),-1)+IFERROR(SEARCH(O106,Rådata!$B$1000),-1))&gt;0,"-","NEJ")</f>
        <v>NEJ</v>
      </c>
      <c r="K106" s="29" t="str">
        <f>F106</f>
        <v>Glyphosat</v>
      </c>
      <c r="L106" s="29" t="s">
        <v>179</v>
      </c>
      <c r="M106" s="29" t="s">
        <v>179</v>
      </c>
      <c r="N106" s="29" t="s">
        <v>179</v>
      </c>
      <c r="O106" s="29" t="s">
        <v>179</v>
      </c>
      <c r="S106" s="2" t="str">
        <f t="shared" si="7"/>
        <v>Glyphosat</v>
      </c>
      <c r="T106"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v>
      </c>
    </row>
    <row r="107" spans="6:20" x14ac:dyDescent="0.2">
      <c r="F107" s="3" t="s">
        <v>32</v>
      </c>
      <c r="G107" s="4" t="str">
        <f>IF((IFERROR(SEARCH(K107,Rådata!$B$1000),-1)+IFERROR(SEARCH(L107,Rådata!$B$1000),-1)+IFERROR(SEARCH(M107,Rådata!$B$1000),-1)+IFERROR(SEARCH(N107,Rådata!$B$1000),-1)+IFERROR(SEARCH(O107,Rådata!$B$1000),-1))&gt;0,"-","NEJ")</f>
        <v>NEJ</v>
      </c>
      <c r="K107" s="29" t="str">
        <f>F107</f>
        <v>Hexazinon</v>
      </c>
      <c r="L107" s="29" t="s">
        <v>179</v>
      </c>
      <c r="M107" s="29" t="s">
        <v>179</v>
      </c>
      <c r="N107" s="29" t="s">
        <v>179</v>
      </c>
      <c r="O107" s="29" t="s">
        <v>179</v>
      </c>
      <c r="S107" s="2" t="str">
        <f t="shared" si="7"/>
        <v>Hexazinon</v>
      </c>
      <c r="T107"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v>
      </c>
    </row>
    <row r="108" spans="6:20" x14ac:dyDescent="0.2">
      <c r="F108" s="3" t="s">
        <v>35</v>
      </c>
      <c r="G108" s="4" t="str">
        <f>IF((IFERROR(SEARCH(K108,Rådata!$B$1000),-1)+IFERROR(SEARCH(L108,Rådata!$B$1000),-1)+IFERROR(SEARCH(M108,Rådata!$B$1000),-1)+IFERROR(SEARCH(N108,Rådata!$B$1000),-1)+IFERROR(SEARCH(O108,Rådata!$B$1000),-1))&gt;0,"-","NEJ")</f>
        <v>NEJ</v>
      </c>
      <c r="K108" s="29" t="str">
        <f>F108</f>
        <v>MCPA</v>
      </c>
      <c r="L108" s="29" t="s">
        <v>179</v>
      </c>
      <c r="M108" s="29" t="s">
        <v>179</v>
      </c>
      <c r="N108" s="29" t="s">
        <v>179</v>
      </c>
      <c r="O108" s="29" t="s">
        <v>179</v>
      </c>
      <c r="S108" s="2" t="str">
        <f t="shared" si="7"/>
        <v>MCPA</v>
      </c>
      <c r="T10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v>
      </c>
    </row>
    <row r="109" spans="6:20" x14ac:dyDescent="0.2">
      <c r="F109" s="3" t="s">
        <v>111</v>
      </c>
      <c r="G109" s="4" t="str">
        <f>IF((IFERROR(SEARCH(K109,Rådata!$B$1000),-1)+IFERROR(SEARCH(L109,Rådata!$B$1000),-1)+IFERROR(SEARCH(M109,Rådata!$B$1000),-1)+IFERROR(SEARCH(N109,Rådata!$B$1000),-1)+IFERROR(SEARCH(O109,Rådata!$B$1000),-1))&gt;0,"-","NEJ")</f>
        <v>NEJ</v>
      </c>
      <c r="K109" s="29" t="str">
        <f>F109</f>
        <v>Mechlorprop</v>
      </c>
      <c r="L109" s="29" t="s">
        <v>179</v>
      </c>
      <c r="M109" s="29" t="s">
        <v>179</v>
      </c>
      <c r="N109" s="29" t="s">
        <v>179</v>
      </c>
      <c r="O109" s="29" t="s">
        <v>179</v>
      </c>
      <c r="S109" s="2" t="str">
        <f t="shared" si="7"/>
        <v>Mechlorprop</v>
      </c>
      <c r="T10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v>
      </c>
    </row>
    <row r="110" spans="6:20" x14ac:dyDescent="0.2">
      <c r="F110" s="3" t="s">
        <v>112</v>
      </c>
      <c r="G110" s="4" t="str">
        <f>IF((IFERROR(SEARCH(K110,Rådata!$B$1000),-1)+IFERROR(SEARCH(L110,Rådata!$B$1000),-1)+IFERROR(SEARCH(M110,Rådata!$B$1000),-1)+IFERROR(SEARCH(N110,Rådata!$B$1000),-1)+IFERROR(SEARCH(O110,Rådata!$B$1000),-1))&gt;0,"-","NEJ")</f>
        <v>NEJ</v>
      </c>
      <c r="K110" s="29" t="s">
        <v>144</v>
      </c>
      <c r="L110" s="29" t="s">
        <v>179</v>
      </c>
      <c r="M110" s="29" t="s">
        <v>179</v>
      </c>
      <c r="N110" s="29" t="s">
        <v>179</v>
      </c>
      <c r="O110" s="29" t="s">
        <v>179</v>
      </c>
      <c r="S110" s="2" t="str">
        <f t="shared" si="7"/>
        <v>Metalaxyl/metalaxyl-M</v>
      </c>
      <c r="T110"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v>
      </c>
    </row>
    <row r="111" spans="6:20" x14ac:dyDescent="0.2">
      <c r="F111" s="3" t="s">
        <v>36</v>
      </c>
      <c r="G111" s="4" t="str">
        <f>IF((IFERROR(SEARCH(K111,Rådata!$B$1000),-1)+IFERROR(SEARCH(L111,Rådata!$B$1000),-1)+IFERROR(SEARCH(M111,Rådata!$B$1000),-1)+IFERROR(SEARCH(N111,Rådata!$B$1000),-1)+IFERROR(SEARCH(O111,Rådata!$B$1000),-1))&gt;0,"-","NEJ")</f>
        <v>NEJ</v>
      </c>
      <c r="K111" s="29" t="str">
        <f>F111</f>
        <v>Metribuzin</v>
      </c>
      <c r="L111" s="29" t="s">
        <v>179</v>
      </c>
      <c r="M111" s="29" t="s">
        <v>179</v>
      </c>
      <c r="N111" s="29" t="s">
        <v>179</v>
      </c>
      <c r="O111" s="29" t="s">
        <v>179</v>
      </c>
      <c r="S111" s="2" t="str">
        <f t="shared" si="7"/>
        <v>Metribuzin</v>
      </c>
      <c r="T111"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v>
      </c>
    </row>
    <row r="112" spans="6:20" x14ac:dyDescent="0.2">
      <c r="F112" s="3" t="s">
        <v>40</v>
      </c>
      <c r="G112" s="4" t="str">
        <f>IF((IFERROR(SEARCH(K112,Rådata!$B$1000),-1)+IFERROR(SEARCH(L112,Rådata!$B$1000),-1)+IFERROR(SEARCH(M112,Rådata!$B$1000),-1)+IFERROR(SEARCH(N112,Rådata!$B$1000),-1)+IFERROR(SEARCH(O112,Rådata!$B$1000),-1))&gt;0,"-","NEJ")</f>
        <v>NEJ</v>
      </c>
      <c r="K112" s="29" t="str">
        <f>F112</f>
        <v>Simazin</v>
      </c>
      <c r="L112" s="29" t="s">
        <v>179</v>
      </c>
      <c r="M112" s="29" t="s">
        <v>179</v>
      </c>
      <c r="N112" s="29" t="s">
        <v>179</v>
      </c>
      <c r="O112" s="29" t="s">
        <v>179</v>
      </c>
      <c r="S112" s="2" t="str">
        <f t="shared" si="7"/>
        <v>Simazin</v>
      </c>
      <c r="T112"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3" spans="5:20" x14ac:dyDescent="0.2">
      <c r="E113" s="47" t="s">
        <v>113</v>
      </c>
      <c r="F113" s="47"/>
      <c r="G113" s="13"/>
      <c r="H113" s="13" t="str">
        <f>IF(IFERROR(SEARCH("NEJ",CONCATENATE(" ",G114,G115,G116,G117,G118,G119,G120,G121,G122,G123,G124,G125,G126,G127,G128,G129,G130,G131,G132,G133,G134,G135,G136,G137,G138,G139)),1)=1,"OK","NEJ")</f>
        <v>NEJ</v>
      </c>
      <c r="K113" s="28"/>
      <c r="L113" s="29"/>
      <c r="M113" s="29"/>
      <c r="N113" s="29"/>
      <c r="O113" s="29"/>
      <c r="T113"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4" spans="5:20" x14ac:dyDescent="0.2">
      <c r="F114" s="9" t="s">
        <v>114</v>
      </c>
      <c r="G114" s="4" t="str">
        <f>IF((IFERROR(SEARCH(K114,Rådata!$B$1000),-1)+IFERROR(SEARCH(L114,Rådata!$B$1000),-1)+IFERROR(SEARCH(M114,Rådata!$B$1000),-1)+IFERROR(SEARCH(N114,Rådata!$B$1000),-1)+IFERROR(SEARCH(O114,Rådata!$B$1000),-1))&gt;0,"-","NEJ")</f>
        <v>NEJ</v>
      </c>
      <c r="K114" s="29" t="s">
        <v>145</v>
      </c>
      <c r="L114" s="29" t="s">
        <v>179</v>
      </c>
      <c r="M114" s="29" t="s">
        <v>179</v>
      </c>
      <c r="N114" s="29" t="s">
        <v>179</v>
      </c>
      <c r="O114" s="29" t="s">
        <v>179</v>
      </c>
      <c r="S114" s="2" t="str">
        <f t="shared" si="7"/>
        <v>1,2,4-triazol</v>
      </c>
      <c r="T114"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v>
      </c>
    </row>
    <row r="115" spans="5:20" x14ac:dyDescent="0.2">
      <c r="F115" s="3" t="s">
        <v>115</v>
      </c>
      <c r="G115" s="4" t="str">
        <f>IF((IFERROR(SEARCH(K115,Rådata!$B$1000),-1)+IFERROR(SEARCH(L115,Rådata!$B$1000),-1)+IFERROR(SEARCH(M115,Rådata!$B$1000),-1)+IFERROR(SEARCH(N115,Rådata!$B$1000),-1)+IFERROR(SEARCH(O115,Rådata!$B$1000),-1))&gt;0,"-","NEJ")</f>
        <v>NEJ</v>
      </c>
      <c r="K115" s="29" t="str">
        <f>F115</f>
        <v>2,6-Dichlorbenzosyre</v>
      </c>
      <c r="L115" s="29" t="s">
        <v>179</v>
      </c>
      <c r="M115" s="29" t="s">
        <v>179</v>
      </c>
      <c r="N115" s="29" t="s">
        <v>179</v>
      </c>
      <c r="O115" s="29" t="s">
        <v>179</v>
      </c>
      <c r="S115" s="2" t="str">
        <f t="shared" si="7"/>
        <v>2,6-Dichlorbenzosyre</v>
      </c>
      <c r="T115"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v>
      </c>
    </row>
    <row r="116" spans="5:20" x14ac:dyDescent="0.2">
      <c r="F116" s="3" t="s">
        <v>116</v>
      </c>
      <c r="G116" s="4" t="str">
        <f>IF((IFERROR(SEARCH(K116,Rådata!$B$1000),-1)+IFERROR(SEARCH(L116,Rådata!$B$1000),-1)+IFERROR(SEARCH(M116,Rådata!$B$1000),-1)+IFERROR(SEARCH(N116,Rådata!$B$1000),-1)+IFERROR(SEARCH(O116,Rådata!$B$1000),-1))&gt;0,"-","NEJ")</f>
        <v>NEJ</v>
      </c>
      <c r="K116" s="29" t="str">
        <f>F116</f>
        <v>2,4-Dichlorphenol</v>
      </c>
      <c r="L116" s="29" t="s">
        <v>179</v>
      </c>
      <c r="M116" s="29" t="s">
        <v>179</v>
      </c>
      <c r="N116" s="29" t="s">
        <v>179</v>
      </c>
      <c r="O116" s="29" t="s">
        <v>179</v>
      </c>
      <c r="S116" s="2" t="str">
        <f t="shared" si="7"/>
        <v>2,4-Dichlorphenol</v>
      </c>
      <c r="T116"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v>
      </c>
    </row>
    <row r="117" spans="5:20" x14ac:dyDescent="0.2">
      <c r="F117" s="3" t="s">
        <v>117</v>
      </c>
      <c r="G117" s="4" t="str">
        <f>IF((IFERROR(SEARCH(K117,Rådata!$B$1000),-1)+IFERROR(SEARCH(L117,Rådata!$B$1000),-1)+IFERROR(SEARCH(M117,Rådata!$B$1000),-1)+IFERROR(SEARCH(N117,Rådata!$B$1000),-1)+IFERROR(SEARCH(O117,Rådata!$B$1000),-1))&gt;0,"-","NEJ")</f>
        <v>NEJ</v>
      </c>
      <c r="K117" s="29" t="str">
        <f>F117</f>
        <v>2,6-Dichlorphenol</v>
      </c>
      <c r="L117" s="29" t="s">
        <v>179</v>
      </c>
      <c r="M117" s="29" t="s">
        <v>179</v>
      </c>
      <c r="N117" s="29" t="s">
        <v>179</v>
      </c>
      <c r="O117" s="29" t="s">
        <v>179</v>
      </c>
      <c r="S117" s="2" t="str">
        <f t="shared" si="7"/>
        <v>2,6-Dichlorphenol</v>
      </c>
      <c r="T117"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v>
      </c>
    </row>
    <row r="118" spans="5:20" x14ac:dyDescent="0.2">
      <c r="F118" s="3" t="s">
        <v>118</v>
      </c>
      <c r="G118" s="4" t="str">
        <f>IF((IFERROR(SEARCH(K118,Rådata!$B$1000),-1)+IFERROR(SEARCH(L118,Rådata!$B$1000),-1)+IFERROR(SEARCH(M118,Rådata!$B$1000),-1)+IFERROR(SEARCH(N118,Rådata!$B$1000),-1)+IFERROR(SEARCH(O118,Rådata!$B$1000),-1))&gt;0,"-","NEJ")</f>
        <v>NEJ</v>
      </c>
      <c r="K118" s="29" t="s">
        <v>16</v>
      </c>
      <c r="L118" s="29" t="s">
        <v>179</v>
      </c>
      <c r="M118" s="29" t="s">
        <v>179</v>
      </c>
      <c r="N118" s="29" t="s">
        <v>179</v>
      </c>
      <c r="O118" s="29" t="s">
        <v>179</v>
      </c>
      <c r="S118" s="2" t="str">
        <f t="shared" si="7"/>
        <v>4CPP (2-(4-chlorphenoxy)propionsyre)</v>
      </c>
      <c r="T118"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v>
      </c>
    </row>
    <row r="119" spans="5:20" x14ac:dyDescent="0.2">
      <c r="F119" s="3" t="s">
        <v>119</v>
      </c>
      <c r="G119" s="4" t="str">
        <f>IF((IFERROR(SEARCH(K119,Rådata!$B$1000),-1)+IFERROR(SEARCH(L119,Rådata!$B$1000),-1)+IFERROR(SEARCH(M119,Rådata!$B$1000),-1)+IFERROR(SEARCH(N119,Rådata!$B$1000),-1)+IFERROR(SEARCH(O119,Rådata!$B$1000),-1))&gt;0,"-","NEJ")</f>
        <v>NEJ</v>
      </c>
      <c r="K119" s="29" t="s">
        <v>15</v>
      </c>
      <c r="L119" s="29" t="s">
        <v>179</v>
      </c>
      <c r="M119" s="29" t="s">
        <v>179</v>
      </c>
      <c r="N119" s="29" t="s">
        <v>179</v>
      </c>
      <c r="O119" s="29" t="s">
        <v>179</v>
      </c>
      <c r="S119" s="2" t="str">
        <f t="shared" si="7"/>
        <v>2,6-DCPP (2-(2,6-dichlorphenoxy-propionsyre))</v>
      </c>
      <c r="T11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120" spans="5:20" x14ac:dyDescent="0.2">
      <c r="F120" s="3" t="s">
        <v>120</v>
      </c>
      <c r="G120" s="4" t="str">
        <f>IF((IFERROR(SEARCH(K120,Rådata!$B$1000),-1)+IFERROR(SEARCH(L120,Rådata!$B$1000),-1)+IFERROR(SEARCH(M120,Rådata!$B$1000),-1)+IFERROR(SEARCH(N120,Rådata!$B$1000),-1)+IFERROR(SEARCH(O120,Rådata!$B$1000),-1))&gt;0,"-","NEJ")</f>
        <v>NEJ</v>
      </c>
      <c r="K120" s="29" t="str">
        <f>F120</f>
        <v>4-Nitrophenol</v>
      </c>
      <c r="L120" s="29" t="s">
        <v>179</v>
      </c>
      <c r="M120" s="29" t="s">
        <v>179</v>
      </c>
      <c r="N120" s="29" t="s">
        <v>179</v>
      </c>
      <c r="O120" s="29" t="s">
        <v>179</v>
      </c>
      <c r="S120" s="2" t="str">
        <f t="shared" si="7"/>
        <v>4-Nitrophenol</v>
      </c>
      <c r="T12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121" spans="5:20" x14ac:dyDescent="0.2">
      <c r="F121" s="3" t="s">
        <v>121</v>
      </c>
      <c r="G121" s="4" t="str">
        <f>IF((IFERROR(SEARCH(K121,Rådata!$B$1000),-1)+IFERROR(SEARCH(L121,Rådata!$B$1000),-1)+IFERROR(SEARCH(M121,Rådata!$B$1000),-1)+IFERROR(SEARCH(N121,Rådata!$B$1000),-1)+IFERROR(SEARCH(O121,Rådata!$B$1000),-1))&gt;0,"-","NEJ")</f>
        <v>NEJ</v>
      </c>
      <c r="K121" s="29" t="s">
        <v>18</v>
      </c>
      <c r="L121" s="29" t="s">
        <v>179</v>
      </c>
      <c r="M121" s="29" t="s">
        <v>179</v>
      </c>
      <c r="N121" s="29" t="s">
        <v>179</v>
      </c>
      <c r="O121" s="29" t="s">
        <v>179</v>
      </c>
      <c r="S121" s="2" t="str">
        <f t="shared" si="7"/>
        <v>AMPA (Aminomethylphosphorsyre)</v>
      </c>
      <c r="T12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122" spans="5:20" x14ac:dyDescent="0.2">
      <c r="F122" s="3" t="s">
        <v>122</v>
      </c>
      <c r="G122" s="4" t="str">
        <f>IF((IFERROR(SEARCH(K122,Rådata!$B$1000),-1)+IFERROR(SEARCH(L122,Rådata!$B$1000),-1)+IFERROR(SEARCH(M122,Rådata!$B$1000),-1)+IFERROR(SEARCH(N122,Rådata!$B$1000),-1)+IFERROR(SEARCH(O122,Rådata!$B$1000),-1))&gt;0,"-","NEJ")</f>
        <v>NEJ</v>
      </c>
      <c r="K122" s="29" t="s">
        <v>146</v>
      </c>
      <c r="L122" s="29" t="s">
        <v>179</v>
      </c>
      <c r="M122" s="29" t="s">
        <v>179</v>
      </c>
      <c r="N122" s="29" t="s">
        <v>179</v>
      </c>
      <c r="O122" s="29" t="s">
        <v>179</v>
      </c>
      <c r="S122" s="2" t="str">
        <f t="shared" si="7"/>
        <v>BAM (2,6-Dichlorbenzamid)</v>
      </c>
      <c r="T12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123" spans="5:20" x14ac:dyDescent="0.2">
      <c r="F123" s="3" t="s">
        <v>123</v>
      </c>
      <c r="G123" s="4" t="str">
        <f>IF((IFERROR(SEARCH(K123,Rådata!$B$1000),-1)+IFERROR(SEARCH(L123,Rådata!$B$1000),-1)+IFERROR(SEARCH(M123,Rådata!$B$1000),-1)+IFERROR(SEARCH(N123,Rådata!$B$1000),-1)+IFERROR(SEARCH(O123,Rådata!$B$1000),-1))&gt;0,"-","NEJ")</f>
        <v>NEJ</v>
      </c>
      <c r="K123" s="29" t="s">
        <v>149</v>
      </c>
      <c r="L123" s="29" t="s">
        <v>269</v>
      </c>
      <c r="M123" s="29" t="s">
        <v>179</v>
      </c>
      <c r="N123" s="29" t="s">
        <v>179</v>
      </c>
      <c r="O123" s="29" t="s">
        <v>179</v>
      </c>
      <c r="S123" s="2" t="str">
        <f t="shared" si="7"/>
        <v>N-(2, 6-dimethylphenyl)-N-(Methoxyacetyl)alanin (CGA62826)</v>
      </c>
      <c r="T12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124" spans="5:20" x14ac:dyDescent="0.2">
      <c r="F124" s="3" t="s">
        <v>124</v>
      </c>
      <c r="G124" s="4" t="str">
        <f>IF((IFERROR(SEARCH(K124,Rådata!$B$1000),-1)+IFERROR(SEARCH(L124,Rådata!$B$1000),-1)+IFERROR(SEARCH(M124,Rådata!$B$1000),-1)+IFERROR(SEARCH(N124,Rådata!$B$1000),-1)+IFERROR(SEARCH(O124,Rådata!$B$1000),-1))&gt;0,"-","NEJ")</f>
        <v>NEJ</v>
      </c>
      <c r="K124" s="29" t="s">
        <v>21</v>
      </c>
      <c r="L124" s="29" t="s">
        <v>270</v>
      </c>
      <c r="M124" s="29" t="s">
        <v>179</v>
      </c>
      <c r="N124" s="29" t="s">
        <v>179</v>
      </c>
      <c r="O124" s="29" t="s">
        <v>179</v>
      </c>
      <c r="S124" s="2" t="str">
        <f t="shared" si="7"/>
        <v>N-(2-carboxy-6-methylphenyl) N-methoxyacetyl)alanin (CGA108906)</v>
      </c>
      <c r="T12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25" spans="5:20" x14ac:dyDescent="0.2">
      <c r="F125" s="3" t="s">
        <v>125</v>
      </c>
      <c r="G125" s="4" t="str">
        <f>IF((IFERROR(SEARCH(K125,Rådata!$B$1000),-1)+IFERROR(SEARCH(L125,Rådata!$B$1000),-1)+IFERROR(SEARCH(M125,Rådata!$B$1000),-1)+IFERROR(SEARCH(N125,Rådata!$B$1000),-1)+IFERROR(SEARCH(O125,Rådata!$B$1000),-1))&gt;0,"-","NEJ")</f>
        <v>NEJ</v>
      </c>
      <c r="K125" s="29" t="s">
        <v>24</v>
      </c>
      <c r="L125" s="29" t="s">
        <v>191</v>
      </c>
      <c r="M125" s="29" t="s">
        <v>253</v>
      </c>
      <c r="N125" s="29" t="s">
        <v>263</v>
      </c>
      <c r="O125" s="29" t="s">
        <v>272</v>
      </c>
      <c r="S125" s="2" t="str">
        <f t="shared" si="7"/>
        <v>DEIA (Desethyldesisopropyl-atrazin)</v>
      </c>
      <c r="T12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126" spans="5:20" x14ac:dyDescent="0.2">
      <c r="F126" s="3" t="s">
        <v>25</v>
      </c>
      <c r="G126" s="4" t="str">
        <f>IF((IFERROR(SEARCH(K126,Rådata!$B$1000),-1)+IFERROR(SEARCH(L126,Rådata!$B$1000),-1)+IFERROR(SEARCH(M126,Rådata!$B$1000),-1)+IFERROR(SEARCH(N126,Rådata!$B$1000),-1)+IFERROR(SEARCH(O126,Rådata!$B$1000),-1))&gt;0,"-","NEJ")</f>
        <v>NEJ</v>
      </c>
      <c r="K126" s="29" t="str">
        <f>F126</f>
        <v>Desethyl-hydroxy-atrazin</v>
      </c>
      <c r="L126" s="29" t="s">
        <v>185</v>
      </c>
      <c r="M126" s="29" t="s">
        <v>273</v>
      </c>
      <c r="N126" s="29" t="s">
        <v>179</v>
      </c>
      <c r="O126" s="29" t="s">
        <v>179</v>
      </c>
      <c r="S126" s="2" t="str">
        <f t="shared" si="7"/>
        <v>Desethyl-hydroxy-atrazin</v>
      </c>
      <c r="T12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127" spans="5:20" x14ac:dyDescent="0.2">
      <c r="F127" s="3" t="s">
        <v>23</v>
      </c>
      <c r="G127" s="4" t="str">
        <f>IF((IFERROR(SEARCH(K127,Rådata!$B$1000),-1)+IFERROR(SEARCH(L127,Rådata!$B$1000),-1)+IFERROR(SEARCH(M127,Rådata!$B$1000),-1)+IFERROR(SEARCH(N127,Rådata!$B$1000),-1)+IFERROR(SEARCH(O127,Rådata!$B$1000),-1))&gt;0,"-","NEJ")</f>
        <v>NEJ</v>
      </c>
      <c r="K127" s="29" t="str">
        <f>F127</f>
        <v>Desethyl-atrazin</v>
      </c>
      <c r="L127" s="29" t="s">
        <v>186</v>
      </c>
      <c r="M127" s="29" t="s">
        <v>220</v>
      </c>
      <c r="N127" s="29" t="s">
        <v>179</v>
      </c>
      <c r="O127" s="29" t="s">
        <v>179</v>
      </c>
      <c r="S127" s="2" t="str">
        <f t="shared" si="7"/>
        <v>Desethyl-atrazin</v>
      </c>
      <c r="T12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128" spans="5:20" x14ac:dyDescent="0.2">
      <c r="F128" s="3" t="s">
        <v>26</v>
      </c>
      <c r="G128" s="4" t="str">
        <f>IF((IFERROR(SEARCH(K128,Rådata!$B$1000),-1)+IFERROR(SEARCH(L128,Rådata!$B$1000),-1)+IFERROR(SEARCH(M128,Rådata!$B$1000),-1)+IFERROR(SEARCH(N128,Rådata!$B$1000),-1)+IFERROR(SEARCH(O128,Rådata!$B$1000),-1))&gt;0,"-","NEJ")</f>
        <v>NEJ</v>
      </c>
      <c r="K128" s="29" t="str">
        <f>F128</f>
        <v>Desethyl-terbutylazin</v>
      </c>
      <c r="L128" s="29" t="s">
        <v>187</v>
      </c>
      <c r="M128" s="29" t="s">
        <v>254</v>
      </c>
      <c r="N128" s="29" t="s">
        <v>179</v>
      </c>
      <c r="O128" s="29" t="s">
        <v>179</v>
      </c>
      <c r="S128" s="2" t="str">
        <f t="shared" si="7"/>
        <v>Desethyl-terbutylazin</v>
      </c>
      <c r="T12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129" spans="4:20" x14ac:dyDescent="0.2">
      <c r="F129" s="3" t="s">
        <v>27</v>
      </c>
      <c r="G129" s="4" t="str">
        <f>IF((IFERROR(SEARCH(K129,Rådata!$B$1000),-1)+IFERROR(SEARCH(L129,Rådata!$B$1000),-1)+IFERROR(SEARCH(M129,Rådata!$B$1000),-1)+IFERROR(SEARCH(N129,Rådata!$B$1000),-1)+IFERROR(SEARCH(O129,Rådata!$B$1000),-1))&gt;0,"-","NEJ")</f>
        <v>NEJ</v>
      </c>
      <c r="K129" s="29" t="str">
        <f>F129</f>
        <v>Desisopropyl-atrazin</v>
      </c>
      <c r="L129" s="29" t="s">
        <v>188</v>
      </c>
      <c r="M129" s="29" t="s">
        <v>260</v>
      </c>
      <c r="N129" s="29" t="s">
        <v>179</v>
      </c>
      <c r="O129" s="29" t="s">
        <v>179</v>
      </c>
      <c r="S129" s="2" t="str">
        <f t="shared" si="7"/>
        <v>Desisopropyl-atrazin</v>
      </c>
      <c r="T12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130" spans="4:20" x14ac:dyDescent="0.2">
      <c r="F130" s="3" t="s">
        <v>22</v>
      </c>
      <c r="G130" s="4" t="str">
        <f>IF((IFERROR(SEARCH(K130,Rådata!$B$1000),-1)+IFERROR(SEARCH(L130,Rådata!$B$1000),-1)+IFERROR(SEARCH(M130,Rådata!$B$1000),-1)+IFERROR(SEARCH(N130,Rådata!$B$1000),-1)+IFERROR(SEARCH(O130,Rådata!$B$1000),-1))&gt;0,"-","NEJ")</f>
        <v>NEJ</v>
      </c>
      <c r="K130" s="29" t="str">
        <f>F130</f>
        <v>Deisopropyl-hydroxy-atrazin</v>
      </c>
      <c r="L130" s="29" t="s">
        <v>193</v>
      </c>
      <c r="M130" s="29" t="s">
        <v>194</v>
      </c>
      <c r="N130" s="29" t="s">
        <v>252</v>
      </c>
      <c r="O130" s="29" t="s">
        <v>274</v>
      </c>
      <c r="S130" s="2" t="str">
        <f t="shared" si="7"/>
        <v>Deisopropyl-hydroxy-atrazin</v>
      </c>
      <c r="T130"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131" spans="4:20" x14ac:dyDescent="0.2">
      <c r="F131" s="3" t="s">
        <v>126</v>
      </c>
      <c r="G131" s="4" t="str">
        <f>IF((IFERROR(SEARCH(K131,Rådata!$B$1000),-1)+IFERROR(SEARCH(L131,Rådata!$B$1000),-1)+IFERROR(SEARCH(M131,Rådata!$B$1000),-1)+IFERROR(SEARCH(N131,Rådata!$B$1000),-1)+IFERROR(SEARCH(O131,Rådata!$B$1000),-1))&gt;0,"-","NEJ")</f>
        <v>NEJ</v>
      </c>
      <c r="K131" s="29" t="s">
        <v>148</v>
      </c>
      <c r="L131" s="29" t="s">
        <v>189</v>
      </c>
      <c r="M131" s="29" t="s">
        <v>195</v>
      </c>
      <c r="N131" s="29" t="s">
        <v>264</v>
      </c>
      <c r="O131" s="29" t="s">
        <v>179</v>
      </c>
      <c r="S131" s="2" t="str">
        <f t="shared" si="7"/>
        <v>Desphenyl-chloridazon</v>
      </c>
      <c r="T131"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132" spans="4:20" x14ac:dyDescent="0.2">
      <c r="F132" s="3" t="s">
        <v>29</v>
      </c>
      <c r="G132" s="4" t="str">
        <f>IF((IFERROR(SEARCH(K132,Rådata!$B$1000),-1)+IFERROR(SEARCH(L132,Rådata!$B$1000),-1)+IFERROR(SEARCH(M132,Rådata!$B$1000),-1)+IFERROR(SEARCH(N132,Rådata!$B$1000),-1)+IFERROR(SEARCH(O132,Rådata!$B$1000),-1))&gt;0,"-","NEJ")</f>
        <v>NEJ</v>
      </c>
      <c r="K132" s="29" t="str">
        <f>F132</f>
        <v>Didealkyl-hydroxy-atrazin</v>
      </c>
      <c r="L132" s="29" t="s">
        <v>190</v>
      </c>
      <c r="M132" s="29" t="s">
        <v>279</v>
      </c>
      <c r="N132" s="29" t="s">
        <v>179</v>
      </c>
      <c r="O132" s="29" t="s">
        <v>179</v>
      </c>
      <c r="S132" s="2" t="str">
        <f t="shared" si="7"/>
        <v>Didealkyl-hydroxy-atrazin</v>
      </c>
      <c r="T132"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133" spans="4:20" x14ac:dyDescent="0.2">
      <c r="F133" s="3" t="s">
        <v>33</v>
      </c>
      <c r="G133" s="4" t="str">
        <f>IF((IFERROR(SEARCH(K133,Rådata!$B$1000),-1)+IFERROR(SEARCH(L133,Rådata!$B$1000),-1)+IFERROR(SEARCH(M133,Rådata!$B$1000),-1)+IFERROR(SEARCH(N133,Rådata!$B$1000),-1)+IFERROR(SEARCH(O133,Rådata!$B$1000),-1))&gt;0,"-","NEJ")</f>
        <v>NEJ</v>
      </c>
      <c r="K133" s="29" t="str">
        <f>F133</f>
        <v>Hydroxyatrazin</v>
      </c>
      <c r="L133" s="29" t="s">
        <v>179</v>
      </c>
      <c r="M133" s="29" t="s">
        <v>179</v>
      </c>
      <c r="N133" s="29" t="s">
        <v>179</v>
      </c>
      <c r="O133" s="29" t="s">
        <v>179</v>
      </c>
      <c r="S133" s="2" t="str">
        <f t="shared" si="7"/>
        <v>Hydroxyatrazin</v>
      </c>
      <c r="T133"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134" spans="4:20" x14ac:dyDescent="0.2">
      <c r="F134" s="3" t="s">
        <v>34</v>
      </c>
      <c r="G134" s="4" t="str">
        <f>IF((IFERROR(SEARCH(K134,Rådata!$B$1000),-1)+IFERROR(SEARCH(L134,Rådata!$B$1000),-1)+IFERROR(SEARCH(M134,Rådata!$B$1000),-1)+IFERROR(SEARCH(N134,Rådata!$B$1000),-1)+IFERROR(SEARCH(O134,Rådata!$B$1000),-1))&gt;0,"-","NEJ")</f>
        <v>NEJ</v>
      </c>
      <c r="K134" s="29" t="str">
        <f>F134</f>
        <v>Hydroxysimazin</v>
      </c>
      <c r="L134" s="29" t="s">
        <v>259</v>
      </c>
      <c r="M134" s="29" t="s">
        <v>179</v>
      </c>
      <c r="N134" s="29" t="s">
        <v>179</v>
      </c>
      <c r="O134" s="29" t="s">
        <v>179</v>
      </c>
      <c r="S134" s="2" t="str">
        <f t="shared" si="7"/>
        <v>Hydroxysimazin</v>
      </c>
      <c r="T134"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135" spans="4:20" x14ac:dyDescent="0.2">
      <c r="F135" s="3" t="s">
        <v>127</v>
      </c>
      <c r="G135" s="4" t="str">
        <f>IF((IFERROR(SEARCH(K135,Rådata!$B$1000),-1)+IFERROR(SEARCH(L135,Rådata!$B$1000),-1)+IFERROR(SEARCH(M135,Rådata!$B$1000),-1)+IFERROR(SEARCH(N135,Rådata!$B$1000),-1)+IFERROR(SEARCH(O135,Rådata!$B$1000),-1))&gt;0,"-","NEJ")</f>
        <v>NEJ</v>
      </c>
      <c r="K135" s="29" t="s">
        <v>147</v>
      </c>
      <c r="L135" s="29" t="s">
        <v>127</v>
      </c>
      <c r="M135" s="29" t="s">
        <v>196</v>
      </c>
      <c r="N135" s="29" t="s">
        <v>268</v>
      </c>
      <c r="O135" s="29" t="s">
        <v>179</v>
      </c>
      <c r="S135" s="2" t="str">
        <f t="shared" ref="S135:S197" si="11">IF(G135="NEJ",F135,"")</f>
        <v>Methyl-desphenyl-chloridazon</v>
      </c>
      <c r="T135"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136" spans="4:20" x14ac:dyDescent="0.2">
      <c r="F136" s="3" t="s">
        <v>38</v>
      </c>
      <c r="G136" s="4" t="str">
        <f>IF((IFERROR(SEARCH(K136,Rådata!$B$1000),-1)+IFERROR(SEARCH(L136,Rådata!$B$1000),-1)+IFERROR(SEARCH(M136,Rådata!$B$1000),-1)+IFERROR(SEARCH(N136,Rådata!$B$1000),-1)+IFERROR(SEARCH(O136,Rådata!$B$1000),-1))&gt;0,"-","NEJ")</f>
        <v>NEJ</v>
      </c>
      <c r="K136" s="29" t="str">
        <f>F136</f>
        <v>Metribuzin-desamino-diketo</v>
      </c>
      <c r="L136" s="29" t="s">
        <v>197</v>
      </c>
      <c r="M136" s="29" t="s">
        <v>255</v>
      </c>
      <c r="N136" s="29" t="s">
        <v>277</v>
      </c>
      <c r="O136" s="29" t="s">
        <v>179</v>
      </c>
      <c r="S136" s="2" t="str">
        <f t="shared" si="11"/>
        <v>Metribuzin-desamino-diketo</v>
      </c>
      <c r="T136"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137" spans="4:20" x14ac:dyDescent="0.2">
      <c r="F137" s="3" t="s">
        <v>39</v>
      </c>
      <c r="G137" s="4" t="str">
        <f>IF((IFERROR(SEARCH(K137,Rådata!$B$1000),-1)+IFERROR(SEARCH(L137,Rådata!$B$1000),-1)+IFERROR(SEARCH(M137,Rådata!$B$1000),-1)+IFERROR(SEARCH(N137,Rådata!$B$1000),-1)+IFERROR(SEARCH(O137,Rådata!$B$1000),-1))&gt;0,"-","NEJ")</f>
        <v>NEJ</v>
      </c>
      <c r="K137" s="29" t="str">
        <f>F137</f>
        <v>Metribuzin-diketo</v>
      </c>
      <c r="L137" s="29" t="s">
        <v>222</v>
      </c>
      <c r="M137" s="29" t="s">
        <v>278</v>
      </c>
      <c r="N137" s="29" t="s">
        <v>179</v>
      </c>
      <c r="O137" s="29" t="s">
        <v>179</v>
      </c>
      <c r="S137" s="2" t="str">
        <f t="shared" si="11"/>
        <v>Metribuzin-diketo</v>
      </c>
      <c r="T137"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138" spans="4:20" x14ac:dyDescent="0.2">
      <c r="D138" s="55"/>
      <c r="F138" s="3" t="s">
        <v>37</v>
      </c>
      <c r="G138" s="4" t="str">
        <f>IF((IFERROR(SEARCH(K138,Rådata!$B$1000),-1)+IFERROR(SEARCH(L138,Rådata!$B$1000),-1)+IFERROR(SEARCH(M138,Rådata!$B$1000),-1)+IFERROR(SEARCH(N138,Rådata!$B$1000),-1)+IFERROR(SEARCH(O138,Rådata!$B$1000),-1))&gt;0,"-","NEJ")</f>
        <v>NEJ</v>
      </c>
      <c r="K138" s="29" t="str">
        <f>F138</f>
        <v>Metribuzin-desamino</v>
      </c>
      <c r="L138" s="29" t="s">
        <v>271</v>
      </c>
      <c r="M138" s="29" t="s">
        <v>179</v>
      </c>
      <c r="N138" s="29" t="s">
        <v>179</v>
      </c>
      <c r="O138" s="29" t="s">
        <v>179</v>
      </c>
      <c r="S138" s="2" t="str">
        <f t="shared" si="11"/>
        <v>Metribuzin-desamino</v>
      </c>
      <c r="T138"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139" spans="4:20" x14ac:dyDescent="0.2">
      <c r="D139" s="55"/>
      <c r="F139" s="3" t="s">
        <v>128</v>
      </c>
      <c r="G139" s="4" t="str">
        <f>IF((IFERROR(SEARCH(K139,Rådata!$B$1000),-1)+IFERROR(SEARCH(L139,Rådata!$B$1000),-1)+IFERROR(SEARCH(M139,Rådata!$B$1000),-1)+IFERROR(SEARCH(N139,Rådata!$B$1000),-1)+IFERROR(SEARCH(O139,Rådata!$B$1000),-1))&gt;0,"-","NEJ")</f>
        <v>NEJ</v>
      </c>
      <c r="K139" s="29" t="str">
        <f>F139</f>
        <v>Sum af pesticider</v>
      </c>
      <c r="L139" s="29" t="s">
        <v>180</v>
      </c>
      <c r="M139" s="29" t="s">
        <v>181</v>
      </c>
      <c r="N139" s="29" t="s">
        <v>275</v>
      </c>
      <c r="O139" s="29" t="s">
        <v>179</v>
      </c>
      <c r="S139" s="2" t="str">
        <f t="shared" si="11"/>
        <v>Sum af pesticider</v>
      </c>
      <c r="T1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140" spans="4:20" x14ac:dyDescent="0.2">
      <c r="D140" s="55"/>
    </row>
    <row r="141" spans="4:20" x14ac:dyDescent="0.2">
      <c r="D141" s="55"/>
      <c r="E141" s="46" t="s">
        <v>176</v>
      </c>
      <c r="F141" s="46"/>
      <c r="G141" s="15" t="str">
        <f>IF(IFERROR(SEARCH("NEJ",CONCATENATE(" ",H143,H145,H150)),1)=1,"OK","NEJ")</f>
        <v>NEJ</v>
      </c>
      <c r="H141" t="str">
        <f>IF(G141="OK","",RIGHT(T158,LEN(T158)))</f>
        <v>Nitrit, Coliforme bakterier, E. coli, Kimtal ved 22 °C, Enterokokker, Aluminium, Arsen, Bly, Cadmium, Chrom, Kobber, Nikkel, Zink</v>
      </c>
      <c r="K141" s="31"/>
    </row>
    <row r="142" spans="4:20" x14ac:dyDescent="0.2">
      <c r="D142" s="55"/>
      <c r="F142" s="17"/>
      <c r="G142" s="5"/>
    </row>
    <row r="143" spans="4:20" x14ac:dyDescent="0.2">
      <c r="D143" s="55"/>
      <c r="E143" s="47" t="s">
        <v>63</v>
      </c>
      <c r="F143" s="47"/>
      <c r="G143" s="12"/>
      <c r="H143" s="13" t="str">
        <f>IF(IFERROR(SEARCH("NEJ"," "&amp;G144),1)=1,"OK","NEJ")</f>
        <v>NEJ</v>
      </c>
      <c r="K143" s="27"/>
    </row>
    <row r="144" spans="4:20" x14ac:dyDescent="0.2">
      <c r="D144" s="55"/>
      <c r="F144" s="7" t="s">
        <v>4</v>
      </c>
      <c r="G144" s="4" t="str">
        <f>IF((IFERROR(SEARCH(K144,Rådata!$B$1000),-1)+IFERROR(SEARCH(L144,Rådata!$B$1000),-1)+IFERROR(SEARCH(M144,Rådata!$B$1000),-1)+IFERROR(SEARCH(N144,Rådata!$B$1000),-1)+IFERROR(SEARCH(O144,Rådata!$B$1000),-1))&gt;0,"-","NEJ")</f>
        <v>NEJ</v>
      </c>
      <c r="K144" s="2" t="str">
        <f>K18</f>
        <v>Nitrit</v>
      </c>
      <c r="L144" s="2" t="str">
        <f t="shared" ref="L144:M144" si="12">L18</f>
        <v>Her kan et synonym indsættes</v>
      </c>
      <c r="M144" s="2" t="str">
        <f t="shared" si="12"/>
        <v>Her kan et synonym indsættes</v>
      </c>
      <c r="N144" s="2" t="str">
        <f t="shared" ref="N144:O144" si="13">N18</f>
        <v>Her kan et synonym indsættes</v>
      </c>
      <c r="O144" s="2" t="str">
        <f t="shared" si="13"/>
        <v>Her kan et synonym indsættes</v>
      </c>
      <c r="S144" s="2" t="str">
        <f t="shared" si="11"/>
        <v>Nitrit</v>
      </c>
      <c r="T144" t="str">
        <f>S144</f>
        <v>Nitrit</v>
      </c>
    </row>
    <row r="145" spans="4:20" x14ac:dyDescent="0.2">
      <c r="D145" s="55"/>
      <c r="E145" s="47" t="s">
        <v>150</v>
      </c>
      <c r="F145" s="47"/>
      <c r="G145" s="12"/>
      <c r="H145" s="13" t="str">
        <f>IF(IFERROR(SEARCH("NEJ",CONCATENATE(" ",G146,G147,G148,G149)),1)=1,"OK","NEJ")</f>
        <v>NEJ</v>
      </c>
      <c r="K145" s="30"/>
      <c r="L145" s="2"/>
      <c r="M145" s="2"/>
      <c r="N145" s="2"/>
      <c r="O145" s="2"/>
      <c r="T145" t="str">
        <f t="shared" si="8"/>
        <v>Nitrit</v>
      </c>
    </row>
    <row r="146" spans="4:20" x14ac:dyDescent="0.2">
      <c r="D146" s="55"/>
      <c r="F146" s="3" t="s">
        <v>58</v>
      </c>
      <c r="G146" s="4" t="str">
        <f>IF((IFERROR(SEARCH(K146,Rådata!$B$1000),-1)+IFERROR(SEARCH(L146,Rådata!$B$1000),-1)+IFERROR(SEARCH(M146,Rådata!$B$1000),-1)+IFERROR(SEARCH(N146,Rådata!$B$1000),-1)+IFERROR(SEARCH(O146,Rådata!$B$1000),-1))&gt;0,"-","NEJ")</f>
        <v>NEJ</v>
      </c>
      <c r="K146" s="2" t="str">
        <f>K15</f>
        <v>Coliforme bakterier</v>
      </c>
      <c r="L146" s="2" t="str">
        <f t="shared" ref="L146:M146" si="14">L15</f>
        <v>Coliforme bakt.</v>
      </c>
      <c r="M146" s="2" t="str">
        <f t="shared" si="14"/>
        <v>Her kan et synonym indsættes</v>
      </c>
      <c r="N146" s="2" t="str">
        <f t="shared" ref="N146:O146" si="15">N15</f>
        <v>Her kan et synonym indsættes</v>
      </c>
      <c r="O146" s="2" t="str">
        <f t="shared" si="15"/>
        <v>Her kan et synonym indsættes</v>
      </c>
      <c r="S146" s="2" t="str">
        <f t="shared" si="11"/>
        <v>Coliforme bakterier</v>
      </c>
      <c r="T146" t="str">
        <f t="shared" si="8"/>
        <v>Nitrit, Coliforme bakterier</v>
      </c>
    </row>
    <row r="147" spans="4:20" x14ac:dyDescent="0.2">
      <c r="D147" s="55"/>
      <c r="F147" s="3" t="s">
        <v>59</v>
      </c>
      <c r="G147" s="4" t="str">
        <f>IF((IFERROR(SEARCH(K147,Rådata!$B$1000),-1)+IFERROR(SEARCH(L147,Rådata!$B$1000),-1)+IFERROR(SEARCH(M147,Rådata!$B$1000),-1)+IFERROR(SEARCH(N147,Rådata!$B$1000),-1)+IFERROR(SEARCH(O147,Rådata!$B$1000),-1))&gt;0,"-","NEJ")</f>
        <v>NEJ</v>
      </c>
      <c r="K147" s="2" t="str">
        <f>K16</f>
        <v>Escherichia coli</v>
      </c>
      <c r="L147" s="2" t="str">
        <f t="shared" ref="L147" si="16">L16</f>
        <v>E. coli</v>
      </c>
      <c r="M147" s="2" t="str">
        <f>M16</f>
        <v>E.coli</v>
      </c>
      <c r="N147" s="2" t="str">
        <f>N16</f>
        <v>Her kan et synonym indsættes</v>
      </c>
      <c r="O147" s="2" t="str">
        <f>O16</f>
        <v>Her kan et synonym indsættes</v>
      </c>
      <c r="S147" s="2" t="str">
        <f t="shared" si="11"/>
        <v>E. coli</v>
      </c>
      <c r="T147" t="str">
        <f t="shared" si="8"/>
        <v>Nitrit, Coliforme bakterier, E. coli</v>
      </c>
    </row>
    <row r="148" spans="4:20" x14ac:dyDescent="0.2">
      <c r="D148" s="55"/>
      <c r="F148" s="3" t="s">
        <v>57</v>
      </c>
      <c r="G148" s="4" t="str">
        <f>IF((IFERROR(SEARCH(K148,Rådata!$B$1000),-1)+IFERROR(SEARCH(L148,Rådata!$B$1000),-1)+IFERROR(SEARCH(M148,Rådata!$B$1000),-1)+IFERROR(SEARCH(N148,Rådata!$B$1000),-1)+IFERROR(SEARCH(O148,Rådata!$B$1000),-1))&gt;0,"-","NEJ")</f>
        <v>NEJ</v>
      </c>
      <c r="K148" s="2" t="str">
        <f>K14</f>
        <v>Kimtal</v>
      </c>
      <c r="L148" s="2" t="str">
        <f t="shared" ref="L148:M148" si="17">L14</f>
        <v>Her kan et synonym indsættes</v>
      </c>
      <c r="M148" s="2" t="str">
        <f t="shared" si="17"/>
        <v>Her kan et synonym indsættes</v>
      </c>
      <c r="N148" s="2" t="str">
        <f t="shared" ref="N148:O148" si="18">N14</f>
        <v>Her kan et synonym indsættes</v>
      </c>
      <c r="O148" s="2" t="str">
        <f t="shared" si="18"/>
        <v>Her kan et synonym indsættes</v>
      </c>
      <c r="S148" s="2" t="str">
        <f t="shared" si="11"/>
        <v>Kimtal ved 22 °C</v>
      </c>
      <c r="T148" t="str">
        <f t="shared" si="8"/>
        <v>Nitrit, Coliforme bakterier, E. coli, Kimtal ved 22 °C</v>
      </c>
    </row>
    <row r="149" spans="4:20" x14ac:dyDescent="0.2">
      <c r="D149" s="55"/>
      <c r="F149" s="10" t="s">
        <v>3</v>
      </c>
      <c r="G149" s="4" t="str">
        <f>IF((IFERROR(SEARCH(K149,Rådata!$B$1000),-1)+IFERROR(SEARCH(L149,Rådata!$B$1000),-1)+IFERROR(SEARCH(M149,Rådata!$B$1000),-1)+IFERROR(SEARCH(N149,Rådata!$B$1000),-1)+IFERROR(SEARCH(O149,Rådata!$B$1000),-1))&gt;0,"-","NEJ")</f>
        <v>NEJ</v>
      </c>
      <c r="K149" s="2" t="str">
        <f>K23</f>
        <v>Enterokokker</v>
      </c>
      <c r="L149" s="2" t="str">
        <f t="shared" ref="L149:M149" si="19">L23</f>
        <v>Fækale streptokokker</v>
      </c>
      <c r="M149" s="2" t="str">
        <f t="shared" si="19"/>
        <v>Her kan et synonym indsættes</v>
      </c>
      <c r="N149" s="2" t="str">
        <f t="shared" ref="N149:O149" si="20">N23</f>
        <v>Her kan et synonym indsættes</v>
      </c>
      <c r="O149" s="2" t="str">
        <f t="shared" si="20"/>
        <v>Her kan et synonym indsættes</v>
      </c>
      <c r="S149" s="2" t="str">
        <f t="shared" si="11"/>
        <v>Enterokokker</v>
      </c>
      <c r="T149" t="str">
        <f t="shared" si="8"/>
        <v>Nitrit, Coliforme bakterier, E. coli, Kimtal ved 22 °C, Enterokokker</v>
      </c>
    </row>
    <row r="150" spans="4:20" x14ac:dyDescent="0.2">
      <c r="D150" s="55"/>
      <c r="E150" s="48" t="s">
        <v>151</v>
      </c>
      <c r="F150" s="48"/>
      <c r="G150" s="13"/>
      <c r="H150" s="13" t="str">
        <f>IF(IFERROR(SEARCH("NEJ",CONCATENATE(" ",G151,G152,G153,G154,G155,G156,G157,G158)),1)=1,"OK","NEJ")</f>
        <v>NEJ</v>
      </c>
      <c r="K150" s="2"/>
      <c r="L150" s="2"/>
      <c r="M150" s="2"/>
      <c r="N150" s="2"/>
      <c r="O150" s="2"/>
      <c r="T150" t="str">
        <f t="shared" si="8"/>
        <v>Nitrit, Coliforme bakterier, E. coli, Kimtal ved 22 °C, Enterokokker</v>
      </c>
    </row>
    <row r="151" spans="4:20" x14ac:dyDescent="0.2">
      <c r="D151" s="55"/>
      <c r="F151" s="3" t="s">
        <v>71</v>
      </c>
      <c r="G151" s="4" t="str">
        <f>IF((IFERROR(SEARCH(K151,Rådata!$B$1000),-1)+IFERROR(SEARCH(L151,Rådata!$B$1000),-1)+IFERROR(SEARCH(M151,Rådata!$B$1000),-1)+IFERROR(SEARCH(N151,Rådata!$B$1000),-1)+IFERROR(SEARCH(O151,Rådata!$B$1000),-1))&gt;0,"-","NEJ")</f>
        <v>NEJ</v>
      </c>
      <c r="K151" s="2" t="str">
        <f>K36</f>
        <v>Aluminium</v>
      </c>
      <c r="L151" s="2" t="str">
        <f t="shared" ref="L151:M151" si="21">L36</f>
        <v>Her kan et synonym indsættes</v>
      </c>
      <c r="M151" s="2" t="str">
        <f t="shared" si="21"/>
        <v>Her kan et synonym indsættes</v>
      </c>
      <c r="N151" s="2" t="str">
        <f t="shared" ref="N151:O151" si="22">N36</f>
        <v>Her kan et synonym indsættes</v>
      </c>
      <c r="O151" s="2" t="str">
        <f t="shared" si="22"/>
        <v>Her kan et synonym indsættes</v>
      </c>
      <c r="S151" s="2" t="str">
        <f t="shared" si="11"/>
        <v>Aluminium</v>
      </c>
      <c r="T151" t="str">
        <f t="shared" si="8"/>
        <v>Nitrit, Coliforme bakterier, E. coli, Kimtal ved 22 °C, Enterokokker, Aluminium</v>
      </c>
    </row>
    <row r="152" spans="4:20" x14ac:dyDescent="0.2">
      <c r="D152" s="55"/>
      <c r="F152" s="3" t="s">
        <v>73</v>
      </c>
      <c r="G152" s="4" t="str">
        <f>IF((IFERROR(SEARCH(K152,Rådata!$B$1000),-1)+IFERROR(SEARCH(L152,Rådata!$B$1000),-1)+IFERROR(SEARCH(M152,Rådata!$B$1000),-1)+IFERROR(SEARCH(N152,Rådata!$B$1000),-1)+IFERROR(SEARCH(O152,Rådata!$B$1000),-1))&gt;0,"-","NEJ")</f>
        <v>NEJ</v>
      </c>
      <c r="K152" s="2" t="str">
        <f>K38</f>
        <v>Arsen</v>
      </c>
      <c r="L152" s="2" t="str">
        <f t="shared" ref="L152:M152" si="23">L38</f>
        <v>Her kan et synonym indsættes</v>
      </c>
      <c r="M152" s="2" t="str">
        <f t="shared" si="23"/>
        <v>Her kan et synonym indsættes</v>
      </c>
      <c r="N152" s="2" t="str">
        <f t="shared" ref="N152:O152" si="24">N38</f>
        <v>Her kan et synonym indsættes</v>
      </c>
      <c r="O152" s="2" t="str">
        <f t="shared" si="24"/>
        <v>Her kan et synonym indsættes</v>
      </c>
      <c r="S152" s="2" t="str">
        <f t="shared" si="11"/>
        <v>Arsen</v>
      </c>
      <c r="T152" t="str">
        <f t="shared" si="8"/>
        <v>Nitrit, Coliforme bakterier, E. coli, Kimtal ved 22 °C, Enterokokker, Aluminium, Arsen</v>
      </c>
    </row>
    <row r="153" spans="4:20" x14ac:dyDescent="0.2">
      <c r="D153" s="55"/>
      <c r="F153" s="3" t="s">
        <v>74</v>
      </c>
      <c r="G153" s="4" t="str">
        <f>IF((IFERROR(SEARCH(K153,Rådata!$B$1000),-1)+IFERROR(SEARCH(L153,Rådata!$B$1000),-1)+IFERROR(SEARCH(M153,Rådata!$B$1000),-1)+IFERROR(SEARCH(N153,Rådata!$B$1000),-1)+IFERROR(SEARCH(O153,Rådata!$B$1000),-1))&gt;0,"-","NEJ")</f>
        <v>NEJ</v>
      </c>
      <c r="K153" s="2" t="str">
        <f>K39</f>
        <v>Bly</v>
      </c>
      <c r="L153" s="2" t="str">
        <f t="shared" ref="L153:M153" si="25">L39</f>
        <v>Her kan et synonym indsættes</v>
      </c>
      <c r="M153" s="2" t="str">
        <f t="shared" si="25"/>
        <v>Her kan et synonym indsættes</v>
      </c>
      <c r="N153" s="2" t="str">
        <f t="shared" ref="N153:O153" si="26">N39</f>
        <v>Her kan et synonym indsættes</v>
      </c>
      <c r="O153" s="2" t="str">
        <f t="shared" si="26"/>
        <v>Her kan et synonym indsættes</v>
      </c>
      <c r="S153" s="2" t="str">
        <f t="shared" si="11"/>
        <v>Bly</v>
      </c>
      <c r="T153" t="str">
        <f t="shared" si="8"/>
        <v>Nitrit, Coliforme bakterier, E. coli, Kimtal ved 22 °C, Enterokokker, Aluminium, Arsen, Bly</v>
      </c>
    </row>
    <row r="154" spans="4:20" x14ac:dyDescent="0.2">
      <c r="D154" s="55"/>
      <c r="F154" s="3" t="s">
        <v>76</v>
      </c>
      <c r="G154" s="4" t="str">
        <f>IF((IFERROR(SEARCH(K154,Rådata!$B$1000),-1)+IFERROR(SEARCH(L154,Rådata!$B$1000),-1)+IFERROR(SEARCH(M154,Rådata!$B$1000),-1)+IFERROR(SEARCH(N154,Rådata!$B$1000),-1)+IFERROR(SEARCH(O154,Rådata!$B$1000),-1))&gt;0,"-","NEJ")</f>
        <v>NEJ</v>
      </c>
      <c r="K154" s="2" t="str">
        <f>K41</f>
        <v>Cadmium</v>
      </c>
      <c r="L154" s="2" t="str">
        <f t="shared" ref="L154:M154" si="27">L41</f>
        <v>Her kan et synonym indsættes</v>
      </c>
      <c r="M154" s="2" t="str">
        <f t="shared" si="27"/>
        <v>Her kan et synonym indsættes</v>
      </c>
      <c r="N154" s="2" t="str">
        <f t="shared" ref="N154:O154" si="28">N41</f>
        <v>Her kan et synonym indsættes</v>
      </c>
      <c r="O154" s="2" t="str">
        <f t="shared" si="28"/>
        <v>Her kan et synonym indsættes</v>
      </c>
      <c r="S154" s="2" t="str">
        <f t="shared" si="11"/>
        <v>Cadmium</v>
      </c>
      <c r="T154" t="str">
        <f t="shared" ref="T154:T219" si="29">IF(S154="",T153,T153&amp;", "&amp;S154)</f>
        <v>Nitrit, Coliforme bakterier, E. coli, Kimtal ved 22 °C, Enterokokker, Aluminium, Arsen, Bly, Cadmium</v>
      </c>
    </row>
    <row r="155" spans="4:20" x14ac:dyDescent="0.2">
      <c r="D155" s="55"/>
      <c r="F155" s="3" t="s">
        <v>77</v>
      </c>
      <c r="G155" s="4" t="str">
        <f>IF((IFERROR(SEARCH(K155,Rådata!$B$1000),-1)+IFERROR(SEARCH(L155,Rådata!$B$1000),-1)+IFERROR(SEARCH(M155,Rådata!$B$1000),-1)+IFERROR(SEARCH(N155,Rådata!$B$1000),-1)+IFERROR(SEARCH(O155,Rådata!$B$1000),-1))&gt;0,"-","NEJ")</f>
        <v>NEJ</v>
      </c>
      <c r="K155" s="2" t="str">
        <f>K43</f>
        <v>Chrom</v>
      </c>
      <c r="L155" s="2" t="str">
        <f t="shared" ref="L155:M155" si="30">L43</f>
        <v>krom</v>
      </c>
      <c r="M155" s="2" t="str">
        <f t="shared" si="30"/>
        <v>Her kan et synonym indsættes</v>
      </c>
      <c r="N155" s="2" t="str">
        <f t="shared" ref="N155:O155" si="31">N43</f>
        <v>Her kan et synonym indsættes</v>
      </c>
      <c r="O155" s="2" t="str">
        <f t="shared" si="31"/>
        <v>Her kan et synonym indsættes</v>
      </c>
      <c r="S155" s="2" t="str">
        <f t="shared" si="11"/>
        <v>Chrom</v>
      </c>
      <c r="T155" t="str">
        <f t="shared" si="29"/>
        <v>Nitrit, Coliforme bakterier, E. coli, Kimtal ved 22 °C, Enterokokker, Aluminium, Arsen, Bly, Cadmium, Chrom</v>
      </c>
    </row>
    <row r="156" spans="4:20" x14ac:dyDescent="0.2">
      <c r="D156" s="55"/>
      <c r="F156" s="3" t="s">
        <v>79</v>
      </c>
      <c r="G156" s="4" t="str">
        <f>IF((IFERROR(SEARCH(K156,Rådata!$B$1000),-1)+IFERROR(SEARCH(L156,Rådata!$B$1000),-1)+IFERROR(SEARCH(M156,Rådata!$B$1000),-1)+IFERROR(SEARCH(N156,Rådata!$B$1000),-1)+IFERROR(SEARCH(O156,Rådata!$B$1000),-1))&gt;0,"-","NEJ")</f>
        <v>NEJ</v>
      </c>
      <c r="K156" s="2" t="str">
        <f>K45</f>
        <v>Kobber</v>
      </c>
      <c r="L156" s="2" t="str">
        <f t="shared" ref="L156:M156" si="32">L45</f>
        <v>Copper</v>
      </c>
      <c r="M156" s="2" t="str">
        <f t="shared" si="32"/>
        <v>Her kan et synonym indsættes</v>
      </c>
      <c r="N156" s="2" t="str">
        <f t="shared" ref="N156:O156" si="33">N45</f>
        <v>Her kan et synonym indsættes</v>
      </c>
      <c r="O156" s="2" t="str">
        <f t="shared" si="33"/>
        <v>Her kan et synonym indsættes</v>
      </c>
      <c r="S156" s="2" t="str">
        <f t="shared" si="11"/>
        <v>Kobber</v>
      </c>
      <c r="T156" t="str">
        <f t="shared" si="29"/>
        <v>Nitrit, Coliforme bakterier, E. coli, Kimtal ved 22 °C, Enterokokker, Aluminium, Arsen, Bly, Cadmium, Chrom, Kobber</v>
      </c>
    </row>
    <row r="157" spans="4:20" x14ac:dyDescent="0.2">
      <c r="D157" s="55"/>
      <c r="F157" s="3" t="s">
        <v>81</v>
      </c>
      <c r="G157" s="4" t="str">
        <f>IF((IFERROR(SEARCH(K157,Rådata!$B$1000),-1)+IFERROR(SEARCH(L157,Rådata!$B$1000),-1)+IFERROR(SEARCH(M157,Rådata!$B$1000),-1)+IFERROR(SEARCH(N157,Rådata!$B$1000),-1)+IFERROR(SEARCH(O157,Rådata!$B$1000),-1))&gt;0,"-","NEJ")</f>
        <v>NEJ</v>
      </c>
      <c r="K157" s="2" t="str">
        <f>K47</f>
        <v>Nikkel</v>
      </c>
      <c r="L157" s="2" t="str">
        <f t="shared" ref="L157:M157" si="34">L47</f>
        <v>Her kan et synonym indsættes</v>
      </c>
      <c r="M157" s="2" t="str">
        <f t="shared" si="34"/>
        <v>Her kan et synonym indsættes</v>
      </c>
      <c r="N157" s="2" t="str">
        <f t="shared" ref="N157:O157" si="35">N47</f>
        <v>Her kan et synonym indsættes</v>
      </c>
      <c r="O157" s="2" t="str">
        <f t="shared" si="35"/>
        <v>Her kan et synonym indsættes</v>
      </c>
      <c r="S157" s="2" t="str">
        <f t="shared" si="11"/>
        <v>Nikkel</v>
      </c>
      <c r="T157" t="str">
        <f t="shared" si="29"/>
        <v>Nitrit, Coliforme bakterier, E. coli, Kimtal ved 22 °C, Enterokokker, Aluminium, Arsen, Bly, Cadmium, Chrom, Kobber, Nikkel</v>
      </c>
    </row>
    <row r="158" spans="4:20" x14ac:dyDescent="0.2">
      <c r="D158" s="55"/>
      <c r="F158" s="10" t="s">
        <v>84</v>
      </c>
      <c r="G158" s="4" t="str">
        <f>IF((IFERROR(SEARCH(K158,Rådata!$B$1000),-1)+IFERROR(SEARCH(L158,Rådata!$B$1000),-1)+IFERROR(SEARCH(M158,Rådata!$B$1000),-1)+IFERROR(SEARCH(N158,Rådata!$B$1000),-1)+IFERROR(SEARCH(O158,Rådata!$B$1000),-1))&gt;0,"-","NEJ")</f>
        <v>NEJ</v>
      </c>
      <c r="K158" s="2" t="str">
        <f>K50</f>
        <v>Zink</v>
      </c>
      <c r="L158" s="2" t="str">
        <f t="shared" ref="L158:M158" si="36">L50</f>
        <v>Her kan et synonym indsættes</v>
      </c>
      <c r="M158" s="2" t="str">
        <f t="shared" si="36"/>
        <v>Her kan et synonym indsættes</v>
      </c>
      <c r="N158" s="2" t="str">
        <f t="shared" ref="N158:O158" si="37">N50</f>
        <v>Her kan et synonym indsættes</v>
      </c>
      <c r="O158" s="2" t="str">
        <f t="shared" si="37"/>
        <v>Her kan et synonym indsættes</v>
      </c>
      <c r="S158" s="2" t="str">
        <f t="shared" si="11"/>
        <v>Zink</v>
      </c>
      <c r="T158" t="str">
        <f t="shared" si="29"/>
        <v>Nitrit, Coliforme bakterier, E. coli, Kimtal ved 22 °C, Enterokokker, Aluminium, Arsen, Bly, Cadmium, Chrom, Kobber, Nikkel, Zink</v>
      </c>
    </row>
    <row r="159" spans="4:20" x14ac:dyDescent="0.2">
      <c r="D159" s="55"/>
      <c r="E159" s="45" t="s">
        <v>152</v>
      </c>
      <c r="F159" s="45"/>
      <c r="G159" s="18"/>
      <c r="H159" s="18" t="str">
        <f>IF(IFERROR(SEARCH("NEJ",CONCATENATE(" ",G160,G161,G162)),1)=1,"OK","NEJ")</f>
        <v>NEJ</v>
      </c>
      <c r="K159" s="2"/>
      <c r="L159" s="2"/>
      <c r="M159" s="2"/>
      <c r="N159" s="2"/>
      <c r="O159" s="2"/>
    </row>
    <row r="160" spans="4:20" x14ac:dyDescent="0.2">
      <c r="D160" s="55"/>
      <c r="F160" s="9" t="s">
        <v>8</v>
      </c>
      <c r="G160" s="4" t="str">
        <f>IF((IFERROR(SEARCH(K160,Rådata!$B$1000),-1)+IFERROR(SEARCH(L160,Rådata!$B$1000),-1)+IFERROR(SEARCH(M160,Rådata!$B$1000),-1)+IFERROR(SEARCH(N160,Rådata!$B$1000),-1)+IFERROR(SEARCH(O160,Rådata!$B$1000),-1))&gt;0,"-","NEJ")</f>
        <v>NEJ</v>
      </c>
      <c r="K160" s="2" t="str">
        <f>K52</f>
        <v>Acrylamid</v>
      </c>
      <c r="L160" s="2" t="str">
        <f t="shared" ref="L160:M160" si="38">L52</f>
        <v>Her kan et synonym indsættes</v>
      </c>
      <c r="M160" s="2" t="str">
        <f t="shared" si="38"/>
        <v>Her kan et synonym indsættes</v>
      </c>
      <c r="N160" s="2" t="str">
        <f t="shared" ref="N160:O160" si="39">N52</f>
        <v>Her kan et synonym indsættes</v>
      </c>
      <c r="O160" s="2" t="str">
        <f t="shared" si="39"/>
        <v>Her kan et synonym indsættes</v>
      </c>
      <c r="S160" s="33"/>
    </row>
    <row r="161" spans="4:19" x14ac:dyDescent="0.2">
      <c r="D161" s="55"/>
      <c r="F161" s="3" t="s">
        <v>9</v>
      </c>
      <c r="G161" s="4" t="str">
        <f>IF((IFERROR(SEARCH(K161,Rådata!$B$1000),-1)+IFERROR(SEARCH(L161,Rådata!$B$1000),-1)+IFERROR(SEARCH(M161,Rådata!$B$1000),-1)+IFERROR(SEARCH(N161,Rådata!$B$1000),-1)+IFERROR(SEARCH(O161,Rådata!$B$1000),-1))&gt;0,"-","NEJ")</f>
        <v>NEJ</v>
      </c>
      <c r="K161" s="2" t="str">
        <f>K53</f>
        <v>Epichlorhydrin</v>
      </c>
      <c r="L161" s="2" t="str">
        <f t="shared" ref="L161:O162" si="40">L53</f>
        <v>Her kan et synonym indsættes</v>
      </c>
      <c r="M161" s="2" t="str">
        <f t="shared" si="40"/>
        <v>Her kan et synonym indsættes</v>
      </c>
      <c r="N161" s="2" t="str">
        <f t="shared" si="40"/>
        <v>Her kan et synonym indsættes</v>
      </c>
      <c r="O161" s="2" t="str">
        <f t="shared" si="40"/>
        <v>Her kan et synonym indsættes</v>
      </c>
      <c r="S161" s="33"/>
    </row>
    <row r="162" spans="4:19" x14ac:dyDescent="0.2">
      <c r="D162" s="55"/>
      <c r="F162" s="10" t="s">
        <v>41</v>
      </c>
      <c r="G162" s="4" t="str">
        <f>IF((IFERROR(SEARCH(K162,Rådata!$B$1000),-1)+IFERROR(SEARCH(L162,Rådata!$B$1000),-1)+IFERROR(SEARCH(M162,Rådata!$B$1000),-1)+IFERROR(SEARCH(N162,Rådata!$B$1000),-1)+IFERROR(SEARCH(O162,Rådata!$B$1000),-1))&gt;0,"-","NEJ")</f>
        <v>NEJ</v>
      </c>
      <c r="K162" s="2" t="str">
        <f>K54</f>
        <v>Vinylchlorid</v>
      </c>
      <c r="L162" s="2" t="str">
        <f t="shared" si="40"/>
        <v>Her kan et synonym indsættes</v>
      </c>
      <c r="M162" s="2" t="str">
        <f t="shared" si="40"/>
        <v>Her kan et synonym indsættes</v>
      </c>
      <c r="N162" s="2" t="str">
        <f t="shared" si="40"/>
        <v>Her kan et synonym indsættes</v>
      </c>
      <c r="O162" s="2" t="str">
        <f t="shared" si="40"/>
        <v>Her kan et synonym indsættes</v>
      </c>
      <c r="S162" s="33"/>
    </row>
    <row r="163" spans="4:19" x14ac:dyDescent="0.2">
      <c r="D163" s="55"/>
      <c r="E163" s="45" t="s">
        <v>182</v>
      </c>
      <c r="F163" s="45"/>
      <c r="G163" s="18"/>
      <c r="H163" s="18" t="str">
        <f>IF(IFERROR(SEARCH("NEJ",CONCATENATE(" ",G164,G165,G166,G167,G168,G169,G170,G171,G172,G173,G174,G175)),1)=1,"OK","NEJ")</f>
        <v>NEJ</v>
      </c>
      <c r="K163" s="2"/>
      <c r="L163" s="2"/>
      <c r="M163" s="2"/>
      <c r="N163" s="2"/>
      <c r="O163" s="2"/>
    </row>
    <row r="164" spans="4:19" x14ac:dyDescent="0.2">
      <c r="D164" s="55"/>
      <c r="F164" s="9" t="s">
        <v>42</v>
      </c>
      <c r="G164" s="4" t="str">
        <f>IF((IFERROR(SEARCH(K164,Rådata!$B$1000),-1)+IFERROR(SEARCH(L164,Rådata!$B$1000),-1)+IFERROR(SEARCH(M164,Rådata!$B$1000),-1)+IFERROR(SEARCH(N164,Rådata!$B$1000),-1)+IFERROR(SEARCH(O164,Rådata!$B$1000),-1))&gt;0,"-","NEJ")</f>
        <v>NEJ</v>
      </c>
      <c r="K164" s="2" t="str">
        <f t="shared" ref="K164:K175" si="41">K58</f>
        <v>Dichlormethan</v>
      </c>
      <c r="L164" s="2" t="str">
        <f t="shared" ref="L164:M164" si="42">L58</f>
        <v>Dichlormetan</v>
      </c>
      <c r="M164" s="2" t="str">
        <f t="shared" si="42"/>
        <v>Her kan et synonym indsættes</v>
      </c>
      <c r="N164" s="2" t="str">
        <f t="shared" ref="N164:O164" si="43">N58</f>
        <v>Her kan et synonym indsættes</v>
      </c>
      <c r="O164" s="2" t="str">
        <f t="shared" si="43"/>
        <v>Her kan et synonym indsættes</v>
      </c>
      <c r="S164" s="33"/>
    </row>
    <row r="165" spans="4:19" x14ac:dyDescent="0.2">
      <c r="D165" s="55"/>
      <c r="F165" s="3" t="s">
        <v>92</v>
      </c>
      <c r="G165" s="4" t="str">
        <f>IF((IFERROR(SEARCH(K165,Rådata!$B$1000),-1)+IFERROR(SEARCH(L165,Rådata!$B$1000),-1)+IFERROR(SEARCH(M165,Rådata!$B$1000),-1)+IFERROR(SEARCH(N165,Rådata!$B$1000),-1)+IFERROR(SEARCH(O165,Rådata!$B$1000),-1))&gt;0,"-","NEJ")</f>
        <v>NEJ</v>
      </c>
      <c r="K165" s="2" t="str">
        <f t="shared" si="41"/>
        <v>Trichlormethan</v>
      </c>
      <c r="L165" s="2" t="str">
        <f t="shared" ref="L165:M175" si="44">L59</f>
        <v>Chloroform</v>
      </c>
      <c r="M165" s="2" t="str">
        <f t="shared" si="44"/>
        <v>Her kan et synonym indsættes</v>
      </c>
      <c r="N165" s="2" t="str">
        <f t="shared" ref="N165:O165" si="45">N59</f>
        <v>Her kan et synonym indsættes</v>
      </c>
      <c r="O165" s="2" t="str">
        <f t="shared" si="45"/>
        <v>Her kan et synonym indsættes</v>
      </c>
      <c r="S165" s="33"/>
    </row>
    <row r="166" spans="4:19" x14ac:dyDescent="0.2">
      <c r="D166" s="55"/>
      <c r="F166" s="3" t="s">
        <v>44</v>
      </c>
      <c r="G166" s="4" t="str">
        <f>IF((IFERROR(SEARCH(K166,Rådata!$B$1000),-1)+IFERROR(SEARCH(L166,Rådata!$B$1000),-1)+IFERROR(SEARCH(M166,Rådata!$B$1000),-1)+IFERROR(SEARCH(N166,Rådata!$B$1000),-1)+IFERROR(SEARCH(O166,Rådata!$B$1000),-1))&gt;0,"-","NEJ")</f>
        <v>NEJ</v>
      </c>
      <c r="K166" s="2" t="str">
        <f t="shared" si="41"/>
        <v>1,2-dichlorethan</v>
      </c>
      <c r="L166" s="2" t="str">
        <f t="shared" si="44"/>
        <v>Her kan et synonym indsættes</v>
      </c>
      <c r="M166" s="2" t="str">
        <f t="shared" si="44"/>
        <v>Her kan et synonym indsættes</v>
      </c>
      <c r="N166" s="2" t="str">
        <f t="shared" ref="N166:O166" si="46">N60</f>
        <v>Her kan et synonym indsættes</v>
      </c>
      <c r="O166" s="2" t="str">
        <f t="shared" si="46"/>
        <v>Her kan et synonym indsættes</v>
      </c>
      <c r="S166" s="33"/>
    </row>
    <row r="167" spans="4:19" x14ac:dyDescent="0.2">
      <c r="D167" s="55"/>
      <c r="F167" s="3" t="s">
        <v>47</v>
      </c>
      <c r="G167" s="4" t="str">
        <f>IF((IFERROR(SEARCH(K167,Rådata!$B$1000),-1)+IFERROR(SEARCH(L167,Rådata!$B$1000),-1)+IFERROR(SEARCH(M167,Rådata!$B$1000),-1)+IFERROR(SEARCH(N167,Rådata!$B$1000),-1)+IFERROR(SEARCH(O167,Rådata!$B$1000),-1))&gt;0,"-","NEJ")</f>
        <v>NEJ</v>
      </c>
      <c r="K167" s="2" t="str">
        <f t="shared" si="41"/>
        <v>Trichlorethen</v>
      </c>
      <c r="L167" s="2" t="str">
        <f t="shared" si="44"/>
        <v>Trichlorethylen</v>
      </c>
      <c r="M167" s="2" t="str">
        <f t="shared" si="44"/>
        <v>Her kan et synonym indsættes</v>
      </c>
      <c r="N167" s="2" t="str">
        <f t="shared" ref="N167:O167" si="47">N61</f>
        <v>Her kan et synonym indsættes</v>
      </c>
      <c r="O167" s="2" t="str">
        <f t="shared" si="47"/>
        <v>Her kan et synonym indsættes</v>
      </c>
      <c r="S167" s="33"/>
    </row>
    <row r="168" spans="4:19" x14ac:dyDescent="0.2">
      <c r="D168" s="55"/>
      <c r="F168" s="3" t="s">
        <v>50</v>
      </c>
      <c r="G168" s="4" t="str">
        <f>IF((IFERROR(SEARCH(K168,Rådata!$B$1000),-1)+IFERROR(SEARCH(L168,Rådata!$B$1000),-1)+IFERROR(SEARCH(M168,Rådata!$B$1000),-1)+IFERROR(SEARCH(N168,Rådata!$B$1000),-1)+IFERROR(SEARCH(O168,Rådata!$B$1000),-1))&gt;0,"-","NEJ")</f>
        <v>NEJ</v>
      </c>
      <c r="K168" s="2" t="str">
        <f t="shared" si="41"/>
        <v>Tetrachlorethen</v>
      </c>
      <c r="L168" s="2" t="str">
        <f t="shared" si="44"/>
        <v>Tetrachlorethylen</v>
      </c>
      <c r="M168" s="2" t="str">
        <f t="shared" si="44"/>
        <v>Her kan et synonym indsættes</v>
      </c>
      <c r="N168" s="2" t="str">
        <f t="shared" ref="N168:O168" si="48">N62</f>
        <v>Her kan et synonym indsættes</v>
      </c>
      <c r="O168" s="2" t="str">
        <f t="shared" si="48"/>
        <v>Her kan et synonym indsættes</v>
      </c>
      <c r="S168" s="33"/>
    </row>
    <row r="169" spans="4:19" x14ac:dyDescent="0.2">
      <c r="D169" s="55"/>
      <c r="F169" s="3" t="s">
        <v>43</v>
      </c>
      <c r="G169" s="4" t="str">
        <f>IF((IFERROR(SEARCH(K169,Rådata!$B$1000),-1)+IFERROR(SEARCH(L169,Rådata!$B$1000),-1)+IFERROR(SEARCH(M169,Rådata!$B$1000),-1)+IFERROR(SEARCH(N169,Rådata!$B$1000),-1)+IFERROR(SEARCH(O169,Rådata!$B$1000),-1))&gt;0,"-","NEJ")</f>
        <v>NEJ</v>
      </c>
      <c r="K169" s="2" t="str">
        <f t="shared" si="41"/>
        <v>1,1-dichlorethen</v>
      </c>
      <c r="L169" s="2" t="str">
        <f t="shared" si="44"/>
        <v>1,1-dichlorethylen</v>
      </c>
      <c r="M169" s="2" t="str">
        <f t="shared" si="44"/>
        <v>Her kan et synonym indsættes</v>
      </c>
      <c r="N169" s="2" t="str">
        <f t="shared" ref="N169:O169" si="49">N63</f>
        <v>Her kan et synonym indsættes</v>
      </c>
      <c r="O169" s="2" t="str">
        <f t="shared" si="49"/>
        <v>Her kan et synonym indsættes</v>
      </c>
      <c r="S169" s="33"/>
    </row>
    <row r="170" spans="4:19" x14ac:dyDescent="0.2">
      <c r="D170" s="55"/>
      <c r="F170" s="3" t="s">
        <v>231</v>
      </c>
      <c r="G170" s="4" t="str">
        <f>IF((IFERROR(SEARCH(K170,Rådata!$B$1000),-1)+IFERROR(SEARCH(L170,Rådata!$B$1000),-1)+IFERROR(SEARCH(M170,Rådata!$B$1000),-1)+IFERROR(SEARCH(N170,Rådata!$B$1000),-1)+IFERROR(SEARCH(O170,Rådata!$B$1000),-1))&gt;0,"-","NEJ")</f>
        <v>NEJ</v>
      </c>
      <c r="K170" s="2" t="str">
        <f t="shared" si="41"/>
        <v>Cis-1,2-dichlorethen</v>
      </c>
      <c r="L170" s="2" t="str">
        <f t="shared" si="44"/>
        <v>cis-1,2-dichlorethylen</v>
      </c>
      <c r="M170" s="2" t="str">
        <f t="shared" si="44"/>
        <v>Cis-1,2-dichloreth</v>
      </c>
      <c r="N170" s="2" t="str">
        <f t="shared" ref="N170:O170" si="50">N64</f>
        <v>Her kan et synonym indsættes</v>
      </c>
      <c r="O170" s="2" t="str">
        <f t="shared" si="50"/>
        <v>Her kan et synonym indsættes</v>
      </c>
      <c r="S170" s="33"/>
    </row>
    <row r="171" spans="4:19" x14ac:dyDescent="0.2">
      <c r="D171" s="55"/>
      <c r="F171" s="3" t="s">
        <v>93</v>
      </c>
      <c r="G171" s="4" t="str">
        <f>IF((IFERROR(SEARCH(K171,Rådata!$B$1000),-1)+IFERROR(SEARCH(L171,Rådata!$B$1000),-1)+IFERROR(SEARCH(M171,Rådata!$B$1000),-1)+IFERROR(SEARCH(N171,Rådata!$B$1000),-1)+IFERROR(SEARCH(O171,Rådata!$B$1000),-1))&gt;0,"-","NEJ")</f>
        <v>NEJ</v>
      </c>
      <c r="K171" s="2" t="str">
        <f t="shared" si="41"/>
        <v>Trans-1,2-dichlorethen</v>
      </c>
      <c r="L171" s="2" t="str">
        <f t="shared" si="44"/>
        <v>Trans-1,2-dichlorethylen</v>
      </c>
      <c r="M171" s="2" t="str">
        <f t="shared" si="44"/>
        <v>Trans-1,2-dichloreth</v>
      </c>
      <c r="N171" s="2" t="str">
        <f t="shared" ref="N171:O171" si="51">N65</f>
        <v>Her kan et synonym indsættes</v>
      </c>
      <c r="O171" s="2" t="str">
        <f t="shared" si="51"/>
        <v>Her kan et synonym indsættes</v>
      </c>
      <c r="S171" s="33"/>
    </row>
    <row r="172" spans="4:19" x14ac:dyDescent="0.2">
      <c r="D172" s="55"/>
      <c r="F172" s="3" t="s">
        <v>45</v>
      </c>
      <c r="G172" s="4" t="str">
        <f>IF((IFERROR(SEARCH(K172,Rådata!$B$1000),-1)+IFERROR(SEARCH(L172,Rådata!$B$1000),-1)+IFERROR(SEARCH(M172,Rådata!$B$1000),-1)+IFERROR(SEARCH(N172,Rådata!$B$1000),-1)+IFERROR(SEARCH(O172,Rådata!$B$1000),-1))&gt;0,"-","NEJ")</f>
        <v>NEJ</v>
      </c>
      <c r="K172" s="2" t="str">
        <f t="shared" si="41"/>
        <v>1,1,1-trichlorethan</v>
      </c>
      <c r="L172" s="2" t="str">
        <f t="shared" si="44"/>
        <v>Her kan et synonym indsættes</v>
      </c>
      <c r="M172" s="2" t="str">
        <f t="shared" si="44"/>
        <v>Her kan et synonym indsættes</v>
      </c>
      <c r="N172" s="2" t="str">
        <f t="shared" ref="N172:O172" si="52">N66</f>
        <v>Her kan et synonym indsættes</v>
      </c>
      <c r="O172" s="2" t="str">
        <f t="shared" si="52"/>
        <v>Her kan et synonym indsættes</v>
      </c>
      <c r="S172" s="33"/>
    </row>
    <row r="173" spans="4:19" x14ac:dyDescent="0.2">
      <c r="D173" s="55"/>
      <c r="F173" s="3" t="s">
        <v>46</v>
      </c>
      <c r="G173" s="4" t="str">
        <f>IF((IFERROR(SEARCH(K173,Rådata!$B$1000),-1)+IFERROR(SEARCH(L173,Rådata!$B$1000),-1)+IFERROR(SEARCH(M173,Rådata!$B$1000),-1)+IFERROR(SEARCH(N173,Rådata!$B$1000),-1)+IFERROR(SEARCH(O173,Rådata!$B$1000),-1))&gt;0,"-","NEJ")</f>
        <v>NEJ</v>
      </c>
      <c r="K173" s="2" t="str">
        <f t="shared" si="41"/>
        <v>1,1,2-trichlorethan</v>
      </c>
      <c r="L173" s="2" t="str">
        <f t="shared" si="44"/>
        <v>Her kan et synonym indsættes</v>
      </c>
      <c r="M173" s="2" t="str">
        <f t="shared" si="44"/>
        <v>Her kan et synonym indsættes</v>
      </c>
      <c r="N173" s="2" t="str">
        <f t="shared" ref="N173:O173" si="53">N67</f>
        <v>Her kan et synonym indsættes</v>
      </c>
      <c r="O173" s="2" t="str">
        <f t="shared" si="53"/>
        <v>Her kan et synonym indsættes</v>
      </c>
      <c r="S173" s="33"/>
    </row>
    <row r="174" spans="4:19" x14ac:dyDescent="0.2">
      <c r="D174" s="55"/>
      <c r="F174" s="3" t="s">
        <v>49</v>
      </c>
      <c r="G174" s="4" t="str">
        <f>IF((IFERROR(SEARCH(K174,Rådata!$B$1000),-1)+IFERROR(SEARCH(L174,Rådata!$B$1000),-1)+IFERROR(SEARCH(M174,Rådata!$B$1000),-1)+IFERROR(SEARCH(N174,Rådata!$B$1000),-1)+IFERROR(SEARCH(O174,Rådata!$B$1000),-1))&gt;0,"-","NEJ")</f>
        <v>NEJ</v>
      </c>
      <c r="K174" s="2" t="str">
        <f t="shared" si="41"/>
        <v>1,1,2,2-tetrachlorethan</v>
      </c>
      <c r="L174" s="2" t="str">
        <f t="shared" si="44"/>
        <v>Her kan et synonym indsættes</v>
      </c>
      <c r="M174" s="2" t="str">
        <f t="shared" si="44"/>
        <v>Her kan et synonym indsættes</v>
      </c>
      <c r="N174" s="2" t="str">
        <f t="shared" ref="N174:O174" si="54">N68</f>
        <v>Her kan et synonym indsættes</v>
      </c>
      <c r="O174" s="2" t="str">
        <f t="shared" si="54"/>
        <v>Her kan et synonym indsættes</v>
      </c>
      <c r="S174" s="33"/>
    </row>
    <row r="175" spans="4:19" x14ac:dyDescent="0.2">
      <c r="D175" s="55"/>
      <c r="F175" s="10" t="s">
        <v>48</v>
      </c>
      <c r="G175" s="4" t="str">
        <f>IF((IFERROR(SEARCH(K175,Rådata!$B$1000),-1)+IFERROR(SEARCH(L175,Rådata!$B$1000),-1)+IFERROR(SEARCH(M175,Rådata!$B$1000),-1)+IFERROR(SEARCH(N175,Rådata!$B$1000),-1)+IFERROR(SEARCH(O175,Rådata!$B$1000),-1))&gt;0,"-","NEJ")</f>
        <v>NEJ</v>
      </c>
      <c r="K175" s="2" t="str">
        <f t="shared" si="41"/>
        <v>1,1,1,2-tetrachlorethan</v>
      </c>
      <c r="L175" s="2" t="str">
        <f t="shared" si="44"/>
        <v>Her kan et synonym indsættes</v>
      </c>
      <c r="M175" s="2" t="str">
        <f t="shared" si="44"/>
        <v>Her kan et synonym indsættes</v>
      </c>
      <c r="N175" s="2" t="str">
        <f t="shared" ref="N175:O175" si="55">N69</f>
        <v>Her kan et synonym indsættes</v>
      </c>
      <c r="O175" s="2" t="str">
        <f t="shared" si="55"/>
        <v>Her kan et synonym indsættes</v>
      </c>
      <c r="S175" s="33"/>
    </row>
    <row r="176" spans="4:19" x14ac:dyDescent="0.2">
      <c r="D176" s="55"/>
      <c r="E176" s="45" t="s">
        <v>153</v>
      </c>
      <c r="F176" s="45"/>
      <c r="G176" s="18"/>
      <c r="H176" s="18" t="str">
        <f>IF(IFERROR(SEARCH("NEJ"," "&amp;G177),1)=1,"OK","NEJ")</f>
        <v>NEJ</v>
      </c>
      <c r="K176" s="2"/>
      <c r="L176" s="2"/>
      <c r="M176" s="2"/>
      <c r="N176" s="2"/>
      <c r="O176" s="2"/>
    </row>
    <row r="177" spans="4:20" x14ac:dyDescent="0.2">
      <c r="D177" s="55"/>
      <c r="F177" s="7" t="s">
        <v>10</v>
      </c>
      <c r="G177" s="4" t="str">
        <f>IF((IFERROR(SEARCH(K177,Rådata!$B$1000),-1)+IFERROR(SEARCH(L177,Rådata!$B$1000),-1)+IFERROR(SEARCH(M177,Rådata!$B$1000),-1)+IFERROR(SEARCH(N177,Rådata!$B$1000),-1)+IFERROR(SEARCH(O177,Rådata!$B$1000),-1))&gt;0,"-","NEJ")</f>
        <v>NEJ</v>
      </c>
      <c r="K177" s="2" t="str">
        <f>K71</f>
        <v>Benzen</v>
      </c>
      <c r="L177" s="2" t="str">
        <f t="shared" ref="L177:M177" si="56">L71</f>
        <v>Her kan et synonym indsættes</v>
      </c>
      <c r="M177" s="2" t="str">
        <f t="shared" si="56"/>
        <v>Her kan et synonym indsættes</v>
      </c>
      <c r="N177" s="2" t="str">
        <f t="shared" ref="N177:O177" si="57">N71</f>
        <v>Her kan et synonym indsættes</v>
      </c>
      <c r="O177" s="2" t="str">
        <f t="shared" si="57"/>
        <v>Her kan et synonym indsættes</v>
      </c>
      <c r="S177" s="33"/>
    </row>
    <row r="178" spans="4:20" x14ac:dyDescent="0.2">
      <c r="D178" s="55"/>
      <c r="E178" s="45" t="s">
        <v>154</v>
      </c>
      <c r="F178" s="45"/>
      <c r="G178" s="18"/>
      <c r="H178" s="18" t="str">
        <f>IF(IFERROR(SEARCH("NEJ",CONCATENATE(" ",G179,G180,G181,G182,G183,G184)),1)=1,"OK","NEJ")</f>
        <v>NEJ</v>
      </c>
      <c r="K178" s="2"/>
      <c r="L178" s="2"/>
      <c r="M178" s="2"/>
      <c r="N178" s="2"/>
      <c r="O178" s="2"/>
    </row>
    <row r="179" spans="4:20" x14ac:dyDescent="0.2">
      <c r="D179" s="55"/>
      <c r="F179" s="9" t="s">
        <v>12</v>
      </c>
      <c r="G179" s="4" t="str">
        <f>IF((IFERROR(SEARCH(K179,Rådata!$B$1000),-1)+IFERROR(SEARCH(L179,Rådata!$B$1000),-1)+IFERROR(SEARCH(M179,Rådata!$B$1000),-1)+IFERROR(SEARCH(N179,Rådata!$B$1000),-1)+IFERROR(SEARCH(O179,Rådata!$B$1000),-1))&gt;0,"-","NEJ")</f>
        <v>NEJ</v>
      </c>
      <c r="K179" s="2" t="str">
        <f t="shared" ref="K179:K184" si="58">K73</f>
        <v>Benzo(a)pyren</v>
      </c>
      <c r="L179" s="2" t="str">
        <f t="shared" ref="L179:M179" si="59">L73</f>
        <v>Benz[a]pyren</v>
      </c>
      <c r="M179" s="2" t="str">
        <f t="shared" si="59"/>
        <v>Her kan et synonym indsættes</v>
      </c>
      <c r="N179" s="2" t="str">
        <f t="shared" ref="N179:O179" si="60">N73</f>
        <v>Her kan et synonym indsættes</v>
      </c>
      <c r="O179" s="2" t="str">
        <f t="shared" si="60"/>
        <v>Her kan et synonym indsættes</v>
      </c>
      <c r="S179" s="33"/>
    </row>
    <row r="180" spans="4:20" x14ac:dyDescent="0.2">
      <c r="D180" s="55"/>
      <c r="F180" s="3" t="s">
        <v>11</v>
      </c>
      <c r="G180" s="4" t="str">
        <f>IF((IFERROR(SEARCH(K180,Rådata!$B$1000),-1)+IFERROR(SEARCH(L180,Rådata!$B$1000),-1)+IFERROR(SEARCH(M180,Rådata!$B$1000),-1)+IFERROR(SEARCH(N180,Rådata!$B$1000),-1)+IFERROR(SEARCH(O180,Rådata!$B$1000),-1))&gt;0,"-","NEJ")</f>
        <v>NEJ</v>
      </c>
      <c r="K180" s="2" t="str">
        <f t="shared" si="58"/>
        <v>Fluoranthen</v>
      </c>
      <c r="L180" s="2" t="str">
        <f t="shared" ref="L180:M184" si="61">L74</f>
        <v>Her kan et synonym indsættes</v>
      </c>
      <c r="M180" s="2" t="str">
        <f t="shared" si="61"/>
        <v>Her kan et synonym indsættes</v>
      </c>
      <c r="N180" s="2" t="str">
        <f t="shared" ref="N180:O180" si="62">N74</f>
        <v>Her kan et synonym indsættes</v>
      </c>
      <c r="O180" s="2" t="str">
        <f t="shared" si="62"/>
        <v>Her kan et synonym indsættes</v>
      </c>
      <c r="S180" s="33"/>
    </row>
    <row r="181" spans="4:20" x14ac:dyDescent="0.2">
      <c r="D181" s="55"/>
      <c r="F181" s="3" t="s">
        <v>232</v>
      </c>
      <c r="G181" s="4" t="str">
        <f>IF((IFERROR(SEARCH(K181,Rådata!$B$1000),-1)+IFERROR(SEARCH(L181,Rådata!$B$1000),-1)+IFERROR(SEARCH(M181,Rådata!$B$1000),-1)+IFERROR(SEARCH(N181,Rådata!$B$1000),-1)+IFERROR(SEARCH(O181,Rådata!$B$1000),-1))&gt;0,"-","NEJ")</f>
        <v>NEJ</v>
      </c>
      <c r="K181" s="2" t="str">
        <f t="shared" si="58"/>
        <v>Benzo(b)fluoranthen</v>
      </c>
      <c r="L181" s="2" t="str">
        <f t="shared" si="61"/>
        <v>Benzo(b+j+k)fluoranthen</v>
      </c>
      <c r="M181" s="2" t="str">
        <f t="shared" si="61"/>
        <v>Benz(b)fluoranthen</v>
      </c>
      <c r="N181" s="2" t="str">
        <f t="shared" ref="N181:O181" si="63">N75</f>
        <v>Her kan et synonym indsættes</v>
      </c>
      <c r="O181" s="2" t="str">
        <f t="shared" si="63"/>
        <v>Her kan et synonym indsættes</v>
      </c>
      <c r="S181" s="33"/>
    </row>
    <row r="182" spans="4:20" x14ac:dyDescent="0.2">
      <c r="D182" s="55"/>
      <c r="F182" s="3" t="s">
        <v>233</v>
      </c>
      <c r="G182" s="4" t="str">
        <f>IF((IFERROR(SEARCH(K182,Rådata!$B$1000),-1)+IFERROR(SEARCH(L182,Rådata!$B$1000),-1)+IFERROR(SEARCH(M182,Rådata!$B$1000),-1)+IFERROR(SEARCH(N182,Rådata!$B$1000),-1)+IFERROR(SEARCH(O182,Rådata!$B$1000),-1))&gt;0,"-","NEJ")</f>
        <v>NEJ</v>
      </c>
      <c r="K182" s="2" t="str">
        <f t="shared" si="58"/>
        <v>Benzo(k)fluoranthen</v>
      </c>
      <c r="L182" s="2" t="str">
        <f t="shared" si="61"/>
        <v>Benzo(b+j+k)fluoranthen</v>
      </c>
      <c r="M182" s="2" t="str">
        <f t="shared" si="61"/>
        <v>Benz(k)fluoranthen</v>
      </c>
      <c r="N182" s="2" t="str">
        <f t="shared" ref="N182:O182" si="64">N76</f>
        <v>Her kan et synonym indsættes</v>
      </c>
      <c r="O182" s="2" t="str">
        <f t="shared" si="64"/>
        <v>Her kan et synonym indsættes</v>
      </c>
      <c r="S182" s="33"/>
    </row>
    <row r="183" spans="4:20" x14ac:dyDescent="0.2">
      <c r="D183" s="55"/>
      <c r="F183" s="3" t="s">
        <v>234</v>
      </c>
      <c r="G183" s="4" t="str">
        <f>IF((IFERROR(SEARCH(K183,Rådata!$B$1000),-1)+IFERROR(SEARCH(L183,Rådata!$B$1000),-1)+IFERROR(SEARCH(M183,Rådata!$B$1000),-1)+IFERROR(SEARCH(N183,Rådata!$B$1000),-1)+IFERROR(SEARCH(O183,Rådata!$B$1000),-1))&gt;0,"-","NEJ")</f>
        <v>NEJ</v>
      </c>
      <c r="K183" s="2" t="str">
        <f t="shared" si="58"/>
        <v>benzo(g,h,i)perylen</v>
      </c>
      <c r="L183" s="2" t="str">
        <f t="shared" si="61"/>
        <v>Her kan et synonym indsættes</v>
      </c>
      <c r="M183" s="2" t="str">
        <f t="shared" si="61"/>
        <v>benz(ghi)perylen</v>
      </c>
      <c r="N183" s="2" t="str">
        <f t="shared" ref="N183:O183" si="65">N77</f>
        <v>Her kan et synonym indsættes</v>
      </c>
      <c r="O183" s="2" t="str">
        <f t="shared" si="65"/>
        <v>Her kan et synonym indsættes</v>
      </c>
      <c r="S183" s="33"/>
    </row>
    <row r="184" spans="4:20" x14ac:dyDescent="0.2">
      <c r="D184" s="55"/>
      <c r="F184" s="3" t="s">
        <v>235</v>
      </c>
      <c r="G184" s="4" t="str">
        <f>IF((IFERROR(SEARCH(K184,Rådata!$B$1000),-1)+IFERROR(SEARCH(L184,Rådata!$B$1000),-1)+IFERROR(SEARCH(M184,Rådata!$B$1000),-1)+IFERROR(SEARCH(N184,Rådata!$B$1000),-1)+IFERROR(SEARCH(O184,Rådata!$B$1000),-1))&gt;0,"-","NEJ")</f>
        <v>NEJ</v>
      </c>
      <c r="K184" s="2" t="str">
        <f t="shared" si="58"/>
        <v>Indeno(1,2,3-cd)pyren</v>
      </c>
      <c r="L184" s="2" t="str">
        <f t="shared" si="61"/>
        <v>Her kan et synonym indsættes</v>
      </c>
      <c r="M184" s="2" t="str">
        <f t="shared" si="61"/>
        <v>Her kan et synonym indsættes</v>
      </c>
      <c r="N184" s="2" t="str">
        <f t="shared" ref="N184:O184" si="66">N78</f>
        <v>Her kan et synonym indsættes</v>
      </c>
      <c r="O184" s="2" t="str">
        <f t="shared" si="66"/>
        <v>Her kan et synonym indsættes</v>
      </c>
      <c r="S184" s="33"/>
    </row>
    <row r="185" spans="4:20" x14ac:dyDescent="0.2">
      <c r="D185" s="55"/>
      <c r="S185" t="str">
        <f t="shared" si="11"/>
        <v/>
      </c>
    </row>
    <row r="186" spans="4:20" x14ac:dyDescent="0.2">
      <c r="D186" s="55"/>
      <c r="E186" s="46" t="s">
        <v>175</v>
      </c>
      <c r="F186" s="46"/>
      <c r="G186" s="15" t="str">
        <f>IF(IFERROR(SEARCH("NEJ",CONCATENATE(" ",H188,H193,H209,H214,H232)),1)=1,"OK","NEJ")</f>
        <v>NEJ</v>
      </c>
      <c r="H186" t="str">
        <f>IF(G186="OK","",RIGHT(T258,LEN(T258)))</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86" s="31"/>
    </row>
    <row r="187" spans="4:20" x14ac:dyDescent="0.2">
      <c r="D187" s="55"/>
      <c r="F187" s="17"/>
      <c r="G187" s="8"/>
    </row>
    <row r="188" spans="4:20" x14ac:dyDescent="0.2">
      <c r="D188" s="55"/>
      <c r="E188" s="48" t="s">
        <v>62</v>
      </c>
      <c r="F188" s="48"/>
      <c r="G188" s="14"/>
      <c r="H188" s="13" t="str">
        <f>IF(IFERROR(SEARCH("NEJ",CONCATENATE(" ",G189,G190,G191,G192)),1)=1,"OK","NEJ")</f>
        <v>NEJ</v>
      </c>
    </row>
    <row r="189" spans="4:20" x14ac:dyDescent="0.2">
      <c r="D189" s="55"/>
      <c r="F189" s="9" t="s">
        <v>58</v>
      </c>
      <c r="G189" s="4" t="str">
        <f>IF((IFERROR(SEARCH(K189,Rådata!$B$1000),-1)+IFERROR(SEARCH(L189,Rådata!$B$1000),-1)+IFERROR(SEARCH(M189,Rådata!$B$1000),-1)+IFERROR(SEARCH(N189,Rådata!$B$1000),-1)+IFERROR(SEARCH(O189,Rådata!$B$1000),-1))&gt;0,"-","NEJ")</f>
        <v>NEJ</v>
      </c>
      <c r="K189" s="2" t="str">
        <f>K15</f>
        <v>Coliforme bakterier</v>
      </c>
      <c r="L189" s="2" t="str">
        <f t="shared" ref="L189:M189" si="67">L15</f>
        <v>Coliforme bakt.</v>
      </c>
      <c r="M189" s="2" t="str">
        <f t="shared" si="67"/>
        <v>Her kan et synonym indsættes</v>
      </c>
      <c r="N189" s="2" t="str">
        <f t="shared" ref="N189:O189" si="68">N15</f>
        <v>Her kan et synonym indsættes</v>
      </c>
      <c r="O189" s="2" t="str">
        <f t="shared" si="68"/>
        <v>Her kan et synonym indsættes</v>
      </c>
      <c r="S189" s="2" t="str">
        <f t="shared" si="11"/>
        <v>Coliforme bakterier</v>
      </c>
      <c r="T189" t="str">
        <f>S189</f>
        <v>Coliforme bakterier</v>
      </c>
    </row>
    <row r="190" spans="4:20" x14ac:dyDescent="0.2">
      <c r="D190" s="55"/>
      <c r="F190" s="3" t="s">
        <v>59</v>
      </c>
      <c r="G190" s="4" t="str">
        <f>IF((IFERROR(SEARCH(K190,Rådata!$B$1000),-1)+IFERROR(SEARCH(L190,Rådata!$B$1000),-1)+IFERROR(SEARCH(M190,Rådata!$B$1000),-1)+IFERROR(SEARCH(N190,Rådata!$B$1000),-1)+IFERROR(SEARCH(O190,Rådata!$B$1000),-1))&gt;0,"-","NEJ")</f>
        <v>NEJ</v>
      </c>
      <c r="K190" s="2" t="str">
        <f>K16</f>
        <v>Escherichia coli</v>
      </c>
      <c r="L190" s="2" t="str">
        <f t="shared" ref="L190:M190" si="69">L16</f>
        <v>E. coli</v>
      </c>
      <c r="M190" s="2" t="str">
        <f t="shared" si="69"/>
        <v>E.coli</v>
      </c>
      <c r="N190" s="2" t="str">
        <f t="shared" ref="N190:O190" si="70">N16</f>
        <v>Her kan et synonym indsættes</v>
      </c>
      <c r="O190" s="2" t="str">
        <f t="shared" si="70"/>
        <v>Her kan et synonym indsættes</v>
      </c>
      <c r="S190" s="2" t="str">
        <f t="shared" si="11"/>
        <v>E. coli</v>
      </c>
      <c r="T190" t="str">
        <f t="shared" si="29"/>
        <v>Coliforme bakterier, E. coli</v>
      </c>
    </row>
    <row r="191" spans="4:20" x14ac:dyDescent="0.2">
      <c r="D191" s="55"/>
      <c r="F191" s="3" t="s">
        <v>155</v>
      </c>
      <c r="G191" s="4" t="str">
        <f>IF((IFERROR(SEARCH(K191,Rådata!$B$1000),-1)+IFERROR(SEARCH(L191,Rådata!$B$1000),-1)+IFERROR(SEARCH(M191,Rådata!$B$1000),-1)+IFERROR(SEARCH(N191,Rådata!$B$1000),-1)+IFERROR(SEARCH(O191,Rådata!$B$1000),-1))&gt;0,"-","NEJ")</f>
        <v>NEJ</v>
      </c>
      <c r="K191" s="2" t="str">
        <f>K14</f>
        <v>Kimtal</v>
      </c>
      <c r="L191" s="2" t="str">
        <f t="shared" ref="L191:M191" si="71">L14</f>
        <v>Her kan et synonym indsættes</v>
      </c>
      <c r="M191" s="2" t="str">
        <f t="shared" si="71"/>
        <v>Her kan et synonym indsættes</v>
      </c>
      <c r="N191" s="2" t="str">
        <f t="shared" ref="N191:O191" si="72">N14</f>
        <v>Her kan et synonym indsættes</v>
      </c>
      <c r="O191" s="2" t="str">
        <f t="shared" si="72"/>
        <v>Her kan et synonym indsættes</v>
      </c>
      <c r="S191" s="2" t="str">
        <f t="shared" si="11"/>
        <v>Kimtal v. 22 ºC</v>
      </c>
      <c r="T191" t="str">
        <f t="shared" si="29"/>
        <v>Coliforme bakterier, E. coli, Kimtal v. 22 ºC</v>
      </c>
    </row>
    <row r="192" spans="4:20" x14ac:dyDescent="0.2">
      <c r="D192" s="55"/>
      <c r="F192" s="10" t="s">
        <v>3</v>
      </c>
      <c r="G192" s="4" t="str">
        <f>IF((IFERROR(SEARCH(K192,Rådata!$B$1000),-1)+IFERROR(SEARCH(L192,Rådata!$B$1000),-1)+IFERROR(SEARCH(M192,Rådata!$B$1000),-1)+IFERROR(SEARCH(N192,Rådata!$B$1000),-1)+IFERROR(SEARCH(O192,Rådata!$B$1000),-1))&gt;0,"-","NEJ")</f>
        <v>NEJ</v>
      </c>
      <c r="K192" s="2" t="str">
        <f>K23</f>
        <v>Enterokokker</v>
      </c>
      <c r="L192" s="2" t="str">
        <f t="shared" ref="L192:M192" si="73">L23</f>
        <v>Fækale streptokokker</v>
      </c>
      <c r="M192" s="2" t="str">
        <f t="shared" si="73"/>
        <v>Her kan et synonym indsættes</v>
      </c>
      <c r="N192" s="2" t="str">
        <f t="shared" ref="N192:O192" si="74">N23</f>
        <v>Her kan et synonym indsættes</v>
      </c>
      <c r="O192" s="2" t="str">
        <f t="shared" si="74"/>
        <v>Her kan et synonym indsættes</v>
      </c>
      <c r="S192" s="2" t="str">
        <f t="shared" si="11"/>
        <v>Enterokokker</v>
      </c>
      <c r="T192" t="str">
        <f t="shared" si="29"/>
        <v>Coliforme bakterier, E. coli, Kimtal v. 22 ºC, Enterokokker</v>
      </c>
    </row>
    <row r="193" spans="4:20" x14ac:dyDescent="0.2">
      <c r="D193" s="55"/>
      <c r="E193" s="48" t="s">
        <v>63</v>
      </c>
      <c r="F193" s="48"/>
      <c r="G193" s="13"/>
      <c r="H193" s="13" t="str">
        <f>IF(IFERROR(SEARCH("NEJ",CONCATENATE(" ",G194,G195,G196,G197,G198,G199,G200,G201,G202,G203,G204,G206,G207,G208)),1)=1,"OK","NEJ")</f>
        <v>NEJ</v>
      </c>
      <c r="K193" s="2"/>
      <c r="L193" s="2"/>
      <c r="M193" s="2"/>
      <c r="N193" s="2"/>
      <c r="O193" s="2"/>
      <c r="T193" t="str">
        <f t="shared" si="29"/>
        <v>Coliforme bakterier, E. coli, Kimtal v. 22 ºC, Enterokokker</v>
      </c>
    </row>
    <row r="194" spans="4:20" x14ac:dyDescent="0.2">
      <c r="D194" s="55"/>
      <c r="F194" s="9" t="s">
        <v>64</v>
      </c>
      <c r="G194" s="4" t="str">
        <f>IF((IFERROR(SEARCH(K194,Rådata!$B$1000),-1)+IFERROR(SEARCH(L194,Rådata!$B$1000),-1)+IFERROR(SEARCH(M194,Rådata!$B$1000),-1)+IFERROR(SEARCH(N194,Rådata!$B$1000),-1)+IFERROR(SEARCH(O194,Rådata!$B$1000),-1))&gt;0,"-","NEJ")</f>
        <v>NEJ</v>
      </c>
      <c r="K194" s="2" t="str">
        <f t="shared" ref="K194:K208" si="75">F194</f>
        <v>Temperatur</v>
      </c>
      <c r="L194" s="2" t="s">
        <v>179</v>
      </c>
      <c r="M194" s="2" t="s">
        <v>179</v>
      </c>
      <c r="N194" s="2" t="s">
        <v>179</v>
      </c>
      <c r="O194" s="2" t="s">
        <v>179</v>
      </c>
      <c r="S194" s="2" t="str">
        <f t="shared" si="11"/>
        <v>Temperatur</v>
      </c>
      <c r="T194" t="str">
        <f t="shared" si="29"/>
        <v>Coliforme bakterier, E. coli, Kimtal v. 22 ºC, Enterokokker, Temperatur</v>
      </c>
    </row>
    <row r="195" spans="4:20" x14ac:dyDescent="0.2">
      <c r="D195" s="55"/>
      <c r="F195" s="3" t="s">
        <v>51</v>
      </c>
      <c r="G195" s="4" t="str">
        <f>IF((IFERROR(SEARCH(K195,Rådata!$B$1000),-1)+IFERROR(SEARCH(L195,Rådata!$B$1000),-1)+IFERROR(SEARCH(M195,Rådata!$B$1000),-1)+IFERROR(SEARCH(N195,Rådata!$B$1000),-1)+IFERROR(SEARCH(O195,Rådata!$B$1000),-1))&gt;0,"-","NEJ")</f>
        <v>NEJ</v>
      </c>
      <c r="K195" s="2" t="str">
        <f>K12</f>
        <v>pH</v>
      </c>
      <c r="L195" s="2" t="str">
        <f t="shared" ref="L195:M195" si="76">L12</f>
        <v>Her kan et synonym indsættes</v>
      </c>
      <c r="M195" s="2" t="str">
        <f t="shared" si="76"/>
        <v>Her kan et synonym indsættes</v>
      </c>
      <c r="N195" s="2" t="str">
        <f t="shared" ref="N195:O195" si="77">N12</f>
        <v>Her kan et synonym indsættes</v>
      </c>
      <c r="O195" s="2" t="str">
        <f t="shared" si="77"/>
        <v>Her kan et synonym indsættes</v>
      </c>
      <c r="S195" s="2" t="str">
        <f t="shared" si="11"/>
        <v>pH</v>
      </c>
      <c r="T195" t="str">
        <f t="shared" si="29"/>
        <v>Coliforme bakterier, E. coli, Kimtal v. 22 ºC, Enterokokker, Temperatur, pH</v>
      </c>
    </row>
    <row r="196" spans="4:20" x14ac:dyDescent="0.2">
      <c r="D196" s="55"/>
      <c r="F196" s="3" t="s">
        <v>52</v>
      </c>
      <c r="G196" s="4" t="str">
        <f>IF((IFERROR(SEARCH(K196,Rådata!$B$1000),-1)+IFERROR(SEARCH(L196,Rådata!$B$1000),-1)+IFERROR(SEARCH(M196,Rådata!$B$1000),-1)+IFERROR(SEARCH(N196,Rådata!$B$1000),-1)+IFERROR(SEARCH(O196,Rådata!$B$1000),-1))&gt;0,"-","NEJ")</f>
        <v>NEJ</v>
      </c>
      <c r="K196" s="2" t="str">
        <f>K13</f>
        <v>Ledningsevne</v>
      </c>
      <c r="L196" s="2" t="str">
        <f t="shared" ref="L196:M196" si="78">L13</f>
        <v>Konduktivitet</v>
      </c>
      <c r="M196" s="2" t="str">
        <f t="shared" si="78"/>
        <v>Her kan et synonym indsættes</v>
      </c>
      <c r="N196" s="2" t="str">
        <f t="shared" ref="N196:O196" si="79">N13</f>
        <v>Her kan et synonym indsættes</v>
      </c>
      <c r="O196" s="2" t="str">
        <f t="shared" si="79"/>
        <v>Her kan et synonym indsættes</v>
      </c>
      <c r="S196" s="2" t="str">
        <f t="shared" si="11"/>
        <v>Ledningsevne</v>
      </c>
      <c r="T196" t="str">
        <f t="shared" si="29"/>
        <v>Coliforme bakterier, E. coli, Kimtal v. 22 ºC, Enterokokker, Temperatur, pH, Ledningsevne</v>
      </c>
    </row>
    <row r="197" spans="4:20" x14ac:dyDescent="0.2">
      <c r="D197" s="55"/>
      <c r="F197" s="3" t="s">
        <v>65</v>
      </c>
      <c r="G197" s="4" t="str">
        <f>IF((IFERROR(SEARCH(K197,Rådata!$B$1000),-1)+IFERROR(SEARCH(L197,Rådata!$B$1000),-1)+IFERROR(SEARCH(M197,Rådata!$B$1000),-1)+IFERROR(SEARCH(N197,Rådata!$B$1000),-1)+IFERROR(SEARCH(O197,Rådata!$B$1000),-1))&gt;0,"-","NEJ")</f>
        <v>NEJ</v>
      </c>
      <c r="K197" s="2" t="str">
        <f>K26</f>
        <v>NVOC</v>
      </c>
      <c r="L197" s="2" t="str">
        <f t="shared" ref="L197:M197" si="80">L26</f>
        <v>Her kan et synonym indsættes</v>
      </c>
      <c r="M197" s="2" t="str">
        <f t="shared" si="80"/>
        <v>Her kan et synonym indsættes</v>
      </c>
      <c r="N197" s="2" t="str">
        <f t="shared" ref="N197:O197" si="81">N26</f>
        <v>Her kan et synonym indsættes</v>
      </c>
      <c r="O197" s="2" t="str">
        <f t="shared" si="81"/>
        <v>Her kan et synonym indsættes</v>
      </c>
      <c r="S197" s="2" t="str">
        <f t="shared" si="11"/>
        <v>NVOC</v>
      </c>
      <c r="T197" t="str">
        <f t="shared" si="29"/>
        <v>Coliforme bakterier, E. coli, Kimtal v. 22 ºC, Enterokokker, Temperatur, pH, Ledningsevne, NVOC</v>
      </c>
    </row>
    <row r="198" spans="4:20" x14ac:dyDescent="0.2">
      <c r="D198" s="55"/>
      <c r="F198" s="23" t="s">
        <v>66</v>
      </c>
      <c r="G198" s="18" t="str">
        <f>IF((IFERROR(SEARCH(K198,Rådata!$B$1000),-1)+IFERROR(SEARCH(L198,Rådata!$B$1000),-1)+IFERROR(SEARCH(M198,Rådata!$B$1000),-1)+IFERROR(SEARCH(N198,Rådata!$B$1000),-1)+IFERROR(SEARCH(O198,Rådata!$B$1000),-1))&gt;0,"-","NEJ")</f>
        <v>NEJ</v>
      </c>
      <c r="K198" s="2" t="str">
        <f>K27</f>
        <v>Natrium</v>
      </c>
      <c r="L198" s="2" t="str">
        <f t="shared" ref="L198:M198" si="82">L27</f>
        <v>Her kan et synonym indsættes</v>
      </c>
      <c r="M198" s="2" t="str">
        <f t="shared" si="82"/>
        <v>Her kan et synonym indsættes</v>
      </c>
      <c r="N198" s="2" t="str">
        <f t="shared" ref="N198:O198" si="83">N27</f>
        <v>Her kan et synonym indsættes</v>
      </c>
      <c r="O198" s="2" t="str">
        <f t="shared" si="83"/>
        <v>Her kan et synonym indsættes</v>
      </c>
      <c r="S198" s="33"/>
      <c r="T198" t="str">
        <f t="shared" si="29"/>
        <v>Coliforme bakterier, E. coli, Kimtal v. 22 ºC, Enterokokker, Temperatur, pH, Ledningsevne, NVOC</v>
      </c>
    </row>
    <row r="199" spans="4:20" x14ac:dyDescent="0.2">
      <c r="D199" s="55"/>
      <c r="F199" s="3" t="s">
        <v>67</v>
      </c>
      <c r="G199" s="4" t="str">
        <f>IF((IFERROR(SEARCH(K199,Rådata!$B$1000),-1)+IFERROR(SEARCH(L199,Rådata!$B$1000),-1)+IFERROR(SEARCH(M199,Rådata!$B$1000),-1)+IFERROR(SEARCH(N199,Rådata!$B$1000),-1)+IFERROR(SEARCH(O199,Rådata!$B$1000),-1))&gt;0,"-","NEJ")</f>
        <v>NEJ</v>
      </c>
      <c r="K199" s="2" t="str">
        <f>K28</f>
        <v>Ammonium</v>
      </c>
      <c r="L199" s="2" t="str">
        <f t="shared" ref="L199:M199" si="84">L28</f>
        <v>Her kan et synonym indsættes</v>
      </c>
      <c r="M199" s="2" t="str">
        <f t="shared" si="84"/>
        <v>Her kan et synonym indsættes</v>
      </c>
      <c r="N199" s="2" t="str">
        <f t="shared" ref="N199:O199" si="85">N28</f>
        <v>Her kan et synonym indsættes</v>
      </c>
      <c r="O199" s="2" t="str">
        <f t="shared" si="85"/>
        <v>Her kan et synonym indsættes</v>
      </c>
      <c r="S199" s="2" t="str">
        <f t="shared" ref="S199:S264" si="86">IF(G199="NEJ",F199,"")</f>
        <v>Ammonium</v>
      </c>
      <c r="T199" t="str">
        <f t="shared" si="29"/>
        <v>Coliforme bakterier, E. coli, Kimtal v. 22 ºC, Enterokokker, Temperatur, pH, Ledningsevne, NVOC, Ammonium</v>
      </c>
    </row>
    <row r="200" spans="4:20" x14ac:dyDescent="0.2">
      <c r="D200" s="55"/>
      <c r="F200" s="3" t="s">
        <v>60</v>
      </c>
      <c r="G200" s="4" t="str">
        <f>IF((IFERROR(SEARCH(K200,Rådata!$B$1000),-1)+IFERROR(SEARCH(L200,Rådata!$B$1000),-1)+IFERROR(SEARCH(M200,Rådata!$B$1000),-1)+IFERROR(SEARCH(N200,Rådata!$B$1000),-1)+IFERROR(SEARCH(O200,Rådata!$B$1000),-1))&gt;0,"-","NEJ")</f>
        <v>NEJ</v>
      </c>
      <c r="K200" s="2" t="str">
        <f>K17</f>
        <v>Jern</v>
      </c>
      <c r="L200" s="2" t="str">
        <f t="shared" ref="L200:M200" si="87">L17</f>
        <v>Her kan et synonym indsættes</v>
      </c>
      <c r="M200" s="2" t="str">
        <f t="shared" si="87"/>
        <v>Her kan et synonym indsættes</v>
      </c>
      <c r="N200" s="2" t="str">
        <f t="shared" ref="N200:O200" si="88">N17</f>
        <v>Her kan et synonym indsættes</v>
      </c>
      <c r="O200" s="2" t="str">
        <f t="shared" si="88"/>
        <v>Her kan et synonym indsættes</v>
      </c>
      <c r="S200" s="2" t="str">
        <f t="shared" si="86"/>
        <v>Jern</v>
      </c>
      <c r="T200" t="str">
        <f t="shared" si="29"/>
        <v>Coliforme bakterier, E. coli, Kimtal v. 22 ºC, Enterokokker, Temperatur, pH, Ledningsevne, NVOC, Ammonium, Jern</v>
      </c>
    </row>
    <row r="201" spans="4:20" x14ac:dyDescent="0.2">
      <c r="D201" s="55"/>
      <c r="F201" s="3" t="s">
        <v>68</v>
      </c>
      <c r="G201" s="4" t="str">
        <f>IF((IFERROR(SEARCH(K201,Rådata!$B$1000),-1)+IFERROR(SEARCH(L201,Rådata!$B$1000),-1)+IFERROR(SEARCH(M201,Rådata!$B$1000),-1)+IFERROR(SEARCH(N201,Rådata!$B$1000),-1)+IFERROR(SEARCH(O201,Rådata!$B$1000),-1))&gt;0,"-","NEJ")</f>
        <v>NEJ</v>
      </c>
      <c r="K201" s="2" t="str">
        <f>K29</f>
        <v>Mangan</v>
      </c>
      <c r="L201" s="2" t="str">
        <f t="shared" ref="L201:M201" si="89">L29</f>
        <v>Her kan et synonym indsættes</v>
      </c>
      <c r="M201" s="2" t="str">
        <f t="shared" si="89"/>
        <v>Her kan et synonym indsættes</v>
      </c>
      <c r="N201" s="2" t="str">
        <f t="shared" ref="N201:O201" si="90">N29</f>
        <v>Her kan et synonym indsættes</v>
      </c>
      <c r="O201" s="2" t="str">
        <f t="shared" si="90"/>
        <v>Her kan et synonym indsættes</v>
      </c>
      <c r="S201" s="2" t="str">
        <f t="shared" si="86"/>
        <v>Mangan</v>
      </c>
      <c r="T201" t="str">
        <f t="shared" si="29"/>
        <v>Coliforme bakterier, E. coli, Kimtal v. 22 ºC, Enterokokker, Temperatur, pH, Ledningsevne, NVOC, Ammonium, Jern, Mangan</v>
      </c>
    </row>
    <row r="202" spans="4:20" x14ac:dyDescent="0.2">
      <c r="D202" s="55"/>
      <c r="F202" s="3" t="s">
        <v>4</v>
      </c>
      <c r="G202" s="4" t="str">
        <f>IF((IFERROR(SEARCH(K202,Rådata!$B$1000),-1)+IFERROR(SEARCH(L202,Rådata!$B$1000),-1)+IFERROR(SEARCH(M202,Rådata!$B$1000),-1)+IFERROR(SEARCH(N202,Rådata!$B$1000),-1)+IFERROR(SEARCH(O202,Rådata!$B$1000),-1))&gt;0,"-","NEJ")</f>
        <v>NEJ</v>
      </c>
      <c r="K202" s="2" t="str">
        <f>K18</f>
        <v>Nitrit</v>
      </c>
      <c r="L202" s="2" t="str">
        <f t="shared" ref="L202:M202" si="91">L18</f>
        <v>Her kan et synonym indsættes</v>
      </c>
      <c r="M202" s="2" t="str">
        <f t="shared" si="91"/>
        <v>Her kan et synonym indsættes</v>
      </c>
      <c r="N202" s="2" t="str">
        <f t="shared" ref="N202:O202" si="92">N18</f>
        <v>Her kan et synonym indsættes</v>
      </c>
      <c r="O202" s="2" t="str">
        <f t="shared" si="92"/>
        <v>Her kan et synonym indsættes</v>
      </c>
      <c r="S202" s="2" t="str">
        <f t="shared" si="86"/>
        <v>Nitrit</v>
      </c>
      <c r="T202" t="str">
        <f t="shared" si="29"/>
        <v>Coliforme bakterier, E. coli, Kimtal v. 22 ºC, Enterokokker, Temperatur, pH, Ledningsevne, NVOC, Ammonium, Jern, Mangan, Nitrit</v>
      </c>
    </row>
    <row r="203" spans="4:20" x14ac:dyDescent="0.2">
      <c r="D203" s="55"/>
      <c r="F203" s="3" t="s">
        <v>5</v>
      </c>
      <c r="G203" s="4" t="str">
        <f>IF((IFERROR(SEARCH(K203,Rådata!$B$1000),-1)+IFERROR(SEARCH(L203,Rådata!$B$1000),-1)+IFERROR(SEARCH(M203,Rådata!$B$1000),-1)+IFERROR(SEARCH(N203,Rådata!$B$1000),-1)+IFERROR(SEARCH(O203,Rådata!$B$1000),-1))&gt;0,"-","NEJ")</f>
        <v>NEJ</v>
      </c>
      <c r="K203" s="2" t="str">
        <f>K32</f>
        <v>Nitrat</v>
      </c>
      <c r="L203" s="2" t="str">
        <f t="shared" ref="L203:M203" si="93">L32</f>
        <v>Her kan et synonym indsættes</v>
      </c>
      <c r="M203" s="2" t="str">
        <f t="shared" si="93"/>
        <v>Her kan et synonym indsættes</v>
      </c>
      <c r="N203" s="2" t="str">
        <f t="shared" ref="N203:O203" si="94">N32</f>
        <v>Her kan et synonym indsættes</v>
      </c>
      <c r="O203" s="2" t="str">
        <f t="shared" si="94"/>
        <v>Her kan et synonym indsættes</v>
      </c>
      <c r="S203" s="2" t="str">
        <f t="shared" si="86"/>
        <v>Nitrat</v>
      </c>
      <c r="T203" t="str">
        <f t="shared" si="29"/>
        <v>Coliforme bakterier, E. coli, Kimtal v. 22 ºC, Enterokokker, Temperatur, pH, Ledningsevne, NVOC, Ammonium, Jern, Mangan, Nitrit, Nitrat</v>
      </c>
    </row>
    <row r="204" spans="4:20" x14ac:dyDescent="0.2">
      <c r="D204" s="55"/>
      <c r="F204" s="3" t="s">
        <v>156</v>
      </c>
      <c r="G204" s="4" t="str">
        <f>IF((IFERROR(SEARCH(K204,Rådata!$B$1000),-1)+IFERROR(SEARCH(L204,Rådata!$B$1000),-1)+IFERROR(SEARCH(M204,Rådata!$B$1000),-1)+IFERROR(SEARCH(N204,Rådata!$B$1000),-1)+IFERROR(SEARCH(O204,Rådata!$B$1000),-1))&gt;0,"-","NEJ")</f>
        <v>NEJ</v>
      </c>
      <c r="K204" s="29" t="str">
        <f t="shared" si="75"/>
        <v>Ilt</v>
      </c>
      <c r="L204" s="29" t="s">
        <v>179</v>
      </c>
      <c r="M204" s="29" t="s">
        <v>179</v>
      </c>
      <c r="N204" s="29" t="s">
        <v>179</v>
      </c>
      <c r="O204" s="29" t="s">
        <v>179</v>
      </c>
      <c r="S204" s="2" t="str">
        <f t="shared" si="86"/>
        <v>Ilt</v>
      </c>
      <c r="T204" t="str">
        <f t="shared" si="29"/>
        <v>Coliforme bakterier, E. coli, Kimtal v. 22 ºC, Enterokokker, Temperatur, pH, Ledningsevne, NVOC, Ammonium, Jern, Mangan, Nitrit, Nitrat, Ilt</v>
      </c>
    </row>
    <row r="205" spans="4:20" x14ac:dyDescent="0.2">
      <c r="D205" s="55"/>
      <c r="F205" s="51" t="s">
        <v>165</v>
      </c>
      <c r="G205" s="18" t="str">
        <f>IF((IFERROR(SEARCH(K205,Rådata!$B$1000),-1)+IFERROR(SEARCH(L205,Rådata!$B$1000),-1)+IFERROR(SEARCH(M205,Rådata!$B$1000),-1)+IFERROR(SEARCH(N205,Rådata!$B$1000),-1)+IFERROR(SEARCH(O205,Rådata!$B$1000),-1))&gt;0,"-","NEJ")</f>
        <v>NEJ</v>
      </c>
      <c r="K205" s="29" t="str">
        <f t="shared" si="75"/>
        <v>Aggressivt kuldioxid</v>
      </c>
      <c r="L205" s="29" t="s">
        <v>183</v>
      </c>
      <c r="M205" s="29" t="s">
        <v>267</v>
      </c>
      <c r="N205" s="29" t="s">
        <v>179</v>
      </c>
      <c r="O205" s="29" t="s">
        <v>179</v>
      </c>
      <c r="S205" s="33"/>
      <c r="T205" t="str">
        <f>IF(S205="",T204,T204&amp;", "&amp;S205)</f>
        <v>Coliforme bakterier, E. coli, Kimtal v. 22 ºC, Enterokokker, Temperatur, pH, Ledningsevne, NVOC, Ammonium, Jern, Mangan, Nitrit, Nitrat, Ilt</v>
      </c>
    </row>
    <row r="206" spans="4:20" x14ac:dyDescent="0.2">
      <c r="D206" s="55"/>
      <c r="F206" s="23" t="s">
        <v>157</v>
      </c>
      <c r="G206" s="18" t="str">
        <f>IF((IFERROR(SEARCH(K206,Rådata!$B$1000),-1)+IFERROR(SEARCH(L206,Rådata!$B$1000),-1)+IFERROR(SEARCH(M206,Rådata!$B$1000),-1)+IFERROR(SEARCH(N206,Rådata!$B$1000),-1)+IFERROR(SEARCH(O206,Rådata!$B$1000),-1))&gt;0,"-","NEJ")</f>
        <v>NEJ</v>
      </c>
      <c r="K206" s="29" t="str">
        <f t="shared" si="75"/>
        <v>Methan</v>
      </c>
      <c r="L206" s="29" t="s">
        <v>227</v>
      </c>
      <c r="M206" s="29" t="s">
        <v>179</v>
      </c>
      <c r="N206" s="29" t="s">
        <v>179</v>
      </c>
      <c r="O206" s="29" t="s">
        <v>179</v>
      </c>
      <c r="S206" s="33"/>
      <c r="T206" t="str">
        <f t="shared" si="29"/>
        <v>Coliforme bakterier, E. coli, Kimtal v. 22 ºC, Enterokokker, Temperatur, pH, Ledningsevne, NVOC, Ammonium, Jern, Mangan, Nitrit, Nitrat, Ilt</v>
      </c>
    </row>
    <row r="207" spans="4:20" x14ac:dyDescent="0.2">
      <c r="D207" s="55"/>
      <c r="F207" s="23" t="s">
        <v>158</v>
      </c>
      <c r="G207" s="18" t="str">
        <f>IF((IFERROR(SEARCH(K207,Rådata!$B$1000),-1)+IFERROR(SEARCH(L207,Rådata!$B$1000),-1)+IFERROR(SEARCH(M207,Rådata!$B$1000),-1)+IFERROR(SEARCH(N207,Rådata!$B$1000),-1)+IFERROR(SEARCH(O207,Rådata!$B$1000),-1))&gt;0,"-","NEJ")</f>
        <v>NEJ</v>
      </c>
      <c r="K207" s="29" t="str">
        <f t="shared" si="75"/>
        <v>Svovlbrinte</v>
      </c>
      <c r="L207" s="29" t="s">
        <v>226</v>
      </c>
      <c r="M207" s="29" t="s">
        <v>179</v>
      </c>
      <c r="N207" s="29" t="s">
        <v>179</v>
      </c>
      <c r="O207" s="29" t="s">
        <v>179</v>
      </c>
      <c r="S207" s="33"/>
      <c r="T207" t="str">
        <f t="shared" si="29"/>
        <v>Coliforme bakterier, E. coli, Kimtal v. 22 ºC, Enterokokker, Temperatur, pH, Ledningsevne, NVOC, Ammonium, Jern, Mangan, Nitrit, Nitrat, Ilt</v>
      </c>
    </row>
    <row r="208" spans="4:20" x14ac:dyDescent="0.2">
      <c r="D208" s="55"/>
      <c r="F208" s="10" t="s">
        <v>159</v>
      </c>
      <c r="G208" s="4" t="str">
        <f>IF((IFERROR(SEARCH(K208,Rådata!$B$1000),-1)+IFERROR(SEARCH(L208,Rådata!$B$1000),-1)+IFERROR(SEARCH(M208,Rådata!$B$1000),-1)+IFERROR(SEARCH(N208,Rådata!$B$1000),-1)+IFERROR(SEARCH(O208,Rådata!$B$1000),-1))&gt;0,"-","NEJ")</f>
        <v>NEJ</v>
      </c>
      <c r="K208" s="29" t="str">
        <f t="shared" si="75"/>
        <v>Hårdhed</v>
      </c>
      <c r="L208" s="29" t="s">
        <v>179</v>
      </c>
      <c r="M208" s="29" t="s">
        <v>179</v>
      </c>
      <c r="N208" s="29" t="s">
        <v>179</v>
      </c>
      <c r="O208" s="29" t="s">
        <v>179</v>
      </c>
      <c r="S208" s="2" t="str">
        <f t="shared" si="86"/>
        <v>Hårdhed</v>
      </c>
      <c r="T208" t="str">
        <f t="shared" si="29"/>
        <v>Coliforme bakterier, E. coli, Kimtal v. 22 ºC, Enterokokker, Temperatur, pH, Ledningsevne, NVOC, Ammonium, Jern, Mangan, Nitrit, Nitrat, Ilt, Hårdhed</v>
      </c>
    </row>
    <row r="209" spans="4:20" x14ac:dyDescent="0.2">
      <c r="D209" s="55"/>
      <c r="E209" s="48" t="s">
        <v>70</v>
      </c>
      <c r="F209" s="48"/>
      <c r="G209" s="13"/>
      <c r="H209" s="13" t="str">
        <f>IF(IFERROR(SEARCH("NEJ",CONCATENATE(" ",G211,G212)),1)=1,"OK","NEJ")</f>
        <v>NEJ</v>
      </c>
      <c r="K209" s="2"/>
      <c r="L209" s="2"/>
      <c r="M209" s="2"/>
      <c r="N209" s="2"/>
      <c r="O209" s="2"/>
      <c r="T209" t="str">
        <f t="shared" si="29"/>
        <v>Coliforme bakterier, E. coli, Kimtal v. 22 ºC, Enterokokker, Temperatur, pH, Ledningsevne, NVOC, Ammonium, Jern, Mangan, Nitrit, Nitrat, Ilt, Hårdhed</v>
      </c>
    </row>
    <row r="210" spans="4:20" x14ac:dyDescent="0.2">
      <c r="D210" s="55"/>
      <c r="E210" s="52"/>
      <c r="F210" s="54" t="s">
        <v>71</v>
      </c>
      <c r="G210" s="18" t="str">
        <f>IF((IFERROR(SEARCH(K210,Rådata!$B$1000),-1)+IFERROR(SEARCH(L210,Rådata!$B$1000),-1)+IFERROR(SEARCH(M210,Rådata!$B$1000),-1)+IFERROR(SEARCH(N210,Rådata!$B$1000),-1)+IFERROR(SEARCH(O210,Rådata!$B$1000),-1))&gt;0,"-","NEJ")</f>
        <v>NEJ</v>
      </c>
      <c r="H210" s="53"/>
      <c r="K210" s="2" t="str">
        <f>K36</f>
        <v>Aluminium</v>
      </c>
      <c r="L210" s="2" t="str">
        <f t="shared" ref="L210:O210" si="95">L36</f>
        <v>Her kan et synonym indsættes</v>
      </c>
      <c r="M210" s="2" t="str">
        <f t="shared" si="95"/>
        <v>Her kan et synonym indsættes</v>
      </c>
      <c r="N210" s="2" t="str">
        <f t="shared" si="95"/>
        <v>Her kan et synonym indsættes</v>
      </c>
      <c r="O210" s="2" t="str">
        <f t="shared" si="95"/>
        <v>Her kan et synonym indsættes</v>
      </c>
      <c r="S210" s="33"/>
      <c r="T210" t="str">
        <f t="shared" si="29"/>
        <v>Coliforme bakterier, E. coli, Kimtal v. 22 ºC, Enterokokker, Temperatur, pH, Ledningsevne, NVOC, Ammonium, Jern, Mangan, Nitrit, Nitrat, Ilt, Hårdhed</v>
      </c>
    </row>
    <row r="211" spans="4:20" x14ac:dyDescent="0.2">
      <c r="D211" s="55"/>
      <c r="F211" s="9" t="s">
        <v>73</v>
      </c>
      <c r="G211" s="4" t="str">
        <f>IF((IFERROR(SEARCH(K211,Rådata!$B$1000),-1)+IFERROR(SEARCH(L211,Rådata!$B$1000),-1)+IFERROR(SEARCH(M211,Rådata!$B$1000),-1)+IFERROR(SEARCH(N211,Rådata!$B$1000),-1)+IFERROR(SEARCH(O211,Rådata!$B$1000),-1))&gt;0,"-","NEJ")</f>
        <v>NEJ</v>
      </c>
      <c r="K211" s="2" t="str">
        <f>K38</f>
        <v>Arsen</v>
      </c>
      <c r="L211" s="2" t="str">
        <f t="shared" ref="L211:M211" si="96">L38</f>
        <v>Her kan et synonym indsættes</v>
      </c>
      <c r="M211" s="2" t="str">
        <f t="shared" si="96"/>
        <v>Her kan et synonym indsættes</v>
      </c>
      <c r="N211" s="2" t="str">
        <f t="shared" ref="N211:O211" si="97">N38</f>
        <v>Her kan et synonym indsættes</v>
      </c>
      <c r="O211" s="2" t="str">
        <f t="shared" si="97"/>
        <v>Her kan et synonym indsættes</v>
      </c>
      <c r="S211" s="2" t="str">
        <f t="shared" si="86"/>
        <v>Arsen</v>
      </c>
      <c r="T211" t="str">
        <f t="shared" si="29"/>
        <v>Coliforme bakterier, E. coli, Kimtal v. 22 ºC, Enterokokker, Temperatur, pH, Ledningsevne, NVOC, Ammonium, Jern, Mangan, Nitrit, Nitrat, Ilt, Hårdhed, Arsen</v>
      </c>
    </row>
    <row r="212" spans="4:20" x14ac:dyDescent="0.2">
      <c r="D212" s="55"/>
      <c r="F212" s="3" t="s">
        <v>81</v>
      </c>
      <c r="G212" s="4" t="str">
        <f>IF((IFERROR(SEARCH(K212,Rådata!$B$1000),-1)+IFERROR(SEARCH(L212,Rådata!$B$1000),-1)+IFERROR(SEARCH(M212,Rådata!$B$1000),-1)+IFERROR(SEARCH(N212,Rådata!$B$1000),-1)+IFERROR(SEARCH(O212,Rådata!$B$1000),-1))&gt;0,"-","NEJ")</f>
        <v>NEJ</v>
      </c>
      <c r="K212" s="2" t="str">
        <f>K47</f>
        <v>Nikkel</v>
      </c>
      <c r="L212" s="2" t="str">
        <f t="shared" ref="L212:M212" si="98">L47</f>
        <v>Her kan et synonym indsættes</v>
      </c>
      <c r="M212" s="2" t="str">
        <f t="shared" si="98"/>
        <v>Her kan et synonym indsættes</v>
      </c>
      <c r="N212" s="2" t="str">
        <f t="shared" ref="N212:O212" si="99">N47</f>
        <v>Her kan et synonym indsættes</v>
      </c>
      <c r="O212" s="2" t="str">
        <f t="shared" si="99"/>
        <v>Her kan et synonym indsættes</v>
      </c>
      <c r="S212" s="2" t="str">
        <f t="shared" si="86"/>
        <v>Nikkel</v>
      </c>
      <c r="T212" t="str">
        <f t="shared" si="29"/>
        <v>Coliforme bakterier, E. coli, Kimtal v. 22 ºC, Enterokokker, Temperatur, pH, Ledningsevne, NVOC, Ammonium, Jern, Mangan, Nitrit, Nitrat, Ilt, Hårdhed, Arsen, Nikkel</v>
      </c>
    </row>
    <row r="213" spans="4:20" x14ac:dyDescent="0.2">
      <c r="D213" s="55"/>
      <c r="E213" s="47" t="s">
        <v>107</v>
      </c>
      <c r="F213" s="47"/>
      <c r="G213" s="13"/>
      <c r="K213" s="30"/>
      <c r="L213" s="2"/>
      <c r="M213" s="2"/>
      <c r="N213" s="2"/>
      <c r="O213" s="2"/>
      <c r="T213" t="str">
        <f t="shared" si="29"/>
        <v>Coliforme bakterier, E. coli, Kimtal v. 22 ºC, Enterokokker, Temperatur, pH, Ledningsevne, NVOC, Ammonium, Jern, Mangan, Nitrit, Nitrat, Ilt, Hårdhed, Arsen, Nikkel</v>
      </c>
    </row>
    <row r="214" spans="4:20" x14ac:dyDescent="0.2">
      <c r="D214" s="55"/>
      <c r="E214" s="47" t="s">
        <v>108</v>
      </c>
      <c r="F214" s="47"/>
      <c r="G214" s="13"/>
      <c r="H214" s="13" t="str">
        <f>IF(IFERROR(SEARCH("NEJ",CONCATENATE(" ",G215,G216,G217,G218,G219,G220,G221,G222,G223,G224,G225,G226,G227,G228,G229,G230,G231)),1)=1,"OK","NEJ")</f>
        <v>NEJ</v>
      </c>
      <c r="K214" s="30"/>
      <c r="L214" s="2"/>
      <c r="M214" s="2"/>
      <c r="N214" s="2"/>
      <c r="O214" s="2"/>
      <c r="T214" t="str">
        <f t="shared" si="29"/>
        <v>Coliforme bakterier, E. coli, Kimtal v. 22 ºC, Enterokokker, Temperatur, pH, Ledningsevne, NVOC, Ammonium, Jern, Mangan, Nitrit, Nitrat, Ilt, Hårdhed, Arsen, Nikkel</v>
      </c>
    </row>
    <row r="215" spans="4:20" x14ac:dyDescent="0.2">
      <c r="D215" s="55"/>
      <c r="F215" s="9" t="s">
        <v>17</v>
      </c>
      <c r="G215" s="4" t="str">
        <f>IF((IFERROR(SEARCH(K215,Rådata!$B$1000),-1)+IFERROR(SEARCH(L215,Rådata!$B$1000),-1)+IFERROR(SEARCH(M215,Rådata!$B$1000),-1)+IFERROR(SEARCH(N215,Rådata!$B$1000),-1)+IFERROR(SEARCH(O215,Rådata!$B$1000),-1))&gt;0,"-","NEJ")</f>
        <v>NEJ</v>
      </c>
      <c r="K215" s="2" t="str">
        <f>K95</f>
        <v>Aldrin</v>
      </c>
      <c r="L215" s="2" t="str">
        <f t="shared" ref="L215:M215" si="100">L95</f>
        <v>Her kan et synonym indsættes</v>
      </c>
      <c r="M215" s="2" t="str">
        <f t="shared" si="100"/>
        <v>Her kan et synonym indsættes</v>
      </c>
      <c r="N215" s="2" t="str">
        <f t="shared" ref="N215:O215" si="101">N95</f>
        <v>Her kan et synonym indsættes</v>
      </c>
      <c r="O215" s="2" t="str">
        <f t="shared" si="101"/>
        <v>Her kan et synonym indsættes</v>
      </c>
      <c r="S215" s="2" t="str">
        <f t="shared" si="86"/>
        <v>Aldrin</v>
      </c>
      <c r="T215" t="str">
        <f t="shared" si="29"/>
        <v>Coliforme bakterier, E. coli, Kimtal v. 22 ºC, Enterokokker, Temperatur, pH, Ledningsevne, NVOC, Ammonium, Jern, Mangan, Nitrit, Nitrat, Ilt, Hårdhed, Arsen, Nikkel, Aldrin</v>
      </c>
    </row>
    <row r="216" spans="4:20" x14ac:dyDescent="0.2">
      <c r="D216" s="55"/>
      <c r="F216" s="3" t="s">
        <v>236</v>
      </c>
      <c r="G216" s="4" t="str">
        <f>IF((IFERROR(SEARCH(K216,Rådata!$B$1000),-1)+IFERROR(SEARCH(L216,Rådata!$B$1000),-1)+IFERROR(SEARCH(M216,Rådata!$B$1000),-1)+IFERROR(SEARCH(N216,Rådata!$B$1000),-1)+IFERROR(SEARCH(O216,Rådata!$B$1000),-1))&gt;0,"-","NEJ")</f>
        <v>NEJ</v>
      </c>
      <c r="K216" s="2" t="str">
        <f>K96</f>
        <v>Dieldrin</v>
      </c>
      <c r="L216" s="2" t="str">
        <f>L96</f>
        <v>Her kan et synonym indsættes</v>
      </c>
      <c r="M216" s="2" t="str">
        <f>M96</f>
        <v>Her kan et synonym indsættes</v>
      </c>
      <c r="N216" s="2" t="str">
        <f t="shared" ref="N216:O216" si="102">N96</f>
        <v>Her kan et synonym indsættes</v>
      </c>
      <c r="O216" s="2" t="str">
        <f t="shared" si="102"/>
        <v>Her kan et synonym indsættes</v>
      </c>
      <c r="S216" s="2" t="str">
        <f t="shared" si="86"/>
        <v>Dieldrin</v>
      </c>
      <c r="T216" t="str">
        <f t="shared" si="29"/>
        <v>Coliforme bakterier, E. coli, Kimtal v. 22 ºC, Enterokokker, Temperatur, pH, Ledningsevne, NVOC, Ammonium, Jern, Mangan, Nitrit, Nitrat, Ilt, Hårdhed, Arsen, Nikkel, Aldrin, Dieldrin</v>
      </c>
    </row>
    <row r="217" spans="4:20" x14ac:dyDescent="0.2">
      <c r="D217" s="55"/>
      <c r="F217" s="3" t="s">
        <v>237</v>
      </c>
      <c r="G217" s="4" t="str">
        <f>IF((IFERROR(SEARCH(K217,Rådata!$B$1000),-1)+IFERROR(SEARCH(L217,Rådata!$B$1000),-1)+IFERROR(SEARCH(M217,Rådata!$B$1000),-1)+IFERROR(SEARCH(N217,Rådata!$B$1000),-1)+IFERROR(SEARCH(O217,Rådata!$B$1000),-1))&gt;0,"-","NEJ")</f>
        <v>NEJ</v>
      </c>
      <c r="K217" s="2" t="str">
        <f>K97</f>
        <v>Heptachlor</v>
      </c>
      <c r="L217" s="2" t="str">
        <f>L97</f>
        <v>Her kan et synonym indsættes</v>
      </c>
      <c r="M217" s="2" t="str">
        <f>M97</f>
        <v>Her kan et synonym indsættes</v>
      </c>
      <c r="N217" s="2" t="str">
        <f t="shared" ref="N217:O217" si="103">N97</f>
        <v>Her kan et synonym indsættes</v>
      </c>
      <c r="O217" s="2" t="str">
        <f t="shared" si="103"/>
        <v>Her kan et synonym indsættes</v>
      </c>
      <c r="S217" s="2" t="str">
        <f t="shared" si="86"/>
        <v>Heptachlor</v>
      </c>
      <c r="T217" t="str">
        <f t="shared" si="29"/>
        <v>Coliforme bakterier, E. coli, Kimtal v. 22 ºC, Enterokokker, Temperatur, pH, Ledningsevne, NVOC, Ammonium, Jern, Mangan, Nitrit, Nitrat, Ilt, Hårdhed, Arsen, Nikkel, Aldrin, Dieldrin, Heptachlor</v>
      </c>
    </row>
    <row r="218" spans="4:20" x14ac:dyDescent="0.2">
      <c r="D218" s="55"/>
      <c r="F218" s="3" t="s">
        <v>238</v>
      </c>
      <c r="G218" s="4" t="str">
        <f>IF((IFERROR(SEARCH(K218,Rådata!$B$1000),-1)+IFERROR(SEARCH(L218,Rådata!$B$1000),-1)+IFERROR(SEARCH(M218,Rådata!$B$1000),-1)+IFERROR(SEARCH(N218,Rådata!$B$1000),-1)+IFERROR(SEARCH(O218,Rådata!$B$1000),-1))&gt;0,"-","NEJ")</f>
        <v>NEJ</v>
      </c>
      <c r="K218" s="2" t="str">
        <f>K98</f>
        <v>Heptachlorepoxid</v>
      </c>
      <c r="L218" s="2" t="str">
        <f>L98</f>
        <v>Her kan et synonym indsættes</v>
      </c>
      <c r="M218" s="2" t="str">
        <f>M98</f>
        <v>Her kan et synonym indsættes</v>
      </c>
      <c r="N218" s="2" t="str">
        <f t="shared" ref="N218:O218" si="104">N98</f>
        <v>Her kan et synonym indsættes</v>
      </c>
      <c r="O218" s="2" t="str">
        <f t="shared" si="104"/>
        <v>Her kan et synonym indsættes</v>
      </c>
      <c r="S218" s="2" t="str">
        <f t="shared" si="86"/>
        <v>Heptachlorepoxid</v>
      </c>
      <c r="T218" t="str">
        <f t="shared" si="29"/>
        <v>Coliforme bakterier, E. coli, Kimtal v. 22 ºC, Enterokokker, Temperatur, pH, Ledningsevne, NVOC, Ammonium, Jern, Mangan, Nitrit, Nitrat, Ilt, Hårdhed, Arsen, Nikkel, Aldrin, Dieldrin, Heptachlor, Heptachlorepoxid</v>
      </c>
    </row>
    <row r="219" spans="4:20" x14ac:dyDescent="0.2">
      <c r="D219" s="55"/>
      <c r="F219" s="3" t="s">
        <v>19</v>
      </c>
      <c r="G219" s="4" t="str">
        <f>IF((IFERROR(SEARCH(K219,Rådata!$B$1000),-1)+IFERROR(SEARCH(L219,Rådata!$B$1000),-1)+IFERROR(SEARCH(M219,Rådata!$B$1000),-1)+IFERROR(SEARCH(N219,Rådata!$B$1000),-1)+IFERROR(SEARCH(O219,Rådata!$B$1000),-1))&gt;0,"-","NEJ")</f>
        <v>NEJ</v>
      </c>
      <c r="K219" s="2" t="str">
        <f>K99</f>
        <v>Atrazin</v>
      </c>
      <c r="L219" s="2" t="str">
        <f>L99</f>
        <v>Her kan et synonym indsættes</v>
      </c>
      <c r="M219" s="2" t="str">
        <f>M99</f>
        <v>Her kan et synonym indsættes</v>
      </c>
      <c r="N219" s="2" t="str">
        <f t="shared" ref="N219:O219" si="105">N99</f>
        <v>Her kan et synonym indsættes</v>
      </c>
      <c r="O219" s="2" t="str">
        <f t="shared" si="105"/>
        <v>Her kan et synonym indsættes</v>
      </c>
      <c r="S219" s="2" t="str">
        <f t="shared" si="86"/>
        <v>Atrazin</v>
      </c>
      <c r="T219" t="str">
        <f t="shared" si="29"/>
        <v>Coliforme bakterier, E. coli, Kimtal v. 22 ºC, Enterokokker, Temperatur, pH, Ledningsevne, NVOC, Ammonium, Jern, Mangan, Nitrit, Nitrat, Ilt, Hårdhed, Arsen, Nikkel, Aldrin, Dieldrin, Heptachlor, Heptachlorepoxid, Atrazin</v>
      </c>
    </row>
    <row r="220" spans="4:20" x14ac:dyDescent="0.2">
      <c r="D220" s="55"/>
      <c r="F220" s="3" t="s">
        <v>20</v>
      </c>
      <c r="G220" s="4" t="str">
        <f>IF((IFERROR(SEARCH(K220,Rådata!$B$1000),-1)+IFERROR(SEARCH(L220,Rådata!$B$1000),-1)+IFERROR(SEARCH(M220,Rådata!$B$1000),-1)+IFERROR(SEARCH(N220,Rådata!$B$1000),-1)+IFERROR(SEARCH(O220,Rådata!$B$1000),-1))&gt;0,"-","NEJ")</f>
        <v>NEJ</v>
      </c>
      <c r="K220" s="2" t="str">
        <f>K100</f>
        <v>Bentazon</v>
      </c>
      <c r="L220" s="2" t="str">
        <f>L100</f>
        <v>Her kan et synonym indsættes</v>
      </c>
      <c r="M220" s="2" t="str">
        <f>M100</f>
        <v>Her kan et synonym indsættes</v>
      </c>
      <c r="N220" s="2" t="str">
        <f t="shared" ref="N220:O220" si="106">N100</f>
        <v>Her kan et synonym indsættes</v>
      </c>
      <c r="O220" s="2" t="str">
        <f t="shared" si="106"/>
        <v>Her kan et synonym indsættes</v>
      </c>
      <c r="S220" s="2" t="str">
        <f t="shared" si="86"/>
        <v>Bentazon</v>
      </c>
      <c r="T220" t="str">
        <f t="shared" ref="T220:T258" si="107">IF(S220="",T219,T219&amp;", "&amp;S220)</f>
        <v>Coliforme bakterier, E. coli, Kimtal v. 22 ºC, Enterokokker, Temperatur, pH, Ledningsevne, NVOC, Ammonium, Jern, Mangan, Nitrit, Nitrat, Ilt, Hårdhed, Arsen, Nikkel, Aldrin, Dieldrin, Heptachlor, Heptachlorepoxid, Atrazin, Bentazon</v>
      </c>
    </row>
    <row r="221" spans="4:20" x14ac:dyDescent="0.2">
      <c r="D221" s="55"/>
      <c r="F221" s="3" t="s">
        <v>28</v>
      </c>
      <c r="G221" s="4" t="str">
        <f>IF((IFERROR(SEARCH(K221,Rådata!$B$1000),-1)+IFERROR(SEARCH(L221,Rådata!$B$1000),-1)+IFERROR(SEARCH(M221,Rådata!$B$1000),-1)+IFERROR(SEARCH(N221,Rådata!$B$1000),-1)+IFERROR(SEARCH(O221,Rådata!$B$1000),-1))&gt;0,"-","NEJ")</f>
        <v>NEJ</v>
      </c>
      <c r="K221" s="2" t="str">
        <f>K101</f>
        <v>Dichlobenil</v>
      </c>
      <c r="L221" s="2" t="str">
        <f>L101</f>
        <v>Her kan et synonym indsættes</v>
      </c>
      <c r="M221" s="2" t="str">
        <f>M101</f>
        <v>Her kan et synonym indsættes</v>
      </c>
      <c r="N221" s="2" t="str">
        <f t="shared" ref="N221:O221" si="108">N101</f>
        <v>Her kan et synonym indsættes</v>
      </c>
      <c r="O221" s="2" t="str">
        <f t="shared" si="108"/>
        <v>Her kan et synonym indsættes</v>
      </c>
      <c r="S221" s="2" t="str">
        <f t="shared" si="86"/>
        <v>Dichlobenil</v>
      </c>
      <c r="T221" t="str">
        <f t="shared" si="107"/>
        <v>Coliforme bakterier, E. coli, Kimtal v. 22 ºC, Enterokokker, Temperatur, pH, Ledningsevne, NVOC, Ammonium, Jern, Mangan, Nitrit, Nitrat, Ilt, Hårdhed, Arsen, Nikkel, Aldrin, Dieldrin, Heptachlor, Heptachlorepoxid, Atrazin, Bentazon, Dichlobenil</v>
      </c>
    </row>
    <row r="222" spans="4:20" x14ac:dyDescent="0.2">
      <c r="D222" s="55"/>
      <c r="F222" s="3" t="s">
        <v>109</v>
      </c>
      <c r="G222" s="4" t="str">
        <f>IF((IFERROR(SEARCH(K222,Rådata!$B$1000),-1)+IFERROR(SEARCH(L222,Rådata!$B$1000),-1)+IFERROR(SEARCH(M222,Rådata!$B$1000),-1)+IFERROR(SEARCH(N222,Rådata!$B$1000),-1)+IFERROR(SEARCH(O222,Rådata!$B$1000),-1))&gt;0,"-","NEJ")</f>
        <v>NEJ</v>
      </c>
      <c r="K222" s="2" t="str">
        <f>K102</f>
        <v>Dichlorprop</v>
      </c>
      <c r="L222" s="2" t="str">
        <f>L102</f>
        <v>Her kan et synonym indsættes</v>
      </c>
      <c r="M222" s="2" t="str">
        <f>M102</f>
        <v>Her kan et synonym indsættes</v>
      </c>
      <c r="N222" s="2" t="str">
        <f t="shared" ref="N222:O222" si="109">N102</f>
        <v>Her kan et synonym indsættes</v>
      </c>
      <c r="O222" s="2" t="str">
        <f t="shared" si="109"/>
        <v>Her kan et synonym indsættes</v>
      </c>
      <c r="S222" s="2" t="str">
        <f t="shared" si="86"/>
        <v>Dichlorprop</v>
      </c>
      <c r="T222" t="str">
        <f t="shared" si="107"/>
        <v>Coliforme bakterier, E. coli, Kimtal v. 22 ºC, Enterokokker, Temperatur, pH, Ledningsevne, NVOC, Ammonium, Jern, Mangan, Nitrit, Nitrat, Ilt, Hårdhed, Arsen, Nikkel, Aldrin, Dieldrin, Heptachlor, Heptachlorepoxid, Atrazin, Bentazon, Dichlobenil, Dichlorprop</v>
      </c>
    </row>
    <row r="223" spans="4:20" x14ac:dyDescent="0.2">
      <c r="D223" s="55"/>
      <c r="F223" s="3" t="s">
        <v>30</v>
      </c>
      <c r="G223" s="4" t="str">
        <f>IF((IFERROR(SEARCH(K223,Rådata!$B$1000),-1)+IFERROR(SEARCH(L223,Rådata!$B$1000),-1)+IFERROR(SEARCH(M223,Rådata!$B$1000),-1)+IFERROR(SEARCH(N223,Rådata!$B$1000),-1)+IFERROR(SEARCH(O223,Rådata!$B$1000),-1))&gt;0,"-","NEJ")</f>
        <v>NEJ</v>
      </c>
      <c r="K223" s="2" t="str">
        <f>K104</f>
        <v>Diuron</v>
      </c>
      <c r="L223" s="2" t="str">
        <f>L104</f>
        <v>Her kan et synonym indsættes</v>
      </c>
      <c r="M223" s="2" t="str">
        <f>M104</f>
        <v>Her kan et synonym indsættes</v>
      </c>
      <c r="N223" s="2" t="str">
        <f t="shared" ref="N223:O223" si="110">N104</f>
        <v>Her kan et synonym indsættes</v>
      </c>
      <c r="O223" s="2" t="str">
        <f t="shared" si="110"/>
        <v>Her kan et synonym indsættes</v>
      </c>
      <c r="S223" s="2" t="str">
        <f t="shared" si="86"/>
        <v>Diuron</v>
      </c>
      <c r="T223" t="str">
        <f t="shared" si="107"/>
        <v>Coliforme bakterier, E. coli, Kimtal v. 22 ºC, Enterokokker, Temperatur, pH, Ledningsevne, NVOC, Ammonium, Jern, Mangan, Nitrit, Nitrat, Ilt, Hårdhed, Arsen, Nikkel, Aldrin, Dieldrin, Heptachlor, Heptachlorepoxid, Atrazin, Bentazon, Dichlobenil, Dichlorprop, Diuron</v>
      </c>
    </row>
    <row r="224" spans="4:20" x14ac:dyDescent="0.2">
      <c r="D224" s="55"/>
      <c r="F224" s="3" t="s">
        <v>110</v>
      </c>
      <c r="G224" s="4" t="str">
        <f>IF((IFERROR(SEARCH(K224,Rådata!$B$1000),-1)+IFERROR(SEARCH(L224,Rådata!$B$1000),-1)+IFERROR(SEARCH(M224,Rådata!$B$1000),-1)+IFERROR(SEARCH(N224,Rådata!$B$1000),-1)+IFERROR(SEARCH(O224,Rådata!$B$1000),-1))&gt;0,"-","NEJ")</f>
        <v>NEJ</v>
      </c>
      <c r="K224" s="2" t="str">
        <f>K105</f>
        <v>Ethylenthiourea</v>
      </c>
      <c r="L224" s="2" t="str">
        <f>L105</f>
        <v>Ethylenthiourinstof</v>
      </c>
      <c r="M224" s="2" t="str">
        <f>M105</f>
        <v>Her kan et synonym indsættes</v>
      </c>
      <c r="N224" s="2" t="str">
        <f t="shared" ref="N224:O224" si="111">N105</f>
        <v>Her kan et synonym indsættes</v>
      </c>
      <c r="O224" s="2" t="str">
        <f t="shared" si="111"/>
        <v>Her kan et synonym indsættes</v>
      </c>
      <c r="S224" s="2" t="str">
        <f t="shared" si="86"/>
        <v>ETU (Ethylenthiourea)</v>
      </c>
      <c r="T224"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v>
      </c>
    </row>
    <row r="225" spans="4:20" x14ac:dyDescent="0.2">
      <c r="D225" s="55"/>
      <c r="F225" s="3" t="s">
        <v>31</v>
      </c>
      <c r="G225" s="4" t="str">
        <f>IF((IFERROR(SEARCH(K225,Rådata!$B$1000),-1)+IFERROR(SEARCH(L225,Rådata!$B$1000),-1)+IFERROR(SEARCH(M225,Rådata!$B$1000),-1)+IFERROR(SEARCH(N225,Rådata!$B$1000),-1)+IFERROR(SEARCH(O225,Rådata!$B$1000),-1))&gt;0,"-","NEJ")</f>
        <v>NEJ</v>
      </c>
      <c r="K225" s="2" t="str">
        <f>K106</f>
        <v>Glyphosat</v>
      </c>
      <c r="L225" s="2" t="str">
        <f>L106</f>
        <v>Her kan et synonym indsættes</v>
      </c>
      <c r="M225" s="2" t="str">
        <f>M106</f>
        <v>Her kan et synonym indsættes</v>
      </c>
      <c r="N225" s="2" t="str">
        <f t="shared" ref="N225:O225" si="112">N106</f>
        <v>Her kan et synonym indsættes</v>
      </c>
      <c r="O225" s="2" t="str">
        <f t="shared" si="112"/>
        <v>Her kan et synonym indsættes</v>
      </c>
      <c r="S225" s="2" t="str">
        <f t="shared" si="86"/>
        <v>Glyphosat</v>
      </c>
      <c r="T225"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v>
      </c>
    </row>
    <row r="226" spans="4:20" x14ac:dyDescent="0.2">
      <c r="D226" s="55"/>
      <c r="F226" s="3" t="s">
        <v>32</v>
      </c>
      <c r="G226" s="4" t="str">
        <f>IF((IFERROR(SEARCH(K226,Rådata!$B$1000),-1)+IFERROR(SEARCH(L226,Rådata!$B$1000),-1)+IFERROR(SEARCH(M226,Rådata!$B$1000),-1)+IFERROR(SEARCH(N226,Rådata!$B$1000),-1)+IFERROR(SEARCH(O226,Rådata!$B$1000),-1))&gt;0,"-","NEJ")</f>
        <v>NEJ</v>
      </c>
      <c r="K226" s="2" t="str">
        <f>K107</f>
        <v>Hexazinon</v>
      </c>
      <c r="L226" s="2" t="str">
        <f>L107</f>
        <v>Her kan et synonym indsættes</v>
      </c>
      <c r="M226" s="2" t="str">
        <f>M107</f>
        <v>Her kan et synonym indsættes</v>
      </c>
      <c r="N226" s="2" t="str">
        <f t="shared" ref="N226:O226" si="113">N107</f>
        <v>Her kan et synonym indsættes</v>
      </c>
      <c r="O226" s="2" t="str">
        <f t="shared" si="113"/>
        <v>Her kan et synonym indsættes</v>
      </c>
      <c r="S226" s="2" t="str">
        <f t="shared" si="86"/>
        <v>Hexazinon</v>
      </c>
      <c r="T226"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v>
      </c>
    </row>
    <row r="227" spans="4:20" x14ac:dyDescent="0.2">
      <c r="D227" s="55"/>
      <c r="F227" s="3" t="s">
        <v>35</v>
      </c>
      <c r="G227" s="4" t="str">
        <f>IF((IFERROR(SEARCH(K227,Rådata!$B$1000),-1)+IFERROR(SEARCH(L227,Rådata!$B$1000),-1)+IFERROR(SEARCH(M227,Rådata!$B$1000),-1)+IFERROR(SEARCH(N227,Rådata!$B$1000),-1)+IFERROR(SEARCH(O227,Rådata!$B$1000),-1))&gt;0,"-","NEJ")</f>
        <v>NEJ</v>
      </c>
      <c r="K227" s="2" t="str">
        <f>K108</f>
        <v>MCPA</v>
      </c>
      <c r="L227" s="2" t="str">
        <f>L108</f>
        <v>Her kan et synonym indsættes</v>
      </c>
      <c r="M227" s="2" t="str">
        <f>M108</f>
        <v>Her kan et synonym indsættes</v>
      </c>
      <c r="N227" s="2" t="str">
        <f t="shared" ref="N227:O227" si="114">N108</f>
        <v>Her kan et synonym indsættes</v>
      </c>
      <c r="O227" s="2" t="str">
        <f t="shared" si="114"/>
        <v>Her kan et synonym indsættes</v>
      </c>
      <c r="S227" s="2" t="str">
        <f t="shared" si="86"/>
        <v>MCPA</v>
      </c>
      <c r="T227"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v>
      </c>
    </row>
    <row r="228" spans="4:20" x14ac:dyDescent="0.2">
      <c r="D228" s="55"/>
      <c r="F228" s="3" t="s">
        <v>111</v>
      </c>
      <c r="G228" s="4" t="str">
        <f>IF((IFERROR(SEARCH(K228,Rådata!$B$1000),-1)+IFERROR(SEARCH(L228,Rådata!$B$1000),-1)+IFERROR(SEARCH(M228,Rådata!$B$1000),-1)+IFERROR(SEARCH(N228,Rådata!$B$1000),-1)+IFERROR(SEARCH(O228,Rådata!$B$1000),-1))&gt;0,"-","NEJ")</f>
        <v>NEJ</v>
      </c>
      <c r="K228" s="2" t="str">
        <f>K109</f>
        <v>Mechlorprop</v>
      </c>
      <c r="L228" s="2" t="str">
        <f>L109</f>
        <v>Her kan et synonym indsættes</v>
      </c>
      <c r="M228" s="2" t="str">
        <f>M109</f>
        <v>Her kan et synonym indsættes</v>
      </c>
      <c r="N228" s="2" t="str">
        <f t="shared" ref="N228:O228" si="115">N109</f>
        <v>Her kan et synonym indsættes</v>
      </c>
      <c r="O228" s="2" t="str">
        <f t="shared" si="115"/>
        <v>Her kan et synonym indsættes</v>
      </c>
      <c r="S228" s="2" t="str">
        <f t="shared" si="86"/>
        <v>Mechlorprop</v>
      </c>
      <c r="T228"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v>
      </c>
    </row>
    <row r="229" spans="4:20" x14ac:dyDescent="0.2">
      <c r="D229" s="55"/>
      <c r="F229" s="3" t="s">
        <v>112</v>
      </c>
      <c r="G229" s="4" t="str">
        <f>IF((IFERROR(SEARCH(K229,Rådata!$B$1000),-1)+IFERROR(SEARCH(L229,Rådata!$B$1000),-1)+IFERROR(SEARCH(M229,Rådata!$B$1000),-1)+IFERROR(SEARCH(N229,Rådata!$B$1000),-1)+IFERROR(SEARCH(O229,Rådata!$B$1000),-1))&gt;0,"-","NEJ")</f>
        <v>NEJ</v>
      </c>
      <c r="K229" s="2" t="str">
        <f>K110</f>
        <v>Metalaxyl</v>
      </c>
      <c r="L229" s="2" t="str">
        <f>L110</f>
        <v>Her kan et synonym indsættes</v>
      </c>
      <c r="M229" s="2" t="str">
        <f>M110</f>
        <v>Her kan et synonym indsættes</v>
      </c>
      <c r="N229" s="2" t="str">
        <f t="shared" ref="N229:O229" si="116">N110</f>
        <v>Her kan et synonym indsættes</v>
      </c>
      <c r="O229" s="2" t="str">
        <f t="shared" si="116"/>
        <v>Her kan et synonym indsættes</v>
      </c>
      <c r="S229" s="2" t="str">
        <f t="shared" si="86"/>
        <v>Metalaxyl/metalaxyl-M</v>
      </c>
      <c r="T22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v>
      </c>
    </row>
    <row r="230" spans="4:20" x14ac:dyDescent="0.2">
      <c r="D230" s="55"/>
      <c r="F230" s="3" t="s">
        <v>36</v>
      </c>
      <c r="G230" s="4" t="str">
        <f>IF((IFERROR(SEARCH(K230,Rådata!$B$1000),-1)+IFERROR(SEARCH(L230,Rådata!$B$1000),-1)+IFERROR(SEARCH(M230,Rådata!$B$1000),-1)+IFERROR(SEARCH(N230,Rådata!$B$1000),-1)+IFERROR(SEARCH(O230,Rådata!$B$1000),-1))&gt;0,"-","NEJ")</f>
        <v>NEJ</v>
      </c>
      <c r="K230" s="2" t="str">
        <f>K111</f>
        <v>Metribuzin</v>
      </c>
      <c r="L230" s="2" t="str">
        <f>L111</f>
        <v>Her kan et synonym indsættes</v>
      </c>
      <c r="M230" s="2" t="str">
        <f>M111</f>
        <v>Her kan et synonym indsættes</v>
      </c>
      <c r="N230" s="2" t="str">
        <f t="shared" ref="N230:O230" si="117">N111</f>
        <v>Her kan et synonym indsættes</v>
      </c>
      <c r="O230" s="2" t="str">
        <f t="shared" si="117"/>
        <v>Her kan et synonym indsættes</v>
      </c>
      <c r="S230" s="2" t="str">
        <f t="shared" si="86"/>
        <v>Metribuzin</v>
      </c>
      <c r="T230"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v>
      </c>
    </row>
    <row r="231" spans="4:20" x14ac:dyDescent="0.2">
      <c r="D231" s="55"/>
      <c r="F231" s="3" t="s">
        <v>40</v>
      </c>
      <c r="G231" s="4" t="str">
        <f>IF((IFERROR(SEARCH(K231,Rådata!$B$1000),-1)+IFERROR(SEARCH(L231,Rådata!$B$1000),-1)+IFERROR(SEARCH(M231,Rådata!$B$1000),-1)+IFERROR(SEARCH(N231,Rådata!$B$1000),-1)+IFERROR(SEARCH(O231,Rådata!$B$1000),-1))&gt;0,"-","NEJ")</f>
        <v>NEJ</v>
      </c>
      <c r="K231" s="2" t="str">
        <f>K112</f>
        <v>Simazin</v>
      </c>
      <c r="L231" s="2" t="str">
        <f>L112</f>
        <v>Her kan et synonym indsættes</v>
      </c>
      <c r="M231" s="2" t="str">
        <f>M112</f>
        <v>Her kan et synonym indsættes</v>
      </c>
      <c r="N231" s="2" t="str">
        <f t="shared" ref="N231:O231" si="118">N112</f>
        <v>Her kan et synonym indsættes</v>
      </c>
      <c r="O231" s="2" t="str">
        <f t="shared" si="118"/>
        <v>Her kan et synonym indsættes</v>
      </c>
      <c r="S231" s="2" t="str">
        <f t="shared" si="86"/>
        <v>Simazin</v>
      </c>
      <c r="T231"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2" spans="4:20" x14ac:dyDescent="0.2">
      <c r="D232" s="55"/>
      <c r="E232" s="47" t="s">
        <v>113</v>
      </c>
      <c r="F232" s="47"/>
      <c r="G232" s="13"/>
      <c r="H232" s="13" t="str">
        <f>IF(IFERROR(SEARCH("NEJ",CONCATENATE(" ",G233,G234,G235,G236,G237,G238,G239,G240,G241,G242,G243,G244,G245,G246,G247,G248,G249,G250,G251,G252,G253,G254,G255,G256,G257,G258)),1)=1,"OK","NEJ")</f>
        <v>NEJ</v>
      </c>
      <c r="K232" s="30"/>
      <c r="L232" s="2"/>
      <c r="M232" s="2"/>
      <c r="N232" s="2"/>
      <c r="O232" s="2"/>
      <c r="T232"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3" spans="4:20" x14ac:dyDescent="0.2">
      <c r="D233" s="55"/>
      <c r="F233" s="9" t="s">
        <v>114</v>
      </c>
      <c r="G233" s="4" t="str">
        <f>IF((IFERROR(SEARCH(K233,Rådata!$B$1000),-1)+IFERROR(SEARCH(L233,Rådata!$B$1000),-1)+IFERROR(SEARCH(M233,Rådata!$B$1000),-1)+IFERROR(SEARCH(N233,Rådata!$B$1000),-1)+IFERROR(SEARCH(O233,Rådata!$B$1000),-1))&gt;0,"-","NEJ")</f>
        <v>NEJ</v>
      </c>
      <c r="K233" s="2" t="str">
        <f>K114</f>
        <v>triazol</v>
      </c>
      <c r="L233" s="2" t="str">
        <f>L114</f>
        <v>Her kan et synonym indsættes</v>
      </c>
      <c r="M233" s="2" t="str">
        <f>M114</f>
        <v>Her kan et synonym indsættes</v>
      </c>
      <c r="N233" s="2" t="str">
        <f t="shared" ref="N233:O233" si="119">N114</f>
        <v>Her kan et synonym indsættes</v>
      </c>
      <c r="O233" s="2" t="str">
        <f t="shared" si="119"/>
        <v>Her kan et synonym indsættes</v>
      </c>
      <c r="S233" s="2" t="str">
        <f t="shared" si="86"/>
        <v>1,2,4-triazol</v>
      </c>
      <c r="T233"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v>
      </c>
    </row>
    <row r="234" spans="4:20" x14ac:dyDescent="0.2">
      <c r="D234" s="55"/>
      <c r="F234" s="3" t="s">
        <v>115</v>
      </c>
      <c r="G234" s="4" t="str">
        <f>IF((IFERROR(SEARCH(K234,Rådata!$B$1000),-1)+IFERROR(SEARCH(L234,Rådata!$B$1000),-1)+IFERROR(SEARCH(M234,Rådata!$B$1000),-1)+IFERROR(SEARCH(N234,Rådata!$B$1000),-1)+IFERROR(SEARCH(O234,Rådata!$B$1000),-1))&gt;0,"-","NEJ")</f>
        <v>NEJ</v>
      </c>
      <c r="K234" s="2" t="str">
        <f>K115</f>
        <v>2,6-Dichlorbenzosyre</v>
      </c>
      <c r="L234" s="2" t="str">
        <f>L115</f>
        <v>Her kan et synonym indsættes</v>
      </c>
      <c r="M234" s="2" t="str">
        <f>M115</f>
        <v>Her kan et synonym indsættes</v>
      </c>
      <c r="N234" s="2" t="str">
        <f t="shared" ref="N234:O234" si="120">N115</f>
        <v>Her kan et synonym indsættes</v>
      </c>
      <c r="O234" s="2" t="str">
        <f t="shared" si="120"/>
        <v>Her kan et synonym indsættes</v>
      </c>
      <c r="S234" s="2" t="str">
        <f t="shared" si="86"/>
        <v>2,6-Dichlorbenzosyre</v>
      </c>
      <c r="T234"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v>
      </c>
    </row>
    <row r="235" spans="4:20" x14ac:dyDescent="0.2">
      <c r="D235" s="55"/>
      <c r="F235" s="3" t="s">
        <v>116</v>
      </c>
      <c r="G235" s="4" t="str">
        <f>IF((IFERROR(SEARCH(K235,Rådata!$B$1000),-1)+IFERROR(SEARCH(L235,Rådata!$B$1000),-1)+IFERROR(SEARCH(M235,Rådata!$B$1000),-1)+IFERROR(SEARCH(N235,Rådata!$B$1000),-1)+IFERROR(SEARCH(O235,Rådata!$B$1000),-1))&gt;0,"-","NEJ")</f>
        <v>NEJ</v>
      </c>
      <c r="K235" s="2" t="str">
        <f>K116</f>
        <v>2,4-Dichlorphenol</v>
      </c>
      <c r="L235" s="2" t="str">
        <f>L116</f>
        <v>Her kan et synonym indsættes</v>
      </c>
      <c r="M235" s="2" t="str">
        <f>M116</f>
        <v>Her kan et synonym indsættes</v>
      </c>
      <c r="N235" s="2" t="str">
        <f t="shared" ref="N235:O235" si="121">N116</f>
        <v>Her kan et synonym indsættes</v>
      </c>
      <c r="O235" s="2" t="str">
        <f t="shared" si="121"/>
        <v>Her kan et synonym indsættes</v>
      </c>
      <c r="S235" s="2" t="str">
        <f t="shared" si="86"/>
        <v>2,4-Dichlorphenol</v>
      </c>
      <c r="T235"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v>
      </c>
    </row>
    <row r="236" spans="4:20" x14ac:dyDescent="0.2">
      <c r="D236" s="55"/>
      <c r="F236" s="3" t="s">
        <v>117</v>
      </c>
      <c r="G236" s="4" t="str">
        <f>IF((IFERROR(SEARCH(K236,Rådata!$B$1000),-1)+IFERROR(SEARCH(L236,Rådata!$B$1000),-1)+IFERROR(SEARCH(M236,Rådata!$B$1000),-1)+IFERROR(SEARCH(N236,Rådata!$B$1000),-1)+IFERROR(SEARCH(O236,Rådata!$B$1000),-1))&gt;0,"-","NEJ")</f>
        <v>NEJ</v>
      </c>
      <c r="K236" s="2" t="str">
        <f>K117</f>
        <v>2,6-Dichlorphenol</v>
      </c>
      <c r="L236" s="2" t="str">
        <f>L117</f>
        <v>Her kan et synonym indsættes</v>
      </c>
      <c r="M236" s="2" t="str">
        <f>M117</f>
        <v>Her kan et synonym indsættes</v>
      </c>
      <c r="N236" s="2" t="str">
        <f t="shared" ref="N236:O236" si="122">N117</f>
        <v>Her kan et synonym indsættes</v>
      </c>
      <c r="O236" s="2" t="str">
        <f t="shared" si="122"/>
        <v>Her kan et synonym indsættes</v>
      </c>
      <c r="S236" s="2" t="str">
        <f t="shared" si="86"/>
        <v>2,6-Dichlorphenol</v>
      </c>
      <c r="T236"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37" spans="4:20" x14ac:dyDescent="0.2">
      <c r="D237" s="55"/>
      <c r="F237" s="3" t="s">
        <v>118</v>
      </c>
      <c r="G237" s="4" t="str">
        <f>IF((IFERROR(SEARCH(K237,Rådata!$B$1000),-1)+IFERROR(SEARCH(L237,Rådata!$B$1000),-1)+IFERROR(SEARCH(M237,Rådata!$B$1000),-1)+IFERROR(SEARCH(N237,Rådata!$B$1000),-1)+IFERROR(SEARCH(O237,Rådata!$B$1000),-1))&gt;0,"-","NEJ")</f>
        <v>NEJ</v>
      </c>
      <c r="K237" s="2" t="str">
        <f>K118</f>
        <v>4-CPP</v>
      </c>
      <c r="L237" s="2" t="str">
        <f>L118</f>
        <v>Her kan et synonym indsættes</v>
      </c>
      <c r="M237" s="2" t="str">
        <f>M118</f>
        <v>Her kan et synonym indsættes</v>
      </c>
      <c r="N237" s="2" t="str">
        <f t="shared" ref="N237:O237" si="123">N118</f>
        <v>Her kan et synonym indsættes</v>
      </c>
      <c r="O237" s="2" t="str">
        <f t="shared" si="123"/>
        <v>Her kan et synonym indsættes</v>
      </c>
      <c r="S237" s="2" t="str">
        <f t="shared" si="86"/>
        <v>4CPP (2-(4-chlorphenoxy)propionsyre)</v>
      </c>
      <c r="T237"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38" spans="4:20" x14ac:dyDescent="0.2">
      <c r="D238" s="55"/>
      <c r="F238" s="3" t="s">
        <v>119</v>
      </c>
      <c r="G238" s="4" t="str">
        <f>IF((IFERROR(SEARCH(K238,Rådata!$B$1000),-1)+IFERROR(SEARCH(L238,Rådata!$B$1000),-1)+IFERROR(SEARCH(M238,Rådata!$B$1000),-1)+IFERROR(SEARCH(N238,Rådata!$B$1000),-1)+IFERROR(SEARCH(O238,Rådata!$B$1000),-1))&gt;0,"-","NEJ")</f>
        <v>NEJ</v>
      </c>
      <c r="K238" s="2" t="str">
        <f>K119</f>
        <v>2,6-DCPP</v>
      </c>
      <c r="L238" s="2" t="str">
        <f>L119</f>
        <v>Her kan et synonym indsættes</v>
      </c>
      <c r="M238" s="2" t="str">
        <f>M119</f>
        <v>Her kan et synonym indsættes</v>
      </c>
      <c r="N238" s="2" t="str">
        <f t="shared" ref="N238:O238" si="124">N119</f>
        <v>Her kan et synonym indsættes</v>
      </c>
      <c r="O238" s="2" t="str">
        <f t="shared" si="124"/>
        <v>Her kan et synonym indsættes</v>
      </c>
      <c r="S238" s="2" t="str">
        <f t="shared" si="86"/>
        <v>2,6-DCPP (2-(2,6-dichlorphenoxy-propionsyre))</v>
      </c>
      <c r="T238"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39" spans="4:20" x14ac:dyDescent="0.2">
      <c r="D239" s="55"/>
      <c r="F239" s="3" t="s">
        <v>120</v>
      </c>
      <c r="G239" s="4" t="str">
        <f>IF((IFERROR(SEARCH(K239,Rådata!$B$1000),-1)+IFERROR(SEARCH(L239,Rådata!$B$1000),-1)+IFERROR(SEARCH(M239,Rådata!$B$1000),-1)+IFERROR(SEARCH(N239,Rådata!$B$1000),-1)+IFERROR(SEARCH(O239,Rådata!$B$1000),-1))&gt;0,"-","NEJ")</f>
        <v>NEJ</v>
      </c>
      <c r="K239" s="2" t="str">
        <f>K120</f>
        <v>4-Nitrophenol</v>
      </c>
      <c r="L239" s="2" t="str">
        <f>L120</f>
        <v>Her kan et synonym indsættes</v>
      </c>
      <c r="M239" s="2" t="str">
        <f>M120</f>
        <v>Her kan et synonym indsættes</v>
      </c>
      <c r="N239" s="2" t="str">
        <f t="shared" ref="N239:O239" si="125">N120</f>
        <v>Her kan et synonym indsættes</v>
      </c>
      <c r="O239" s="2" t="str">
        <f t="shared" si="125"/>
        <v>Her kan et synonym indsættes</v>
      </c>
      <c r="S239" s="2" t="str">
        <f t="shared" si="86"/>
        <v>4-Nitrophenol</v>
      </c>
      <c r="T23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40" spans="4:20" x14ac:dyDescent="0.2">
      <c r="D240" s="55"/>
      <c r="F240" s="3" t="s">
        <v>121</v>
      </c>
      <c r="G240" s="4" t="str">
        <f>IF((IFERROR(SEARCH(K240,Rådata!$B$1000),-1)+IFERROR(SEARCH(L240,Rådata!$B$1000),-1)+IFERROR(SEARCH(M240,Rådata!$B$1000),-1)+IFERROR(SEARCH(N240,Rådata!$B$1000),-1)+IFERROR(SEARCH(O240,Rådata!$B$1000),-1))&gt;0,"-","NEJ")</f>
        <v>NEJ</v>
      </c>
      <c r="K240" s="2" t="str">
        <f>K121</f>
        <v>AMPA</v>
      </c>
      <c r="L240" s="2" t="str">
        <f t="shared" ref="L240:M240" si="126">L121</f>
        <v>Her kan et synonym indsættes</v>
      </c>
      <c r="M240" s="2" t="str">
        <f t="shared" si="126"/>
        <v>Her kan et synonym indsættes</v>
      </c>
      <c r="N240" s="2" t="str">
        <f t="shared" ref="N240:O240" si="127">N121</f>
        <v>Her kan et synonym indsættes</v>
      </c>
      <c r="O240" s="2" t="str">
        <f t="shared" si="127"/>
        <v>Her kan et synonym indsættes</v>
      </c>
      <c r="S240" s="2" t="str">
        <f t="shared" si="86"/>
        <v>AMPA (Aminomethylphosphorsyre)</v>
      </c>
      <c r="T240"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41" spans="4:20" x14ac:dyDescent="0.2">
      <c r="D241" s="55"/>
      <c r="F241" s="3" t="s">
        <v>122</v>
      </c>
      <c r="G241" s="4" t="str">
        <f>IF((IFERROR(SEARCH(K241,Rådata!$B$1000),-1)+IFERROR(SEARCH(L241,Rådata!$B$1000),-1)+IFERROR(SEARCH(M241,Rådata!$B$1000),-1)+IFERROR(SEARCH(N241,Rådata!$B$1000),-1)+IFERROR(SEARCH(O241,Rådata!$B$1000),-1))&gt;0,"-","NEJ")</f>
        <v>NEJ</v>
      </c>
      <c r="K241" s="2" t="str">
        <f>K122</f>
        <v>Dichlorbenzamid</v>
      </c>
      <c r="L241" s="2" t="str">
        <f>L122</f>
        <v>Her kan et synonym indsættes</v>
      </c>
      <c r="M241" s="2" t="str">
        <f>M122</f>
        <v>Her kan et synonym indsættes</v>
      </c>
      <c r="N241" s="2" t="str">
        <f t="shared" ref="N241:O241" si="128">N122</f>
        <v>Her kan et synonym indsættes</v>
      </c>
      <c r="O241" s="2" t="str">
        <f t="shared" si="128"/>
        <v>Her kan et synonym indsættes</v>
      </c>
      <c r="S241" s="2" t="str">
        <f t="shared" si="86"/>
        <v>BAM (2,6-Dichlorbenzamid)</v>
      </c>
      <c r="T241"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42" spans="4:20" x14ac:dyDescent="0.2">
      <c r="D242" s="55"/>
      <c r="F242" s="3" t="s">
        <v>123</v>
      </c>
      <c r="G242" s="4" t="str">
        <f>IF((IFERROR(SEARCH(K242,Rådata!$B$1000),-1)+IFERROR(SEARCH(L242,Rådata!$B$1000),-1)+IFERROR(SEARCH(M242,Rådata!$B$1000),-1)+IFERROR(SEARCH(N242,Rådata!$B$1000),-1)+IFERROR(SEARCH(O242,Rådata!$B$1000),-1))&gt;0,"-","NEJ")</f>
        <v>NEJ</v>
      </c>
      <c r="K242" s="2" t="str">
        <f>K123</f>
        <v>CGA 62826</v>
      </c>
      <c r="L242" s="2" t="str">
        <f>L123</f>
        <v>CGA62826</v>
      </c>
      <c r="M242" s="2" t="str">
        <f>M123</f>
        <v>Her kan et synonym indsættes</v>
      </c>
      <c r="N242" s="2" t="str">
        <f t="shared" ref="N242:O242" si="129">N123</f>
        <v>Her kan et synonym indsættes</v>
      </c>
      <c r="O242" s="2" t="str">
        <f t="shared" si="129"/>
        <v>Her kan et synonym indsættes</v>
      </c>
      <c r="S242" s="2" t="str">
        <f t="shared" si="86"/>
        <v>N-(2, 6-dimethylphenyl)-N-(Methoxyacetyl)alanin (CGA62826)</v>
      </c>
      <c r="T242"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43" spans="4:20" x14ac:dyDescent="0.2">
      <c r="D243" s="55"/>
      <c r="F243" s="3" t="s">
        <v>124</v>
      </c>
      <c r="G243" s="4" t="str">
        <f>IF((IFERROR(SEARCH(K243,Rådata!$B$1000),-1)+IFERROR(SEARCH(L243,Rådata!$B$1000),-1)+IFERROR(SEARCH(M243,Rådata!$B$1000),-1)+IFERROR(SEARCH(N243,Rådata!$B$1000),-1)+IFERROR(SEARCH(O243,Rådata!$B$1000),-1))&gt;0,"-","NEJ")</f>
        <v>NEJ</v>
      </c>
      <c r="K243" s="2" t="str">
        <f>K124</f>
        <v>CGA 108906</v>
      </c>
      <c r="L243" s="2" t="str">
        <f>L124</f>
        <v>CGA108906</v>
      </c>
      <c r="M243" s="2" t="str">
        <f>M124</f>
        <v>Her kan et synonym indsættes</v>
      </c>
      <c r="N243" s="2" t="str">
        <f t="shared" ref="N243:O243" si="130">N124</f>
        <v>Her kan et synonym indsættes</v>
      </c>
      <c r="O243" s="2" t="str">
        <f t="shared" si="130"/>
        <v>Her kan et synonym indsættes</v>
      </c>
      <c r="S243" s="2" t="str">
        <f t="shared" si="86"/>
        <v>N-(2-carboxy-6-methylphenyl) N-methoxyacetyl)alanin (CGA108906)</v>
      </c>
      <c r="T243"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44" spans="4:20" x14ac:dyDescent="0.2">
      <c r="D244" s="55"/>
      <c r="F244" s="3" t="s">
        <v>125</v>
      </c>
      <c r="G244" s="4" t="str">
        <f>IF((IFERROR(SEARCH(K244,Rådata!$B$1000),-1)+IFERROR(SEARCH(L244,Rådata!$B$1000),-1)+IFERROR(SEARCH(M244,Rådata!$B$1000),-1)+IFERROR(SEARCH(N244,Rådata!$B$1000),-1)+IFERROR(SEARCH(O244,Rådata!$B$1000),-1))&gt;0,"-","NEJ")</f>
        <v>NEJ</v>
      </c>
      <c r="K244" s="2" t="str">
        <f>K125</f>
        <v>Desethyl-desisopropyl-atrazin</v>
      </c>
      <c r="L244" s="2" t="str">
        <f>L125</f>
        <v>Desethyldesisopropyl-atrazin</v>
      </c>
      <c r="M244" s="2" t="str">
        <f>M125</f>
        <v>DEIA</v>
      </c>
      <c r="N244" s="2" t="str">
        <f t="shared" ref="N244:O244" si="131">N125</f>
        <v>Atrazin, desethyl-desisopropyl-</v>
      </c>
      <c r="O244" s="2" t="str">
        <f t="shared" si="131"/>
        <v>Desethyldesisopropylatrazin</v>
      </c>
      <c r="S244" s="2" t="str">
        <f t="shared" si="86"/>
        <v>DEIA (Desethyldesisopropyl-atrazin)</v>
      </c>
      <c r="T244"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245" spans="4:20" x14ac:dyDescent="0.2">
      <c r="D245" s="55"/>
      <c r="F245" s="3" t="s">
        <v>25</v>
      </c>
      <c r="G245" s="4" t="str">
        <f>IF((IFERROR(SEARCH(K245,Rådata!$B$1000),-1)+IFERROR(SEARCH(L245,Rådata!$B$1000),-1)+IFERROR(SEARCH(M245,Rådata!$B$1000),-1)+IFERROR(SEARCH(N245,Rådata!$B$1000),-1)+IFERROR(SEARCH(O245,Rådata!$B$1000),-1))&gt;0,"-","NEJ")</f>
        <v>NEJ</v>
      </c>
      <c r="K245" s="2" t="str">
        <f>K126</f>
        <v>Desethyl-hydroxy-atrazin</v>
      </c>
      <c r="L245" s="2" t="str">
        <f>L126</f>
        <v>Desethylhydroxy-atrazin</v>
      </c>
      <c r="M245" s="2" t="str">
        <f>M126</f>
        <v>Desethylhydroxyatrazin</v>
      </c>
      <c r="N245" s="2" t="str">
        <f t="shared" ref="N245:O245" si="132">N126</f>
        <v>Her kan et synonym indsættes</v>
      </c>
      <c r="O245" s="2" t="str">
        <f t="shared" si="132"/>
        <v>Her kan et synonym indsættes</v>
      </c>
      <c r="S245" s="2" t="str">
        <f t="shared" si="86"/>
        <v>Desethyl-hydroxy-atrazin</v>
      </c>
      <c r="T245"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246" spans="4:20" x14ac:dyDescent="0.2">
      <c r="D246" s="55"/>
      <c r="F246" s="3" t="s">
        <v>23</v>
      </c>
      <c r="G246" s="4" t="str">
        <f>IF((IFERROR(SEARCH(K246,Rådata!$B$1000),-1)+IFERROR(SEARCH(L246,Rådata!$B$1000),-1)+IFERROR(SEARCH(M246,Rådata!$B$1000),-1)+IFERROR(SEARCH(N246,Rådata!$B$1000),-1)+IFERROR(SEARCH(O246,Rådata!$B$1000),-1))&gt;0,"-","NEJ")</f>
        <v>NEJ</v>
      </c>
      <c r="K246" s="2" t="str">
        <f>K127</f>
        <v>Desethyl-atrazin</v>
      </c>
      <c r="L246" s="2" t="str">
        <f>L127</f>
        <v>Desethylatrazin</v>
      </c>
      <c r="M246" s="2" t="str">
        <f>M127</f>
        <v>Atrazin, desethyl-</v>
      </c>
      <c r="N246" s="2" t="str">
        <f t="shared" ref="N246:O246" si="133">N127</f>
        <v>Her kan et synonym indsættes</v>
      </c>
      <c r="O246" s="2" t="str">
        <f t="shared" si="133"/>
        <v>Her kan et synonym indsættes</v>
      </c>
      <c r="S246" s="2" t="str">
        <f t="shared" si="86"/>
        <v>Desethyl-atrazin</v>
      </c>
      <c r="T246"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247" spans="4:20" x14ac:dyDescent="0.2">
      <c r="D247" s="55"/>
      <c r="F247" s="3" t="s">
        <v>26</v>
      </c>
      <c r="G247" s="4" t="str">
        <f>IF((IFERROR(SEARCH(K247,Rådata!$B$1000),-1)+IFERROR(SEARCH(L247,Rådata!$B$1000),-1)+IFERROR(SEARCH(M247,Rådata!$B$1000),-1)+IFERROR(SEARCH(N247,Rådata!$B$1000),-1)+IFERROR(SEARCH(O247,Rådata!$B$1000),-1))&gt;0,"-","NEJ")</f>
        <v>NEJ</v>
      </c>
      <c r="K247" s="2" t="str">
        <f>K128</f>
        <v>Desethyl-terbutylazin</v>
      </c>
      <c r="L247" s="2" t="str">
        <f>L128</f>
        <v>Desethylterbutylazin</v>
      </c>
      <c r="M247" s="2" t="str">
        <f>M128</f>
        <v>Terbut.azin,desethyl</v>
      </c>
      <c r="N247" s="2" t="str">
        <f t="shared" ref="N247:O247" si="134">N128</f>
        <v>Her kan et synonym indsættes</v>
      </c>
      <c r="O247" s="2" t="str">
        <f t="shared" si="134"/>
        <v>Her kan et synonym indsættes</v>
      </c>
      <c r="S247" s="2" t="str">
        <f t="shared" si="86"/>
        <v>Desethyl-terbutylazin</v>
      </c>
      <c r="T247"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248" spans="4:20" x14ac:dyDescent="0.2">
      <c r="D248" s="55"/>
      <c r="F248" s="3" t="s">
        <v>27</v>
      </c>
      <c r="G248" s="4" t="str">
        <f>IF((IFERROR(SEARCH(K248,Rådata!$B$1000),-1)+IFERROR(SEARCH(L248,Rådata!$B$1000),-1)+IFERROR(SEARCH(M248,Rådata!$B$1000),-1)+IFERROR(SEARCH(N248,Rådata!$B$1000),-1)+IFERROR(SEARCH(O248,Rådata!$B$1000),-1))&gt;0,"-","NEJ")</f>
        <v>NEJ</v>
      </c>
      <c r="K248" s="2" t="str">
        <f>K129</f>
        <v>Desisopropyl-atrazin</v>
      </c>
      <c r="L248" s="2" t="str">
        <f>L129</f>
        <v>Desisopropylatrazin</v>
      </c>
      <c r="M248" s="2" t="str">
        <f>M129</f>
        <v>atrazin, Desisopropy</v>
      </c>
      <c r="N248" s="2" t="str">
        <f t="shared" ref="N248:O248" si="135">N129</f>
        <v>Her kan et synonym indsættes</v>
      </c>
      <c r="O248" s="2" t="str">
        <f t="shared" si="135"/>
        <v>Her kan et synonym indsættes</v>
      </c>
      <c r="S248" s="2" t="str">
        <f t="shared" si="86"/>
        <v>Desisopropyl-atrazin</v>
      </c>
      <c r="T248"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249" spans="4:20" x14ac:dyDescent="0.2">
      <c r="D249" s="55"/>
      <c r="F249" s="3" t="s">
        <v>22</v>
      </c>
      <c r="G249" s="4" t="str">
        <f>IF((IFERROR(SEARCH(K249,Rådata!$B$1000),-1)+IFERROR(SEARCH(L249,Rådata!$B$1000),-1)+IFERROR(SEARCH(M249,Rådata!$B$1000),-1)+IFERROR(SEARCH(N249,Rådata!$B$1000),-1)+IFERROR(SEARCH(O249,Rådata!$B$1000),-1))&gt;0,"-","NEJ")</f>
        <v>NEJ</v>
      </c>
      <c r="K249" s="2" t="str">
        <f>K130</f>
        <v>Deisopropyl-hydroxy-atrazin</v>
      </c>
      <c r="L249" s="2" t="str">
        <f>L130</f>
        <v>Desisopropylhydroxy-atrazin</v>
      </c>
      <c r="M249" s="2" t="str">
        <f>M130</f>
        <v>Desisopropyl-hydroxyatrazin</v>
      </c>
      <c r="N249" s="2" t="str">
        <f t="shared" ref="N249:O249" si="136">N130</f>
        <v>Deisopropyl-hydroxyatrazin</v>
      </c>
      <c r="O249" s="2" t="str">
        <f t="shared" si="136"/>
        <v>Desisopropylhydroxyatrazin</v>
      </c>
      <c r="S249" s="2" t="str">
        <f t="shared" si="86"/>
        <v>Deisopropyl-hydroxy-atrazin</v>
      </c>
      <c r="T249"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250" spans="4:20" x14ac:dyDescent="0.2">
      <c r="D250" s="55"/>
      <c r="F250" s="3" t="s">
        <v>126</v>
      </c>
      <c r="G250" s="4" t="str">
        <f>IF((IFERROR(SEARCH(K250,Rådata!$B$1000),-1)+IFERROR(SEARCH(L250,Rådata!$B$1000),-1)+IFERROR(SEARCH(M250,Rådata!$B$1000),-1)+IFERROR(SEARCH(N250,Rådata!$B$1000),-1)+IFERROR(SEARCH(O250,Rådata!$B$1000),-1))&gt;0,"-","NEJ")</f>
        <v>NEJ</v>
      </c>
      <c r="K250" s="2" t="str">
        <f>K131</f>
        <v>chloridazon, Desphenyl-</v>
      </c>
      <c r="L250" s="2" t="str">
        <f>L131</f>
        <v>Desphenylchloridazon</v>
      </c>
      <c r="M250" s="2" t="str">
        <f>M131</f>
        <v>Desphenyl-Chloridazon</v>
      </c>
      <c r="N250" s="2" t="str">
        <f t="shared" ref="N250:O250" si="137">N131</f>
        <v>Chloridazon-desphenyl</v>
      </c>
      <c r="O250" s="2" t="str">
        <f t="shared" si="137"/>
        <v>Her kan et synonym indsættes</v>
      </c>
      <c r="S250" s="2" t="str">
        <f t="shared" si="86"/>
        <v>Desphenyl-chloridazon</v>
      </c>
      <c r="T250"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251" spans="4:20" x14ac:dyDescent="0.2">
      <c r="D251" s="55"/>
      <c r="F251" s="3" t="s">
        <v>29</v>
      </c>
      <c r="G251" s="4" t="str">
        <f>IF((IFERROR(SEARCH(K251,Rådata!$B$1000),-1)+IFERROR(SEARCH(L251,Rådata!$B$1000),-1)+IFERROR(SEARCH(M251,Rådata!$B$1000),-1)+IFERROR(SEARCH(N251,Rådata!$B$1000),-1)+IFERROR(SEARCH(O251,Rådata!$B$1000),-1))&gt;0,"-","NEJ")</f>
        <v>NEJ</v>
      </c>
      <c r="K251" s="2" t="str">
        <f>K132</f>
        <v>Didealkyl-hydroxy-atrazin</v>
      </c>
      <c r="L251" s="2" t="str">
        <f>L132</f>
        <v>Didealkylhydroxy-atrazin</v>
      </c>
      <c r="M251" s="2" t="str">
        <f>M132</f>
        <v>Desethyldesisopropylhydroxyatrazin</v>
      </c>
      <c r="N251" s="2" t="str">
        <f t="shared" ref="N251:O251" si="138">N132</f>
        <v>Her kan et synonym indsættes</v>
      </c>
      <c r="O251" s="2" t="str">
        <f t="shared" si="138"/>
        <v>Her kan et synonym indsættes</v>
      </c>
      <c r="S251" s="2" t="str">
        <f t="shared" si="86"/>
        <v>Didealkyl-hydroxy-atrazin</v>
      </c>
      <c r="T251"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252" spans="4:20" x14ac:dyDescent="0.2">
      <c r="D252" s="55"/>
      <c r="F252" s="3" t="s">
        <v>33</v>
      </c>
      <c r="G252" s="4" t="str">
        <f>IF((IFERROR(SEARCH(K252,Rådata!$B$1000),-1)+IFERROR(SEARCH(L252,Rådata!$B$1000),-1)+IFERROR(SEARCH(M252,Rådata!$B$1000),-1)+IFERROR(SEARCH(N252,Rådata!$B$1000),-1)+IFERROR(SEARCH(O252,Rådata!$B$1000),-1))&gt;0,"-","NEJ")</f>
        <v>NEJ</v>
      </c>
      <c r="K252" s="2" t="str">
        <f>K133</f>
        <v>Hydroxyatrazin</v>
      </c>
      <c r="L252" s="2" t="str">
        <f>L133</f>
        <v>Her kan et synonym indsættes</v>
      </c>
      <c r="M252" s="2" t="str">
        <f>M133</f>
        <v>Her kan et synonym indsættes</v>
      </c>
      <c r="N252" s="2" t="str">
        <f t="shared" ref="N252:O252" si="139">N133</f>
        <v>Her kan et synonym indsættes</v>
      </c>
      <c r="O252" s="2" t="str">
        <f t="shared" si="139"/>
        <v>Her kan et synonym indsættes</v>
      </c>
      <c r="S252" s="2" t="str">
        <f t="shared" si="86"/>
        <v>Hydroxyatrazin</v>
      </c>
      <c r="T252"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253" spans="4:20" x14ac:dyDescent="0.2">
      <c r="D253" s="55"/>
      <c r="F253" s="3" t="s">
        <v>34</v>
      </c>
      <c r="G253" s="4" t="str">
        <f>IF((IFERROR(SEARCH(K253,Rådata!$B$1000),-1)+IFERROR(SEARCH(L253,Rådata!$B$1000),-1)+IFERROR(SEARCH(M253,Rådata!$B$1000),-1)+IFERROR(SEARCH(N253,Rådata!$B$1000),-1)+IFERROR(SEARCH(O253,Rådata!$B$1000),-1))&gt;0,"-","NEJ")</f>
        <v>NEJ</v>
      </c>
      <c r="K253" s="2" t="str">
        <f>K134</f>
        <v>Hydroxysimazin</v>
      </c>
      <c r="L253" s="2" t="str">
        <f>L134</f>
        <v>simazin, Hydroxy</v>
      </c>
      <c r="M253" s="2" t="str">
        <f>M134</f>
        <v>Her kan et synonym indsættes</v>
      </c>
      <c r="N253" s="2" t="str">
        <f t="shared" ref="N253:O253" si="140">N134</f>
        <v>Her kan et synonym indsættes</v>
      </c>
      <c r="O253" s="2" t="str">
        <f t="shared" si="140"/>
        <v>Her kan et synonym indsættes</v>
      </c>
      <c r="S253" s="2" t="str">
        <f t="shared" si="86"/>
        <v>Hydroxysimazin</v>
      </c>
      <c r="T253"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254" spans="4:20" x14ac:dyDescent="0.2">
      <c r="D254" s="55"/>
      <c r="F254" s="3" t="s">
        <v>127</v>
      </c>
      <c r="G254" s="4" t="str">
        <f>IF((IFERROR(SEARCH(K254,Rådata!$B$1000),-1)+IFERROR(SEARCH(L254,Rådata!$B$1000),-1)+IFERROR(SEARCH(M254,Rådata!$B$1000),-1)+IFERROR(SEARCH(N254,Rådata!$B$1000),-1)+IFERROR(SEARCH(O254,Rådata!$B$1000),-1))&gt;0,"-","NEJ")</f>
        <v>NEJ</v>
      </c>
      <c r="K254" s="2" t="str">
        <f>K135</f>
        <v>chloridazon, Methyl-desphenyl-</v>
      </c>
      <c r="L254" s="2" t="str">
        <f>L135</f>
        <v>Methyl-desphenyl-chloridazon</v>
      </c>
      <c r="M254" s="2" t="str">
        <f>M135</f>
        <v>Methyl-desphenyl chloridazon</v>
      </c>
      <c r="N254" s="2" t="str">
        <f t="shared" ref="N254:O254" si="141">N135</f>
        <v>Chloridazon-methyl-desphenyl</v>
      </c>
      <c r="O254" s="2" t="str">
        <f t="shared" si="141"/>
        <v>Her kan et synonym indsættes</v>
      </c>
      <c r="S254" s="2" t="str">
        <f t="shared" si="86"/>
        <v>Methyl-desphenyl-chloridazon</v>
      </c>
      <c r="T254"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255" spans="4:20" x14ac:dyDescent="0.2">
      <c r="D255" s="55"/>
      <c r="F255" s="3" t="s">
        <v>38</v>
      </c>
      <c r="G255" s="4" t="str">
        <f>IF((IFERROR(SEARCH(K255,Rådata!$B$1000),-1)+IFERROR(SEARCH(L255,Rådata!$B$1000),-1)+IFERROR(SEARCH(M255,Rådata!$B$1000),-1)+IFERROR(SEARCH(N255,Rådata!$B$1000),-1)+IFERROR(SEARCH(O255,Rådata!$B$1000),-1))&gt;0,"-","NEJ")</f>
        <v>NEJ</v>
      </c>
      <c r="K255" s="2" t="str">
        <f>K136</f>
        <v>Metribuzin-desamino-diketo</v>
      </c>
      <c r="L255" s="2" t="str">
        <f>L136</f>
        <v>Metribuzin-DADK</v>
      </c>
      <c r="M255" s="2" t="str">
        <f>M136</f>
        <v>Metribuz-desam-diket</v>
      </c>
      <c r="N255" s="2" t="str">
        <f t="shared" ref="N255:O255" si="142">N136</f>
        <v>desaminodiketoMetribuzin</v>
      </c>
      <c r="O255" s="2" t="str">
        <f t="shared" si="142"/>
        <v>Her kan et synonym indsættes</v>
      </c>
      <c r="S255" s="2" t="str">
        <f t="shared" si="86"/>
        <v>Metribuzin-desamino-diketo</v>
      </c>
      <c r="T255"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56" spans="4:20" x14ac:dyDescent="0.2">
      <c r="D256" s="55"/>
      <c r="F256" s="3" t="s">
        <v>39</v>
      </c>
      <c r="G256" s="4" t="str">
        <f>IF((IFERROR(SEARCH(K256,Rådata!$B$1000),-1)+IFERROR(SEARCH(L256,Rådata!$B$1000),-1)+IFERROR(SEARCH(M256,Rådata!$B$1000),-1)+IFERROR(SEARCH(N256,Rådata!$B$1000),-1)+IFERROR(SEARCH(O256,Rådata!$B$1000),-1))&gt;0,"-","NEJ")</f>
        <v>NEJ</v>
      </c>
      <c r="K256" s="2" t="str">
        <f>K137</f>
        <v>Metribuzin-diketo</v>
      </c>
      <c r="L256" s="2" t="str">
        <f>L137</f>
        <v>Metribuzin-deketo</v>
      </c>
      <c r="M256" s="2" t="str">
        <f>M137</f>
        <v>diketoMetribuzin</v>
      </c>
      <c r="N256" s="2" t="str">
        <f t="shared" ref="N256:O256" si="143">N137</f>
        <v>Her kan et synonym indsættes</v>
      </c>
      <c r="O256" s="2" t="str">
        <f t="shared" si="143"/>
        <v>Her kan et synonym indsættes</v>
      </c>
      <c r="S256" s="2" t="str">
        <f t="shared" si="86"/>
        <v>Metribuzin-diketo</v>
      </c>
      <c r="T256"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57" spans="4:20" x14ac:dyDescent="0.2">
      <c r="D257" s="55"/>
      <c r="F257" s="3" t="s">
        <v>37</v>
      </c>
      <c r="G257" s="4" t="str">
        <f>IF((IFERROR(SEARCH(K257,Rådata!$B$1000),-1)+IFERROR(SEARCH(L257,Rådata!$B$1000),-1)+IFERROR(SEARCH(M257,Rådata!$B$1000),-1)+IFERROR(SEARCH(N257,Rådata!$B$1000),-1)+IFERROR(SEARCH(O257,Rådata!$B$1000),-1))&gt;0,"-","NEJ")</f>
        <v>NEJ</v>
      </c>
      <c r="K257" s="2" t="str">
        <f>K138</f>
        <v>Metribuzin-desamino</v>
      </c>
      <c r="L257" s="2" t="str">
        <f>L138</f>
        <v>Metribuzindesamino</v>
      </c>
      <c r="M257" s="2" t="str">
        <f>M138</f>
        <v>Her kan et synonym indsættes</v>
      </c>
      <c r="N257" s="2" t="str">
        <f t="shared" ref="N257:O257" si="144">N138</f>
        <v>Her kan et synonym indsættes</v>
      </c>
      <c r="O257" s="2" t="str">
        <f t="shared" si="144"/>
        <v>Her kan et synonym indsættes</v>
      </c>
      <c r="S257" s="2" t="str">
        <f t="shared" si="86"/>
        <v>Metribuzin-desamino</v>
      </c>
      <c r="T257"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58" spans="4:20" x14ac:dyDescent="0.2">
      <c r="D258" s="55"/>
      <c r="F258" s="3" t="s">
        <v>128</v>
      </c>
      <c r="G258" s="4" t="str">
        <f>IF((IFERROR(SEARCH(K258,Rådata!$B$1000),-1)+IFERROR(SEARCH(L258,Rådata!$B$1000),-1)+IFERROR(SEARCH(M258,Rådata!$B$1000),-1)+IFERROR(SEARCH(N258,Rådata!$B$1000),-1)+IFERROR(SEARCH(O258,Rådata!$B$1000),-1))&gt;0,"-","NEJ")</f>
        <v>NEJ</v>
      </c>
      <c r="K258" s="2" t="str">
        <f>K139</f>
        <v>Sum af pesticider</v>
      </c>
      <c r="L258" s="2" t="str">
        <f>L139</f>
        <v>total pesticid</v>
      </c>
      <c r="M258" s="2" t="str">
        <f>M139</f>
        <v>pesticid total</v>
      </c>
      <c r="N258" s="2" t="str">
        <f t="shared" ref="N258:O258" si="145">N139</f>
        <v>Sum af analyserede pesticider</v>
      </c>
      <c r="O258" s="2" t="str">
        <f t="shared" si="145"/>
        <v>Her kan et synonym indsættes</v>
      </c>
      <c r="S258" s="2" t="str">
        <f t="shared" si="86"/>
        <v>Sum af pesticider</v>
      </c>
      <c r="T258" t="str">
        <f t="shared" si="107"/>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59" spans="4:20" x14ac:dyDescent="0.2">
      <c r="D259" s="55"/>
    </row>
    <row r="260" spans="4:20" x14ac:dyDescent="0.2">
      <c r="D260" s="55"/>
      <c r="E260" s="46" t="s">
        <v>169</v>
      </c>
      <c r="F260" s="46"/>
      <c r="G260" s="15" t="str">
        <f>IF(IFERROR(SEARCH("NEJ",CONCATENATE(" ",H262,H285,H292,H310)),1)=1,"(OK)","(NEJ)")</f>
        <v>(NEJ)</v>
      </c>
      <c r="H260" t="str">
        <f>IF(G260="OK","",RIGHT(T336,LEN(T336)))</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60" s="31"/>
    </row>
    <row r="261" spans="4:20" x14ac:dyDescent="0.2">
      <c r="D261" s="55"/>
      <c r="F261" s="17"/>
      <c r="G261" s="5"/>
    </row>
    <row r="262" spans="4:20" x14ac:dyDescent="0.2">
      <c r="D262" s="55"/>
      <c r="E262" s="48" t="s">
        <v>63</v>
      </c>
      <c r="F262" s="48"/>
      <c r="G262" s="14"/>
      <c r="H262" s="13" t="str">
        <f>IF(IFERROR(SEARCH("NEJ",CONCATENATE(" ",G263,G264,G265,G266,G267,G268,G269,G271,G272,G273,G274,G275,G276,G277,G278,G279,G280,G281,G282,G283,G284)),1)=1,"OK","NEJ")</f>
        <v>NEJ</v>
      </c>
    </row>
    <row r="263" spans="4:20" x14ac:dyDescent="0.2">
      <c r="D263" s="55"/>
      <c r="F263" s="9" t="s">
        <v>64</v>
      </c>
      <c r="G263" s="4" t="str">
        <f>IF((IFERROR(SEARCH(K263,Rådata!$B$1000),-1)+IFERROR(SEARCH(L263,Rådata!$B$1000),-1)+IFERROR(SEARCH(M263,Rådata!$B$1000),-1)+IFERROR(SEARCH(N263,Rådata!$B$1000),-1)+IFERROR(SEARCH(O263,Rådata!$B$1000),-1))&gt;0,"-","NEJ")</f>
        <v>NEJ</v>
      </c>
      <c r="K263" s="2" t="str">
        <f>K25</f>
        <v>Temperatur</v>
      </c>
      <c r="L263" s="2" t="str">
        <f t="shared" ref="L263:M263" si="146">L25</f>
        <v>Her kan et synonym indsættes</v>
      </c>
      <c r="M263" s="2" t="str">
        <f t="shared" si="146"/>
        <v>Her kan et synonym indsættes</v>
      </c>
      <c r="N263" s="2" t="str">
        <f t="shared" ref="N263:O263" si="147">N25</f>
        <v>Her kan et synonym indsættes</v>
      </c>
      <c r="O263" s="2" t="str">
        <f t="shared" si="147"/>
        <v>Her kan et synonym indsættes</v>
      </c>
      <c r="S263" s="2" t="str">
        <f t="shared" si="86"/>
        <v>Temperatur</v>
      </c>
      <c r="T263" t="str">
        <f>S263</f>
        <v>Temperatur</v>
      </c>
    </row>
    <row r="264" spans="4:20" x14ac:dyDescent="0.2">
      <c r="D264" s="55"/>
      <c r="F264" s="3" t="s">
        <v>51</v>
      </c>
      <c r="G264" s="4" t="str">
        <f>IF((IFERROR(SEARCH(K264,Rådata!$B$1000),-1)+IFERROR(SEARCH(L264,Rådata!$B$1000),-1)+IFERROR(SEARCH(M264,Rådata!$B$1000),-1)+IFERROR(SEARCH(N264,Rådata!$B$1000),-1)+IFERROR(SEARCH(O264,Rådata!$B$1000),-1))&gt;0,"-","NEJ")</f>
        <v>NEJ</v>
      </c>
      <c r="K264" s="2" t="str">
        <f>K12</f>
        <v>pH</v>
      </c>
      <c r="L264" s="2" t="str">
        <f t="shared" ref="L264:M264" si="148">L12</f>
        <v>Her kan et synonym indsættes</v>
      </c>
      <c r="M264" s="2" t="str">
        <f t="shared" si="148"/>
        <v>Her kan et synonym indsættes</v>
      </c>
      <c r="N264" s="2" t="str">
        <f t="shared" ref="N264:O264" si="149">N12</f>
        <v>Her kan et synonym indsættes</v>
      </c>
      <c r="O264" s="2" t="str">
        <f t="shared" si="149"/>
        <v>Her kan et synonym indsættes</v>
      </c>
      <c r="S264" s="2" t="str">
        <f t="shared" si="86"/>
        <v>pH</v>
      </c>
      <c r="T264" t="str">
        <f t="shared" ref="T264:T328" si="150">IF(S264="",T263,T263&amp;", "&amp;S264)</f>
        <v>Temperatur, pH</v>
      </c>
    </row>
    <row r="265" spans="4:20" x14ac:dyDescent="0.2">
      <c r="D265" s="55"/>
      <c r="F265" s="3" t="s">
        <v>52</v>
      </c>
      <c r="G265" s="4" t="str">
        <f>IF((IFERROR(SEARCH(K265,Rådata!$B$1000),-1)+IFERROR(SEARCH(L265,Rådata!$B$1000),-1)+IFERROR(SEARCH(M265,Rådata!$B$1000),-1)+IFERROR(SEARCH(N265,Rådata!$B$1000),-1)+IFERROR(SEARCH(O265,Rådata!$B$1000),-1))&gt;0,"-","NEJ")</f>
        <v>NEJ</v>
      </c>
      <c r="K265" s="2" t="str">
        <f>K13</f>
        <v>Ledningsevne</v>
      </c>
      <c r="L265" s="2" t="str">
        <f t="shared" ref="L265:M265" si="151">L13</f>
        <v>Konduktivitet</v>
      </c>
      <c r="M265" s="2" t="str">
        <f t="shared" si="151"/>
        <v>Her kan et synonym indsættes</v>
      </c>
      <c r="N265" s="2" t="str">
        <f t="shared" ref="N265:O265" si="152">N13</f>
        <v>Her kan et synonym indsættes</v>
      </c>
      <c r="O265" s="2" t="str">
        <f t="shared" si="152"/>
        <v>Her kan et synonym indsættes</v>
      </c>
      <c r="S265" s="2" t="str">
        <f t="shared" ref="S265:S329" si="153">IF(G265="NEJ",F265,"")</f>
        <v>Ledningsevne</v>
      </c>
      <c r="T265" t="str">
        <f t="shared" si="150"/>
        <v>Temperatur, pH, Ledningsevne</v>
      </c>
    </row>
    <row r="266" spans="4:20" x14ac:dyDescent="0.2">
      <c r="D266" s="55"/>
      <c r="F266" s="3" t="s">
        <v>65</v>
      </c>
      <c r="G266" s="4" t="str">
        <f>IF((IFERROR(SEARCH(K266,Rådata!$B$1000),-1)+IFERROR(SEARCH(L266,Rådata!$B$1000),-1)+IFERROR(SEARCH(M266,Rådata!$B$1000),-1)+IFERROR(SEARCH(N266,Rådata!$B$1000),-1)+IFERROR(SEARCH(O266,Rådata!$B$1000),-1))&gt;0,"-","NEJ")</f>
        <v>NEJ</v>
      </c>
      <c r="K266" s="2" t="str">
        <f>K26</f>
        <v>NVOC</v>
      </c>
      <c r="L266" s="2" t="str">
        <f t="shared" ref="L266:M266" si="154">L26</f>
        <v>Her kan et synonym indsættes</v>
      </c>
      <c r="M266" s="2" t="str">
        <f t="shared" si="154"/>
        <v>Her kan et synonym indsættes</v>
      </c>
      <c r="N266" s="2" t="str">
        <f t="shared" ref="N266:O266" si="155">N26</f>
        <v>Her kan et synonym indsættes</v>
      </c>
      <c r="O266" s="2" t="str">
        <f t="shared" si="155"/>
        <v>Her kan et synonym indsættes</v>
      </c>
      <c r="S266" s="2" t="str">
        <f t="shared" si="153"/>
        <v>NVOC</v>
      </c>
      <c r="T266" t="str">
        <f t="shared" si="150"/>
        <v>Temperatur, pH, Ledningsevne, NVOC</v>
      </c>
    </row>
    <row r="267" spans="4:20" x14ac:dyDescent="0.2">
      <c r="D267" s="55"/>
      <c r="F267" s="3" t="s">
        <v>160</v>
      </c>
      <c r="G267" s="4" t="str">
        <f>IF((IFERROR(SEARCH(K267,Rådata!$B$1000),-1)+IFERROR(SEARCH(L267,Rådata!$B$1000),-1)+IFERROR(SEARCH(M267,Rådata!$B$1000),-1)+IFERROR(SEARCH(N267,Rådata!$B$1000),-1)+IFERROR(SEARCH(O267,Rådata!$B$1000),-1))&gt;0,"-","NEJ")</f>
        <v>NEJ</v>
      </c>
      <c r="K267" s="29" t="str">
        <f t="shared" ref="K267:K282" si="156">F267</f>
        <v>Calcium</v>
      </c>
      <c r="L267" s="29" t="s">
        <v>179</v>
      </c>
      <c r="M267" s="29" t="s">
        <v>179</v>
      </c>
      <c r="N267" s="29" t="s">
        <v>179</v>
      </c>
      <c r="O267" s="29" t="s">
        <v>179</v>
      </c>
      <c r="S267" s="2" t="str">
        <f t="shared" si="153"/>
        <v>Calcium</v>
      </c>
      <c r="T267" t="str">
        <f t="shared" si="150"/>
        <v>Temperatur, pH, Ledningsevne, NVOC, Calcium</v>
      </c>
    </row>
    <row r="268" spans="4:20" x14ac:dyDescent="0.2">
      <c r="D268" s="55"/>
      <c r="F268" s="3" t="s">
        <v>161</v>
      </c>
      <c r="G268" s="4" t="str">
        <f>IF((IFERROR(SEARCH(K268,Rådata!$B$1000),-1)+IFERROR(SEARCH(L268,Rådata!$B$1000),-1)+IFERROR(SEARCH(M268,Rådata!$B$1000),-1)+IFERROR(SEARCH(N268,Rådata!$B$1000),-1)+IFERROR(SEARCH(O268,Rådata!$B$1000),-1))&gt;0,"-","NEJ")</f>
        <v>NEJ</v>
      </c>
      <c r="K268" s="29" t="str">
        <f t="shared" si="156"/>
        <v>Magnesium</v>
      </c>
      <c r="L268" s="29" t="s">
        <v>179</v>
      </c>
      <c r="M268" s="29" t="s">
        <v>179</v>
      </c>
      <c r="N268" s="29" t="s">
        <v>179</v>
      </c>
      <c r="O268" s="29" t="s">
        <v>179</v>
      </c>
      <c r="S268" s="2" t="str">
        <f t="shared" si="153"/>
        <v>Magnesium</v>
      </c>
      <c r="T268" t="str">
        <f t="shared" si="150"/>
        <v>Temperatur, pH, Ledningsevne, NVOC, Calcium, Magnesium</v>
      </c>
    </row>
    <row r="269" spans="4:20" x14ac:dyDescent="0.2">
      <c r="D269" s="55"/>
      <c r="F269" s="3" t="s">
        <v>66</v>
      </c>
      <c r="G269" s="4" t="str">
        <f>IF((IFERROR(SEARCH(K269,Rådata!$B$1000),-1)+IFERROR(SEARCH(L269,Rådata!$B$1000),-1)+IFERROR(SEARCH(M269,Rådata!$B$1000),-1)+IFERROR(SEARCH(N269,Rådata!$B$1000),-1)+IFERROR(SEARCH(O269,Rådata!$B$1000),-1))&gt;0,"-","NEJ")</f>
        <v>NEJ</v>
      </c>
      <c r="K269" s="2" t="str">
        <f>K27</f>
        <v>Natrium</v>
      </c>
      <c r="L269" s="2" t="str">
        <f t="shared" ref="L269:M269" si="157">L27</f>
        <v>Her kan et synonym indsættes</v>
      </c>
      <c r="M269" s="2" t="str">
        <f t="shared" si="157"/>
        <v>Her kan et synonym indsættes</v>
      </c>
      <c r="N269" s="2" t="str">
        <f t="shared" ref="N269:O269" si="158">N27</f>
        <v>Her kan et synonym indsættes</v>
      </c>
      <c r="O269" s="2" t="str">
        <f t="shared" si="158"/>
        <v>Her kan et synonym indsættes</v>
      </c>
      <c r="S269" s="2" t="str">
        <f t="shared" si="153"/>
        <v>Natrium</v>
      </c>
      <c r="T269" t="str">
        <f t="shared" si="150"/>
        <v>Temperatur, pH, Ledningsevne, NVOC, Calcium, Magnesium, Natrium</v>
      </c>
    </row>
    <row r="270" spans="4:20" x14ac:dyDescent="0.2">
      <c r="D270" s="55"/>
      <c r="F270" s="3" t="s">
        <v>281</v>
      </c>
      <c r="G270" s="4" t="str">
        <f>IF((IFERROR(SEARCH(K270,Rådata!$B$1000),-1)+IFERROR(SEARCH(L270,Rådata!$B$1000),-1)+IFERROR(SEARCH(M270,Rådata!$B$1000),-1)+IFERROR(SEARCH(N270,Rådata!$B$1000),-1)+IFERROR(SEARCH(O270,Rådata!$B$1000),-1))&gt;0,"-","NEJ")</f>
        <v>NEJ</v>
      </c>
      <c r="K270" s="29" t="str">
        <f>F270</f>
        <v>Kalium</v>
      </c>
      <c r="L270" s="29" t="s">
        <v>179</v>
      </c>
      <c r="M270" s="29" t="s">
        <v>179</v>
      </c>
      <c r="N270" s="29" t="s">
        <v>179</v>
      </c>
      <c r="O270" s="29" t="s">
        <v>179</v>
      </c>
      <c r="S270" s="2" t="str">
        <f t="shared" ref="S270:S271" si="159">IF(G270="NEJ",F270,"")</f>
        <v>Kalium</v>
      </c>
      <c r="T270" t="str">
        <f t="shared" ref="T270:T271" si="160">IF(S270="",T269,T269&amp;", "&amp;S270)</f>
        <v>Temperatur, pH, Ledningsevne, NVOC, Calcium, Magnesium, Natrium, Kalium</v>
      </c>
    </row>
    <row r="271" spans="4:20" x14ac:dyDescent="0.2">
      <c r="D271" s="55"/>
      <c r="F271" s="3" t="s">
        <v>67</v>
      </c>
      <c r="G271" s="4" t="str">
        <f>IF((IFERROR(SEARCH(K271,Rådata!$B$1000),-1)+IFERROR(SEARCH(L271,Rådata!$B$1000),-1)+IFERROR(SEARCH(M271,Rådata!$B$1000),-1)+IFERROR(SEARCH(N271,Rådata!$B$1000),-1)+IFERROR(SEARCH(O271,Rådata!$B$1000),-1))&gt;0,"-","NEJ")</f>
        <v>NEJ</v>
      </c>
      <c r="K271" s="2" t="str">
        <f>K28</f>
        <v>Ammonium</v>
      </c>
      <c r="L271" s="2" t="str">
        <f t="shared" ref="L270:M271" si="161">L28</f>
        <v>Her kan et synonym indsættes</v>
      </c>
      <c r="M271" s="2" t="str">
        <f t="shared" si="161"/>
        <v>Her kan et synonym indsættes</v>
      </c>
      <c r="N271" s="2" t="str">
        <f t="shared" ref="N270:O271" si="162">N28</f>
        <v>Her kan et synonym indsættes</v>
      </c>
      <c r="O271" s="2" t="str">
        <f t="shared" si="162"/>
        <v>Her kan et synonym indsættes</v>
      </c>
      <c r="S271" s="2" t="str">
        <f t="shared" si="159"/>
        <v>Ammonium</v>
      </c>
      <c r="T271" t="str">
        <f t="shared" si="160"/>
        <v>Temperatur, pH, Ledningsevne, NVOC, Calcium, Magnesium, Natrium, Kalium, Ammonium</v>
      </c>
    </row>
    <row r="272" spans="4:20" x14ac:dyDescent="0.2">
      <c r="D272" s="55"/>
      <c r="F272" s="3" t="s">
        <v>162</v>
      </c>
      <c r="G272" s="4" t="str">
        <f>IF((IFERROR(SEARCH(K272,Rådata!$B$1000),-1)+IFERROR(SEARCH(L272,Rådata!$B$1000),-1)+IFERROR(SEARCH(M272,Rådata!$B$1000),-1)+IFERROR(SEARCH(N272,Rådata!$B$1000),-1)+IFERROR(SEARCH(O272,Rådata!$B$1000),-1))&gt;0,"-","NEJ")</f>
        <v>NEJ</v>
      </c>
      <c r="K272" s="2" t="str">
        <f>K17</f>
        <v>Jern</v>
      </c>
      <c r="L272" s="2" t="str">
        <f t="shared" ref="L272:M272" si="163">L17</f>
        <v>Her kan et synonym indsættes</v>
      </c>
      <c r="M272" s="2" t="str">
        <f t="shared" si="163"/>
        <v>Her kan et synonym indsættes</v>
      </c>
      <c r="N272" s="2" t="str">
        <f t="shared" ref="N272:O272" si="164">N17</f>
        <v>Her kan et synonym indsættes</v>
      </c>
      <c r="O272" s="2" t="str">
        <f t="shared" si="164"/>
        <v>Her kan et synonym indsættes</v>
      </c>
      <c r="S272" s="2" t="str">
        <f t="shared" si="153"/>
        <v>Jern, total</v>
      </c>
      <c r="T272" t="str">
        <f t="shared" si="150"/>
        <v>Temperatur, pH, Ledningsevne, NVOC, Calcium, Magnesium, Natrium, Kalium, Ammonium, Jern, total</v>
      </c>
    </row>
    <row r="273" spans="4:20" x14ac:dyDescent="0.2">
      <c r="D273" s="55"/>
      <c r="F273" s="3" t="s">
        <v>163</v>
      </c>
      <c r="G273" s="4" t="str">
        <f>IF((IFERROR(SEARCH(K273,Rådata!$B$1000),-1)+IFERROR(SEARCH(L273,Rådata!$B$1000),-1)+IFERROR(SEARCH(M273,Rådata!$B$1000),-1)+IFERROR(SEARCH(N273,Rådata!$B$1000),-1)+IFERROR(SEARCH(O273,Rådata!$B$1000),-1))&gt;0,"-","NEJ")</f>
        <v>NEJ</v>
      </c>
      <c r="K273" s="2" t="str">
        <f>K29</f>
        <v>Mangan</v>
      </c>
      <c r="L273" s="2" t="str">
        <f t="shared" ref="L273:M273" si="165">L29</f>
        <v>Her kan et synonym indsættes</v>
      </c>
      <c r="M273" s="2" t="str">
        <f t="shared" si="165"/>
        <v>Her kan et synonym indsættes</v>
      </c>
      <c r="N273" s="2" t="str">
        <f t="shared" ref="N273:O273" si="166">N29</f>
        <v>Her kan et synonym indsættes</v>
      </c>
      <c r="O273" s="2" t="str">
        <f t="shared" si="166"/>
        <v>Her kan et synonym indsættes</v>
      </c>
      <c r="S273" s="2" t="str">
        <f t="shared" si="153"/>
        <v>Mangan, total</v>
      </c>
      <c r="T273" t="str">
        <f t="shared" si="150"/>
        <v>Temperatur, pH, Ledningsevne, NVOC, Calcium, Magnesium, Natrium, Kalium, Ammonium, Jern, total, Mangan, total</v>
      </c>
    </row>
    <row r="274" spans="4:20" x14ac:dyDescent="0.2">
      <c r="D274" s="55"/>
      <c r="F274" s="3" t="s">
        <v>164</v>
      </c>
      <c r="G274" s="4" t="str">
        <f>IF((IFERROR(SEARCH(K274,Rådata!$B$1000),-1)+IFERROR(SEARCH(L274,Rådata!$B$1000),-1)+IFERROR(SEARCH(M274,Rådata!$B$1000),-1)+IFERROR(SEARCH(N274,Rådata!$B$1000),-1)+IFERROR(SEARCH(O274,Rådata!$B$1000),-1))&gt;0,"-","NEJ")</f>
        <v>NEJ</v>
      </c>
      <c r="K274" s="29" t="str">
        <f t="shared" si="156"/>
        <v>Bicarbonat</v>
      </c>
      <c r="L274" s="29" t="s">
        <v>223</v>
      </c>
      <c r="M274" s="29" t="s">
        <v>224</v>
      </c>
      <c r="N274" s="29" t="s">
        <v>179</v>
      </c>
      <c r="O274" s="29" t="s">
        <v>179</v>
      </c>
      <c r="S274" s="2" t="str">
        <f t="shared" si="153"/>
        <v>Bicarbonat</v>
      </c>
      <c r="T274" t="str">
        <f t="shared" si="150"/>
        <v>Temperatur, pH, Ledningsevne, NVOC, Calcium, Magnesium, Natrium, Kalium, Ammonium, Jern, total, Mangan, total, Bicarbonat</v>
      </c>
    </row>
    <row r="275" spans="4:20" x14ac:dyDescent="0.2">
      <c r="D275" s="55"/>
      <c r="F275" s="3" t="s">
        <v>6</v>
      </c>
      <c r="G275" s="4" t="str">
        <f>IF((IFERROR(SEARCH(K275,Rådata!$B$1000),-1)+IFERROR(SEARCH(L275,Rådata!$B$1000),-1)+IFERROR(SEARCH(M275,Rådata!$B$1000),-1)+IFERROR(SEARCH(N275,Rådata!$B$1000),-1)+IFERROR(SEARCH(O275,Rådata!$B$1000),-1))&gt;0,"-","NEJ")</f>
        <v>NEJ</v>
      </c>
      <c r="K275" s="2" t="str">
        <f>K30</f>
        <v>Chlorid</v>
      </c>
      <c r="L275" s="2" t="str">
        <f t="shared" ref="L275:M275" si="167">L30</f>
        <v>Klorid</v>
      </c>
      <c r="M275" s="2" t="str">
        <f t="shared" si="167"/>
        <v>Her kan et synonym indsættes</v>
      </c>
      <c r="N275" s="2" t="str">
        <f t="shared" ref="N275:O275" si="168">N30</f>
        <v>Her kan et synonym indsættes</v>
      </c>
      <c r="O275" s="2" t="str">
        <f t="shared" si="168"/>
        <v>Her kan et synonym indsættes</v>
      </c>
      <c r="S275" s="2" t="str">
        <f t="shared" si="153"/>
        <v>Chlorid</v>
      </c>
      <c r="T275" t="str">
        <f t="shared" si="150"/>
        <v>Temperatur, pH, Ledningsevne, NVOC, Calcium, Magnesium, Natrium, Kalium, Ammonium, Jern, total, Mangan, total, Bicarbonat, Chlorid</v>
      </c>
    </row>
    <row r="276" spans="4:20" x14ac:dyDescent="0.2">
      <c r="D276" s="55"/>
      <c r="F276" s="3" t="s">
        <v>7</v>
      </c>
      <c r="G276" s="4" t="str">
        <f>IF((IFERROR(SEARCH(K276,Rådata!$B$1000),-1)+IFERROR(SEARCH(L276,Rådata!$B$1000),-1)+IFERROR(SEARCH(M276,Rådata!$B$1000),-1)+IFERROR(SEARCH(N276,Rådata!$B$1000),-1)+IFERROR(SEARCH(O276,Rådata!$B$1000),-1))&gt;0,"-","NEJ")</f>
        <v>NEJ</v>
      </c>
      <c r="K276" s="2" t="str">
        <f>K31</f>
        <v>Sulfat</v>
      </c>
      <c r="L276" s="2" t="str">
        <f>L31</f>
        <v>Her kan et synonym indsættes</v>
      </c>
      <c r="M276" s="2" t="str">
        <f>M31</f>
        <v>Her kan et synonym indsættes</v>
      </c>
      <c r="N276" s="2" t="str">
        <f>N31</f>
        <v>Her kan et synonym indsættes</v>
      </c>
      <c r="O276" s="2" t="str">
        <f>O31</f>
        <v>Her kan et synonym indsættes</v>
      </c>
      <c r="S276" s="2" t="str">
        <f t="shared" si="153"/>
        <v>Sulfat</v>
      </c>
      <c r="T276" t="str">
        <f t="shared" si="150"/>
        <v>Temperatur, pH, Ledningsevne, NVOC, Calcium, Magnesium, Natrium, Kalium, Ammonium, Jern, total, Mangan, total, Bicarbonat, Chlorid, Sulfat</v>
      </c>
    </row>
    <row r="277" spans="4:20" x14ac:dyDescent="0.2">
      <c r="D277" s="55"/>
      <c r="F277" s="3" t="s">
        <v>5</v>
      </c>
      <c r="G277" s="4" t="str">
        <f>IF((IFERROR(SEARCH(K277,Rådata!$B$1000),-1)+IFERROR(SEARCH(L277,Rådata!$B$1000),-1)+IFERROR(SEARCH(M277,Rådata!$B$1000),-1)+IFERROR(SEARCH(N277,Rådata!$B$1000),-1)+IFERROR(SEARCH(O277,Rådata!$B$1000),-1))&gt;0,"-","NEJ")</f>
        <v>NEJ</v>
      </c>
      <c r="K277" s="2" t="str">
        <f>K32</f>
        <v>Nitrat</v>
      </c>
      <c r="L277" s="2" t="str">
        <f>L32</f>
        <v>Her kan et synonym indsættes</v>
      </c>
      <c r="M277" s="2" t="str">
        <f>M32</f>
        <v>Her kan et synonym indsættes</v>
      </c>
      <c r="N277" s="2" t="str">
        <f>N32</f>
        <v>Her kan et synonym indsættes</v>
      </c>
      <c r="O277" s="2" t="str">
        <f>O32</f>
        <v>Her kan et synonym indsættes</v>
      </c>
      <c r="S277" s="2" t="str">
        <f t="shared" si="153"/>
        <v>Nitrat</v>
      </c>
      <c r="T277" t="str">
        <f t="shared" si="150"/>
        <v>Temperatur, pH, Ledningsevne, NVOC, Calcium, Magnesium, Natrium, Kalium, Ammonium, Jern, total, Mangan, total, Bicarbonat, Chlorid, Sulfat, Nitrat</v>
      </c>
    </row>
    <row r="278" spans="4:20" x14ac:dyDescent="0.2">
      <c r="D278" s="55"/>
      <c r="F278" s="3" t="s">
        <v>4</v>
      </c>
      <c r="G278" s="4" t="str">
        <f>IF((IFERROR(SEARCH(K278,Rådata!$B$1000),-1)+IFERROR(SEARCH(L278,Rådata!$B$1000),-1)+IFERROR(SEARCH(M278,Rådata!$B$1000),-1)+IFERROR(SEARCH(N278,Rådata!$B$1000),-1)+IFERROR(SEARCH(O278,Rådata!$B$1000),-1))&gt;0,"-","NEJ")</f>
        <v>NEJ</v>
      </c>
      <c r="K278" s="2" t="str">
        <f>K18</f>
        <v>Nitrit</v>
      </c>
      <c r="L278" s="2" t="str">
        <f t="shared" ref="L278:M278" si="169">L18</f>
        <v>Her kan et synonym indsættes</v>
      </c>
      <c r="M278" s="2" t="str">
        <f t="shared" si="169"/>
        <v>Her kan et synonym indsættes</v>
      </c>
      <c r="N278" s="2" t="str">
        <f t="shared" ref="N278:O278" si="170">N18</f>
        <v>Her kan et synonym indsættes</v>
      </c>
      <c r="O278" s="2" t="str">
        <f t="shared" si="170"/>
        <v>Her kan et synonym indsættes</v>
      </c>
      <c r="S278" s="2" t="str">
        <f t="shared" si="153"/>
        <v>Nitrit</v>
      </c>
      <c r="T278" t="str">
        <f t="shared" si="150"/>
        <v>Temperatur, pH, Ledningsevne, NVOC, Calcium, Magnesium, Natrium, Kalium, Ammonium, Jern, total, Mangan, total, Bicarbonat, Chlorid, Sulfat, Nitrat, Nitrit</v>
      </c>
    </row>
    <row r="279" spans="4:20" x14ac:dyDescent="0.2">
      <c r="D279" s="55"/>
      <c r="F279" s="3" t="s">
        <v>69</v>
      </c>
      <c r="G279" s="4" t="str">
        <f>IF((IFERROR(SEARCH(K279,Rådata!$B$1000),-1)+IFERROR(SEARCH(L279,Rådata!$B$1000),-1)+IFERROR(SEARCH(M279,Rådata!$B$1000),-1)+IFERROR(SEARCH(N279,Rådata!$B$1000),-1)+IFERROR(SEARCH(O279,Rådata!$B$1000),-1))&gt;0,"-","NEJ")</f>
        <v>NEJ</v>
      </c>
      <c r="K279" s="2" t="str">
        <f>K34</f>
        <v>Fluorid</v>
      </c>
      <c r="L279" s="2" t="str">
        <f t="shared" ref="L279:M279" si="171">L34</f>
        <v>Her kan et synonym indsættes</v>
      </c>
      <c r="M279" s="2" t="str">
        <f t="shared" si="171"/>
        <v>Her kan et synonym indsættes</v>
      </c>
      <c r="N279" s="2" t="str">
        <f t="shared" ref="N279:O279" si="172">N34</f>
        <v>Her kan et synonym indsættes</v>
      </c>
      <c r="O279" s="2" t="str">
        <f t="shared" si="172"/>
        <v>Her kan et synonym indsættes</v>
      </c>
      <c r="S279" s="2" t="str">
        <f t="shared" si="153"/>
        <v>Fluorid</v>
      </c>
      <c r="T279" t="str">
        <f t="shared" si="150"/>
        <v>Temperatur, pH, Ledningsevne, NVOC, Calcium, Magnesium, Natrium, Kalium, Ammonium, Jern, total, Mangan, total, Bicarbonat, Chlorid, Sulfat, Nitrat, Nitrit, Fluorid</v>
      </c>
    </row>
    <row r="280" spans="4:20" x14ac:dyDescent="0.2">
      <c r="D280" s="55"/>
      <c r="F280" s="3" t="s">
        <v>156</v>
      </c>
      <c r="G280" s="4" t="str">
        <f>IF((IFERROR(SEARCH(K280,Rådata!$B$1000),-1)+IFERROR(SEARCH(L280,Rådata!$B$1000),-1)+IFERROR(SEARCH(M280,Rådata!$B$1000),-1)+IFERROR(SEARCH(N280,Rådata!$B$1000),-1)+IFERROR(SEARCH(O280,Rådata!$B$1000),-1))&gt;0,"-","NEJ")</f>
        <v>NEJ</v>
      </c>
      <c r="K280" s="2" t="str">
        <f>K204</f>
        <v>Ilt</v>
      </c>
      <c r="L280" s="2" t="str">
        <f t="shared" ref="L280:M280" si="173">L204</f>
        <v>Her kan et synonym indsættes</v>
      </c>
      <c r="M280" s="2" t="str">
        <f t="shared" si="173"/>
        <v>Her kan et synonym indsættes</v>
      </c>
      <c r="N280" s="2" t="str">
        <f t="shared" ref="N280:O280" si="174">N204</f>
        <v>Her kan et synonym indsættes</v>
      </c>
      <c r="O280" s="2" t="str">
        <f t="shared" si="174"/>
        <v>Her kan et synonym indsættes</v>
      </c>
      <c r="S280" s="2" t="str">
        <f t="shared" si="153"/>
        <v>Ilt</v>
      </c>
      <c r="T280" t="str">
        <f t="shared" si="150"/>
        <v>Temperatur, pH, Ledningsevne, NVOC, Calcium, Magnesium, Natrium, Kalium, Ammonium, Jern, total, Mangan, total, Bicarbonat, Chlorid, Sulfat, Nitrat, Nitrit, Fluorid, Ilt</v>
      </c>
    </row>
    <row r="281" spans="4:20" x14ac:dyDescent="0.2">
      <c r="D281" s="55"/>
      <c r="F281" s="3" t="s">
        <v>165</v>
      </c>
      <c r="G281" s="4" t="str">
        <f>IF((IFERROR(SEARCH(K281,Rådata!$B$1000),-1)+IFERROR(SEARCH(L281,Rådata!$B$1000),-1)+IFERROR(SEARCH(M281,Rådata!$B$1000),-1)+IFERROR(SEARCH(N281,Rådata!$B$1000),-1)+IFERROR(SEARCH(O281,Rådata!$B$1000),-1))&gt;0,"-","NEJ")</f>
        <v>NEJ</v>
      </c>
      <c r="K281" s="2" t="str">
        <f>K205</f>
        <v>Aggressivt kuldioxid</v>
      </c>
      <c r="L281" s="2" t="str">
        <f t="shared" ref="L281:O281" si="175">L205</f>
        <v>Aggressiv kuldioxid</v>
      </c>
      <c r="M281" s="2" t="str">
        <f t="shared" si="175"/>
        <v>Aggressiv CO2</v>
      </c>
      <c r="N281" s="2" t="str">
        <f t="shared" si="175"/>
        <v>Her kan et synonym indsættes</v>
      </c>
      <c r="O281" s="2" t="str">
        <f t="shared" si="175"/>
        <v>Her kan et synonym indsættes</v>
      </c>
      <c r="S281" s="2" t="str">
        <f t="shared" si="153"/>
        <v>Aggressivt kuldioxid</v>
      </c>
      <c r="T281" t="str">
        <f t="shared" si="150"/>
        <v>Temperatur, pH, Ledningsevne, NVOC, Calcium, Magnesium, Natrium, Kalium, Ammonium, Jern, total, Mangan, total, Bicarbonat, Chlorid, Sulfat, Nitrat, Nitrit, Fluorid, Ilt, Aggressivt kuldioxid</v>
      </c>
    </row>
    <row r="282" spans="4:20" x14ac:dyDescent="0.2">
      <c r="D282" s="55"/>
      <c r="F282" s="3" t="s">
        <v>166</v>
      </c>
      <c r="G282" s="4" t="str">
        <f>IF((IFERROR(SEARCH(K282,Rådata!$B$1000),-1)+IFERROR(SEARCH(L282,Rådata!$B$1000),-1)+IFERROR(SEARCH(M282,Rådata!$B$1000),-1)+IFERROR(SEARCH(N282,Rådata!$B$1000),-1)+IFERROR(SEARCH(O282,Rådata!$B$1000),-1))&gt;0,"-","NEJ")</f>
        <v>NEJ</v>
      </c>
      <c r="K282" s="29" t="str">
        <f t="shared" si="156"/>
        <v>Totalt phosphor</v>
      </c>
      <c r="L282" s="29" t="s">
        <v>184</v>
      </c>
      <c r="M282" s="29" t="s">
        <v>225</v>
      </c>
      <c r="N282" s="29" t="s">
        <v>262</v>
      </c>
      <c r="O282" s="29" t="s">
        <v>266</v>
      </c>
      <c r="S282" s="2" t="str">
        <f t="shared" si="153"/>
        <v>Totalt phosphor</v>
      </c>
      <c r="T282" t="str">
        <f t="shared" si="150"/>
        <v>Temperatur, pH, Ledningsevne, NVOC, Calcium, Magnesium, Natrium, Kalium, Ammonium, Jern, total, Mangan, total, Bicarbonat, Chlorid, Sulfat, Nitrat, Nitrit, Fluorid, Ilt, Aggressivt kuldioxid, Totalt phosphor</v>
      </c>
    </row>
    <row r="283" spans="4:20" x14ac:dyDescent="0.2">
      <c r="D283" s="55"/>
      <c r="F283" s="3" t="s">
        <v>157</v>
      </c>
      <c r="G283" s="4" t="str">
        <f>IF((IFERROR(SEARCH(K283,Rådata!$B$1000),-1)+IFERROR(SEARCH(L283,Rådata!$B$1000),-1)+IFERROR(SEARCH(M283,Rådata!$B$1000),-1)+IFERROR(SEARCH(N283,Rådata!$B$1000),-1)+IFERROR(SEARCH(O283,Rådata!$B$1000),-1))&gt;0,"-","NEJ")</f>
        <v>NEJ</v>
      </c>
      <c r="K283" s="2" t="str">
        <f>K206</f>
        <v>Methan</v>
      </c>
      <c r="L283" s="2" t="str">
        <f t="shared" ref="L283:M283" si="176">L206</f>
        <v>Metan</v>
      </c>
      <c r="M283" s="2" t="str">
        <f t="shared" si="176"/>
        <v>Her kan et synonym indsættes</v>
      </c>
      <c r="N283" s="2" t="str">
        <f t="shared" ref="N283:O283" si="177">N206</f>
        <v>Her kan et synonym indsættes</v>
      </c>
      <c r="O283" s="2" t="str">
        <f t="shared" si="177"/>
        <v>Her kan et synonym indsættes</v>
      </c>
      <c r="S283" s="2" t="str">
        <f t="shared" si="153"/>
        <v>Methan</v>
      </c>
      <c r="T283" t="str">
        <f t="shared" si="150"/>
        <v>Temperatur, pH, Ledningsevne, NVOC, Calcium, Magnesium, Natrium, Kalium, Ammonium, Jern, total, Mangan, total, Bicarbonat, Chlorid, Sulfat, Nitrat, Nitrit, Fluorid, Ilt, Aggressivt kuldioxid, Totalt phosphor, Methan</v>
      </c>
    </row>
    <row r="284" spans="4:20" x14ac:dyDescent="0.2">
      <c r="D284" s="55"/>
      <c r="F284" s="10" t="s">
        <v>158</v>
      </c>
      <c r="G284" s="4" t="str">
        <f>IF((IFERROR(SEARCH(K284,Rådata!$B$1000),-1)+IFERROR(SEARCH(L284,Rådata!$B$1000),-1)+IFERROR(SEARCH(M284,Rådata!$B$1000),-1)+IFERROR(SEARCH(N284,Rådata!$B$1000),-1)+IFERROR(SEARCH(O284,Rådata!$B$1000),-1))&gt;0,"-","NEJ")</f>
        <v>NEJ</v>
      </c>
      <c r="K284" s="2" t="str">
        <f>K207</f>
        <v>Svovlbrinte</v>
      </c>
      <c r="L284" s="2" t="str">
        <f t="shared" ref="L284:M284" si="178">L207</f>
        <v>Sulfid-S</v>
      </c>
      <c r="M284" s="2" t="str">
        <f t="shared" si="178"/>
        <v>Her kan et synonym indsættes</v>
      </c>
      <c r="N284" s="2" t="str">
        <f t="shared" ref="N284:O284" si="179">N207</f>
        <v>Her kan et synonym indsættes</v>
      </c>
      <c r="O284" s="2" t="str">
        <f t="shared" si="179"/>
        <v>Her kan et synonym indsættes</v>
      </c>
      <c r="S284" s="2" t="str">
        <f t="shared" si="153"/>
        <v>Svovlbrinte</v>
      </c>
      <c r="T284" t="str">
        <f t="shared" si="150"/>
        <v>Temperatur, pH, Ledningsevne, NVOC, Calcium, Magnesium, Natrium, Kalium, Ammonium, Jern, total, Mangan, total, Bicarbonat, Chlorid, Sulfat, Nitrat, Nitrit, Fluorid, Ilt, Aggressivt kuldioxid, Totalt phosphor, Methan, Svovlbrinte</v>
      </c>
    </row>
    <row r="285" spans="4:20" x14ac:dyDescent="0.2">
      <c r="D285" s="55"/>
      <c r="E285" s="48" t="s">
        <v>70</v>
      </c>
      <c r="F285" s="48"/>
      <c r="G285" s="13"/>
      <c r="H285" s="13" t="str">
        <f>IF(IFERROR(SEARCH("NEJ",CONCATENATE(" ",G286,G287,G288,G289,G290)),1)=1,"OK","NEJ")</f>
        <v>NEJ</v>
      </c>
      <c r="K285" s="2"/>
      <c r="L285" s="2"/>
      <c r="M285" s="2"/>
      <c r="N285" s="2"/>
      <c r="O285" s="2"/>
      <c r="T285" t="str">
        <f t="shared" si="150"/>
        <v>Temperatur, pH, Ledningsevne, NVOC, Calcium, Magnesium, Natrium, Kalium, Ammonium, Jern, total, Mangan, total, Bicarbonat, Chlorid, Sulfat, Nitrat, Nitrit, Fluorid, Ilt, Aggressivt kuldioxid, Totalt phosphor, Methan, Svovlbrinte</v>
      </c>
    </row>
    <row r="286" spans="4:20" x14ac:dyDescent="0.2">
      <c r="D286" s="55"/>
      <c r="F286" s="9" t="s">
        <v>81</v>
      </c>
      <c r="G286" s="4" t="str">
        <f>IF((IFERROR(SEARCH(K286,Rådata!$B$1000),-1)+IFERROR(SEARCH(L286,Rådata!$B$1000),-1)+IFERROR(SEARCH(M286,Rådata!$B$1000),-1)+IFERROR(SEARCH(N286,Rådata!$B$1000),-1)+IFERROR(SEARCH(O286,Rådata!$B$1000),-1))&gt;0,"-","NEJ")</f>
        <v>NEJ</v>
      </c>
      <c r="K286" s="2" t="str">
        <f>K47</f>
        <v>Nikkel</v>
      </c>
      <c r="L286" s="2" t="str">
        <f t="shared" ref="L286:M286" si="180">L47</f>
        <v>Her kan et synonym indsættes</v>
      </c>
      <c r="M286" s="2" t="str">
        <f t="shared" si="180"/>
        <v>Her kan et synonym indsættes</v>
      </c>
      <c r="N286" s="2" t="str">
        <f t="shared" ref="N286:O286" si="181">N47</f>
        <v>Her kan et synonym indsættes</v>
      </c>
      <c r="O286" s="2" t="str">
        <f t="shared" si="181"/>
        <v>Her kan et synonym indsættes</v>
      </c>
      <c r="S286" s="2" t="str">
        <f t="shared" si="153"/>
        <v>Nikkel</v>
      </c>
      <c r="T286" t="str">
        <f t="shared" si="150"/>
        <v>Temperatur, pH, Ledningsevne, NVOC, Calcium, Magnesium, Natrium, Kalium, Ammonium, Jern, total, Mangan, total, Bicarbonat, Chlorid, Sulfat, Nitrat, Nitrit, Fluorid, Ilt, Aggressivt kuldioxid, Totalt phosphor, Methan, Svovlbrinte, Nikkel</v>
      </c>
    </row>
    <row r="287" spans="4:20" x14ac:dyDescent="0.2">
      <c r="D287" s="55"/>
      <c r="F287" s="3" t="s">
        <v>73</v>
      </c>
      <c r="G287" s="4" t="str">
        <f>IF((IFERROR(SEARCH(K287,Rådata!$B$1000),-1)+IFERROR(SEARCH(L287,Rådata!$B$1000),-1)+IFERROR(SEARCH(M287,Rådata!$B$1000),-1)+IFERROR(SEARCH(N287,Rådata!$B$1000),-1)+IFERROR(SEARCH(O287,Rådata!$B$1000),-1))&gt;0,"-","NEJ")</f>
        <v>NEJ</v>
      </c>
      <c r="K287" s="2" t="str">
        <f>K38</f>
        <v>Arsen</v>
      </c>
      <c r="L287" s="2" t="str">
        <f t="shared" ref="L287:M287" si="182">L38</f>
        <v>Her kan et synonym indsættes</v>
      </c>
      <c r="M287" s="2" t="str">
        <f t="shared" si="182"/>
        <v>Her kan et synonym indsættes</v>
      </c>
      <c r="N287" s="2" t="str">
        <f t="shared" ref="N287:O287" si="183">N38</f>
        <v>Her kan et synonym indsættes</v>
      </c>
      <c r="O287" s="2" t="str">
        <f t="shared" si="183"/>
        <v>Her kan et synonym indsættes</v>
      </c>
      <c r="S287" s="2" t="str">
        <f t="shared" si="153"/>
        <v>Arsen</v>
      </c>
      <c r="T287" t="str">
        <f t="shared" si="150"/>
        <v>Temperatur, pH, Ledningsevne, NVOC, Calcium, Magnesium, Natrium, Kalium, Ammonium, Jern, total, Mangan, total, Bicarbonat, Chlorid, Sulfat, Nitrat, Nitrit, Fluorid, Ilt, Aggressivt kuldioxid, Totalt phosphor, Methan, Svovlbrinte, Nikkel, Arsen</v>
      </c>
    </row>
    <row r="288" spans="4:20" x14ac:dyDescent="0.2">
      <c r="D288" s="55"/>
      <c r="F288" s="3" t="s">
        <v>167</v>
      </c>
      <c r="G288" s="4" t="str">
        <f>IF((IFERROR(SEARCH(K288,Rådata!$B$1000),-1)+IFERROR(SEARCH(L288,Rådata!$B$1000),-1)+IFERROR(SEARCH(M288,Rådata!$B$1000),-1)+IFERROR(SEARCH(N288,Rådata!$B$1000),-1)+IFERROR(SEARCH(O288,Rådata!$B$1000),-1))&gt;0,"-","NEJ")</f>
        <v>NEJ</v>
      </c>
      <c r="K288" s="29" t="str">
        <f>F288</f>
        <v>Barium</v>
      </c>
      <c r="L288" s="29" t="s">
        <v>179</v>
      </c>
      <c r="M288" s="29" t="s">
        <v>179</v>
      </c>
      <c r="N288" s="29" t="s">
        <v>179</v>
      </c>
      <c r="O288" s="29" t="s">
        <v>179</v>
      </c>
      <c r="S288" s="2" t="str">
        <f t="shared" si="153"/>
        <v>Barium</v>
      </c>
      <c r="T288" t="str">
        <f t="shared" si="150"/>
        <v>Temperatur, pH, Ledningsevne, NVOC, Calcium, Magnesium, Natrium, Kalium, Ammonium, Jern, total, Mangan, total, Bicarbonat, Chlorid, Sulfat, Nitrat, Nitrit, Fluorid, Ilt, Aggressivt kuldioxid, Totalt phosphor, Methan, Svovlbrinte, Nikkel, Arsen, Barium</v>
      </c>
    </row>
    <row r="289" spans="4:20" x14ac:dyDescent="0.2">
      <c r="D289" s="55"/>
      <c r="F289" s="3" t="s">
        <v>75</v>
      </c>
      <c r="G289" s="4" t="str">
        <f>IF((IFERROR(SEARCH(K289,Rådata!$B$1000),-1)+IFERROR(SEARCH(L289,Rådata!$B$1000),-1)+IFERROR(SEARCH(M289,Rådata!$B$1000),-1)+IFERROR(SEARCH(N289,Rådata!$B$1000),-1)+IFERROR(SEARCH(O289,Rådata!$B$1000),-1))&gt;0,"-","NEJ")</f>
        <v>NEJ</v>
      </c>
      <c r="K289" s="2" t="str">
        <f>K40</f>
        <v>Bor</v>
      </c>
      <c r="L289" s="2" t="str">
        <f t="shared" ref="L289:M289" si="184">L40</f>
        <v>Her kan et synonym indsættes</v>
      </c>
      <c r="M289" s="2" t="str">
        <f t="shared" si="184"/>
        <v>Her kan et synonym indsættes</v>
      </c>
      <c r="N289" s="2" t="str">
        <f t="shared" ref="N289:O289" si="185">N40</f>
        <v>Her kan et synonym indsættes</v>
      </c>
      <c r="O289" s="2" t="str">
        <f t="shared" si="185"/>
        <v>Her kan et synonym indsættes</v>
      </c>
      <c r="S289" s="2" t="str">
        <f t="shared" si="153"/>
        <v>Bor</v>
      </c>
      <c r="T289" t="str">
        <f t="shared" si="150"/>
        <v>Temperatur, pH, Ledningsevne, NVOC, Calcium, Magnesium, Natrium, Kalium, Ammonium, Jern, total, Mangan, total, Bicarbonat, Chlorid, Sulfat, Nitrat, Nitrit, Fluorid, Ilt, Aggressivt kuldioxid, Totalt phosphor, Methan, Svovlbrinte, Nikkel, Arsen, Barium, Bor</v>
      </c>
    </row>
    <row r="290" spans="4:20" x14ac:dyDescent="0.2">
      <c r="D290" s="55"/>
      <c r="F290" s="3" t="s">
        <v>168</v>
      </c>
      <c r="G290" s="4" t="str">
        <f>IF((IFERROR(SEARCH(K290,Rådata!$B$1000),-1)+IFERROR(SEARCH(L290,Rådata!$B$1000),-1)+IFERROR(SEARCH(M290,Rådata!$B$1000),-1)+IFERROR(SEARCH(N290,Rådata!$B$1000),-1)+IFERROR(SEARCH(O290,Rådata!$B$1000),-1))&gt;0,"-","NEJ")</f>
        <v>NEJ</v>
      </c>
      <c r="K290" s="2" t="str">
        <f>K42</f>
        <v>Kobolt</v>
      </c>
      <c r="L290" s="2" t="str">
        <f t="shared" ref="L290:M290" si="186">L42</f>
        <v>Cobolt</v>
      </c>
      <c r="M290" s="2" t="str">
        <f t="shared" si="186"/>
        <v>Her kan et synonym indsættes</v>
      </c>
      <c r="N290" s="2" t="str">
        <f t="shared" ref="N290:O290" si="187">N42</f>
        <v>Her kan et synonym indsættes</v>
      </c>
      <c r="O290" s="2" t="str">
        <f t="shared" si="187"/>
        <v>Her kan et synonym indsættes</v>
      </c>
      <c r="S290" s="2" t="str">
        <f t="shared" si="153"/>
        <v>Cobolt</v>
      </c>
      <c r="T290" t="str">
        <f t="shared" si="150"/>
        <v>Temperatur, pH, Ledningsevne, NVOC, Calcium, Magnesium, Natrium, Kalium, Ammonium, Jern, total, Mangan, total, Bicarbonat, Chlorid, Sulfat, Nitrat, Nitrit, Fluorid, Ilt, Aggressivt kuldioxid, Totalt phosphor, Methan, Svovlbrinte, Nikkel, Arsen, Barium, Bor, Cobolt</v>
      </c>
    </row>
    <row r="291" spans="4:20" x14ac:dyDescent="0.2">
      <c r="D291" s="55"/>
      <c r="E291" s="47" t="s">
        <v>107</v>
      </c>
      <c r="F291" s="47"/>
      <c r="G291" s="13"/>
      <c r="K291" s="30"/>
      <c r="L291" s="2"/>
      <c r="M291" s="2"/>
      <c r="N291" s="2"/>
      <c r="O291" s="2"/>
      <c r="T291" t="str">
        <f t="shared" si="150"/>
        <v>Temperatur, pH, Ledningsevne, NVOC, Calcium, Magnesium, Natrium, Kalium, Ammonium, Jern, total, Mangan, total, Bicarbonat, Chlorid, Sulfat, Nitrat, Nitrit, Fluorid, Ilt, Aggressivt kuldioxid, Totalt phosphor, Methan, Svovlbrinte, Nikkel, Arsen, Barium, Bor, Cobolt</v>
      </c>
    </row>
    <row r="292" spans="4:20" x14ac:dyDescent="0.2">
      <c r="D292" s="55"/>
      <c r="E292" s="47" t="s">
        <v>108</v>
      </c>
      <c r="F292" s="47"/>
      <c r="G292" s="13"/>
      <c r="H292" s="13" t="str">
        <f>IF(IFERROR(SEARCH("NEJ",CONCATENATE(" ",G293,G294,G295,G296,G297,G298,G299,G300,G301,G302,G303,G304,G305,G306,G307,G308,G309)),1)=1,"OK","NEJ")</f>
        <v>NEJ</v>
      </c>
      <c r="K292" s="30"/>
      <c r="L292" s="2"/>
      <c r="M292" s="2"/>
      <c r="N292" s="2"/>
      <c r="O292" s="2"/>
      <c r="T292" t="str">
        <f t="shared" si="150"/>
        <v>Temperatur, pH, Ledningsevne, NVOC, Calcium, Magnesium, Natrium, Kalium, Ammonium, Jern, total, Mangan, total, Bicarbonat, Chlorid, Sulfat, Nitrat, Nitrit, Fluorid, Ilt, Aggressivt kuldioxid, Totalt phosphor, Methan, Svovlbrinte, Nikkel, Arsen, Barium, Bor, Cobolt</v>
      </c>
    </row>
    <row r="293" spans="4:20" x14ac:dyDescent="0.2">
      <c r="D293" s="55"/>
      <c r="F293" s="35" t="s">
        <v>17</v>
      </c>
      <c r="G293" s="18" t="str">
        <f>IF((IFERROR(SEARCH(K293,Rådata!$B$1000),-1)+IFERROR(SEARCH(L293,Rådata!$B$1000),-1)+IFERROR(SEARCH(M293,Rådata!$B$1000),-1)+IFERROR(SEARCH(N293,Rådata!$B$1000),-1)+IFERROR(SEARCH(O293,Rådata!$B$1000),-1))&gt;0,"-","NEJ")</f>
        <v>NEJ</v>
      </c>
      <c r="K293" s="2" t="str">
        <f>K95</f>
        <v>Aldrin</v>
      </c>
      <c r="L293" s="2" t="str">
        <f t="shared" ref="L293:M293" si="188">L95</f>
        <v>Her kan et synonym indsættes</v>
      </c>
      <c r="M293" s="2" t="str">
        <f t="shared" si="188"/>
        <v>Her kan et synonym indsættes</v>
      </c>
      <c r="N293" s="2" t="str">
        <f t="shared" ref="N293:O293" si="189">N95</f>
        <v>Her kan et synonym indsættes</v>
      </c>
      <c r="O293" s="2" t="str">
        <f t="shared" si="189"/>
        <v>Her kan et synonym indsættes</v>
      </c>
      <c r="T293" t="str">
        <f t="shared" si="150"/>
        <v>Temperatur, pH, Ledningsevne, NVOC, Calcium, Magnesium, Natrium, Kalium, Ammonium, Jern, total, Mangan, total, Bicarbonat, Chlorid, Sulfat, Nitrat, Nitrit, Fluorid, Ilt, Aggressivt kuldioxid, Totalt phosphor, Methan, Svovlbrinte, Nikkel, Arsen, Barium, Bor, Cobolt</v>
      </c>
    </row>
    <row r="294" spans="4:20" x14ac:dyDescent="0.2">
      <c r="D294" s="55"/>
      <c r="F294" s="23" t="s">
        <v>236</v>
      </c>
      <c r="G294" s="18" t="str">
        <f>IF((IFERROR(SEARCH(K294,Rådata!$B$1000),-1)+IFERROR(SEARCH(L294,Rådata!$B$1000),-1)+IFERROR(SEARCH(M294,Rådata!$B$1000),-1)+IFERROR(SEARCH(N294,Rådata!$B$1000),-1)+IFERROR(SEARCH(O294,Rådata!$B$1000),-1))&gt;0,"-","NEJ")</f>
        <v>NEJ</v>
      </c>
      <c r="K294" s="2" t="str">
        <f>K96</f>
        <v>Dieldrin</v>
      </c>
      <c r="L294" s="2" t="str">
        <f>L96</f>
        <v>Her kan et synonym indsættes</v>
      </c>
      <c r="M294" s="2" t="str">
        <f>M96</f>
        <v>Her kan et synonym indsættes</v>
      </c>
      <c r="N294" s="2" t="str">
        <f t="shared" ref="N294:O294" si="190">N96</f>
        <v>Her kan et synonym indsættes</v>
      </c>
      <c r="O294" s="2" t="str">
        <f t="shared" si="190"/>
        <v>Her kan et synonym indsættes</v>
      </c>
      <c r="T294" t="str">
        <f t="shared" si="150"/>
        <v>Temperatur, pH, Ledningsevne, NVOC, Calcium, Magnesium, Natrium, Kalium, Ammonium, Jern, total, Mangan, total, Bicarbonat, Chlorid, Sulfat, Nitrat, Nitrit, Fluorid, Ilt, Aggressivt kuldioxid, Totalt phosphor, Methan, Svovlbrinte, Nikkel, Arsen, Barium, Bor, Cobolt</v>
      </c>
    </row>
    <row r="295" spans="4:20" x14ac:dyDescent="0.2">
      <c r="D295" s="55"/>
      <c r="F295" s="23" t="s">
        <v>237</v>
      </c>
      <c r="G295" s="18" t="str">
        <f>IF((IFERROR(SEARCH(K295,Rådata!$B$1000),-1)+IFERROR(SEARCH(L295,Rådata!$B$1000),-1)+IFERROR(SEARCH(M295,Rådata!$B$1000),-1)+IFERROR(SEARCH(N295,Rådata!$B$1000),-1)+IFERROR(SEARCH(O295,Rådata!$B$1000),-1))&gt;0,"-","NEJ")</f>
        <v>NEJ</v>
      </c>
      <c r="K295" s="2" t="str">
        <f>K97</f>
        <v>Heptachlor</v>
      </c>
      <c r="L295" s="2" t="str">
        <f>L97</f>
        <v>Her kan et synonym indsættes</v>
      </c>
      <c r="M295" s="2" t="str">
        <f>M97</f>
        <v>Her kan et synonym indsættes</v>
      </c>
      <c r="N295" s="2" t="str">
        <f t="shared" ref="N295:O295" si="191">N97</f>
        <v>Her kan et synonym indsættes</v>
      </c>
      <c r="O295" s="2" t="str">
        <f t="shared" si="191"/>
        <v>Her kan et synonym indsættes</v>
      </c>
      <c r="T295" t="str">
        <f t="shared" si="150"/>
        <v>Temperatur, pH, Ledningsevne, NVOC, Calcium, Magnesium, Natrium, Kalium, Ammonium, Jern, total, Mangan, total, Bicarbonat, Chlorid, Sulfat, Nitrat, Nitrit, Fluorid, Ilt, Aggressivt kuldioxid, Totalt phosphor, Methan, Svovlbrinte, Nikkel, Arsen, Barium, Bor, Cobolt</v>
      </c>
    </row>
    <row r="296" spans="4:20" x14ac:dyDescent="0.2">
      <c r="D296" s="55"/>
      <c r="F296" s="23" t="s">
        <v>238</v>
      </c>
      <c r="G296" s="18" t="str">
        <f>IF((IFERROR(SEARCH(K296,Rådata!$B$1000),-1)+IFERROR(SEARCH(L296,Rådata!$B$1000),-1)+IFERROR(SEARCH(M296,Rådata!$B$1000),-1)+IFERROR(SEARCH(N296,Rådata!$B$1000),-1)+IFERROR(SEARCH(O296,Rådata!$B$1000),-1))&gt;0,"-","NEJ")</f>
        <v>NEJ</v>
      </c>
      <c r="K296" s="2" t="str">
        <f>K98</f>
        <v>Heptachlorepoxid</v>
      </c>
      <c r="L296" s="2" t="str">
        <f>L98</f>
        <v>Her kan et synonym indsættes</v>
      </c>
      <c r="M296" s="2" t="str">
        <f>M98</f>
        <v>Her kan et synonym indsættes</v>
      </c>
      <c r="N296" s="2" t="str">
        <f t="shared" ref="N296:O296" si="192">N98</f>
        <v>Her kan et synonym indsættes</v>
      </c>
      <c r="O296" s="2" t="str">
        <f t="shared" si="192"/>
        <v>Her kan et synonym indsættes</v>
      </c>
      <c r="T296" t="str">
        <f t="shared" si="150"/>
        <v>Temperatur, pH, Ledningsevne, NVOC, Calcium, Magnesium, Natrium, Kalium, Ammonium, Jern, total, Mangan, total, Bicarbonat, Chlorid, Sulfat, Nitrat, Nitrit, Fluorid, Ilt, Aggressivt kuldioxid, Totalt phosphor, Methan, Svovlbrinte, Nikkel, Arsen, Barium, Bor, Cobolt</v>
      </c>
    </row>
    <row r="297" spans="4:20" x14ac:dyDescent="0.2">
      <c r="D297" s="55"/>
      <c r="F297" s="3" t="s">
        <v>19</v>
      </c>
      <c r="G297" s="4" t="str">
        <f>IF((IFERROR(SEARCH(K297,Rådata!$B$1000),-1)+IFERROR(SEARCH(L297,Rådata!$B$1000),-1)+IFERROR(SEARCH(M297,Rådata!$B$1000),-1)+IFERROR(SEARCH(N297,Rådata!$B$1000),-1)+IFERROR(SEARCH(O297,Rådata!$B$1000),-1))&gt;0,"-","NEJ")</f>
        <v>NEJ</v>
      </c>
      <c r="K297" s="2" t="str">
        <f>K99</f>
        <v>Atrazin</v>
      </c>
      <c r="L297" s="2" t="str">
        <f>L99</f>
        <v>Her kan et synonym indsættes</v>
      </c>
      <c r="M297" s="2" t="str">
        <f>M99</f>
        <v>Her kan et synonym indsættes</v>
      </c>
      <c r="N297" s="2" t="str">
        <f t="shared" ref="N297:O297" si="193">N99</f>
        <v>Her kan et synonym indsættes</v>
      </c>
      <c r="O297" s="2" t="str">
        <f t="shared" si="193"/>
        <v>Her kan et synonym indsættes</v>
      </c>
      <c r="S297" s="2" t="str">
        <f t="shared" si="153"/>
        <v>Atrazin</v>
      </c>
      <c r="T297" t="str">
        <f t="shared" si="150"/>
        <v>Temperatur, pH, Ledningsevne, NVOC, Calcium, Magnesium, Natrium, Kalium, Ammonium, Jern, total, Mangan, total, Bicarbonat, Chlorid, Sulfat, Nitrat, Nitrit, Fluorid, Ilt, Aggressivt kuldioxid, Totalt phosphor, Methan, Svovlbrinte, Nikkel, Arsen, Barium, Bor, Cobolt, Atrazin</v>
      </c>
    </row>
    <row r="298" spans="4:20" x14ac:dyDescent="0.2">
      <c r="D298" s="55"/>
      <c r="F298" s="3" t="s">
        <v>20</v>
      </c>
      <c r="G298" s="4" t="str">
        <f>IF((IFERROR(SEARCH(K298,Rådata!$B$1000),-1)+IFERROR(SEARCH(L298,Rådata!$B$1000),-1)+IFERROR(SEARCH(M298,Rådata!$B$1000),-1)+IFERROR(SEARCH(N298,Rådata!$B$1000),-1)+IFERROR(SEARCH(O298,Rådata!$B$1000),-1))&gt;0,"-","NEJ")</f>
        <v>NEJ</v>
      </c>
      <c r="K298" s="2" t="str">
        <f>K100</f>
        <v>Bentazon</v>
      </c>
      <c r="L298" s="2" t="str">
        <f>L100</f>
        <v>Her kan et synonym indsættes</v>
      </c>
      <c r="M298" s="2" t="str">
        <f>M100</f>
        <v>Her kan et synonym indsættes</v>
      </c>
      <c r="N298" s="2" t="str">
        <f t="shared" ref="N298:O298" si="194">N100</f>
        <v>Her kan et synonym indsættes</v>
      </c>
      <c r="O298" s="2" t="str">
        <f t="shared" si="194"/>
        <v>Her kan et synonym indsættes</v>
      </c>
      <c r="S298" s="2" t="str">
        <f t="shared" si="153"/>
        <v>Bentazon</v>
      </c>
      <c r="T298" t="str">
        <f t="shared" si="150"/>
        <v>Temperatur, pH, Ledningsevne, NVOC, Calcium, Magnesium, Natrium, Kalium, Ammonium, Jern, total, Mangan, total, Bicarbonat, Chlorid, Sulfat, Nitrat, Nitrit, Fluorid, Ilt, Aggressivt kuldioxid, Totalt phosphor, Methan, Svovlbrinte, Nikkel, Arsen, Barium, Bor, Cobolt, Atrazin, Bentazon</v>
      </c>
    </row>
    <row r="299" spans="4:20" x14ac:dyDescent="0.2">
      <c r="F299" s="3" t="s">
        <v>28</v>
      </c>
      <c r="G299" s="4" t="str">
        <f>IF((IFERROR(SEARCH(K299,Rådata!$B$1000),-1)+IFERROR(SEARCH(L299,Rådata!$B$1000),-1)+IFERROR(SEARCH(M299,Rådata!$B$1000),-1)+IFERROR(SEARCH(N299,Rådata!$B$1000),-1)+IFERROR(SEARCH(O299,Rådata!$B$1000),-1))&gt;0,"-","NEJ")</f>
        <v>NEJ</v>
      </c>
      <c r="K299" s="2" t="str">
        <f>K101</f>
        <v>Dichlobenil</v>
      </c>
      <c r="L299" s="2" t="str">
        <f>L101</f>
        <v>Her kan et synonym indsættes</v>
      </c>
      <c r="M299" s="2" t="str">
        <f>M101</f>
        <v>Her kan et synonym indsættes</v>
      </c>
      <c r="N299" s="2" t="str">
        <f t="shared" ref="N299:O299" si="195">N101</f>
        <v>Her kan et synonym indsættes</v>
      </c>
      <c r="O299" s="2" t="str">
        <f t="shared" si="195"/>
        <v>Her kan et synonym indsættes</v>
      </c>
      <c r="S299" s="2" t="str">
        <f t="shared" si="153"/>
        <v>Dichlobenil</v>
      </c>
      <c r="T299"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v>
      </c>
    </row>
    <row r="300" spans="4:20" x14ac:dyDescent="0.2">
      <c r="F300" s="3" t="s">
        <v>109</v>
      </c>
      <c r="G300" s="4" t="str">
        <f>IF((IFERROR(SEARCH(K300,Rådata!$B$1000),-1)+IFERROR(SEARCH(L300,Rådata!$B$1000),-1)+IFERROR(SEARCH(M300,Rådata!$B$1000),-1)+IFERROR(SEARCH(N300,Rådata!$B$1000),-1)+IFERROR(SEARCH(O300,Rådata!$B$1000),-1))&gt;0,"-","NEJ")</f>
        <v>NEJ</v>
      </c>
      <c r="K300" s="2" t="str">
        <f>K102</f>
        <v>Dichlorprop</v>
      </c>
      <c r="L300" s="2" t="str">
        <f>L102</f>
        <v>Her kan et synonym indsættes</v>
      </c>
      <c r="M300" s="2" t="str">
        <f>M102</f>
        <v>Her kan et synonym indsættes</v>
      </c>
      <c r="N300" s="2" t="str">
        <f t="shared" ref="N300:O300" si="196">N102</f>
        <v>Her kan et synonym indsættes</v>
      </c>
      <c r="O300" s="2" t="str">
        <f t="shared" si="196"/>
        <v>Her kan et synonym indsættes</v>
      </c>
      <c r="S300" s="2" t="str">
        <f t="shared" si="153"/>
        <v>Dichlorprop</v>
      </c>
      <c r="T300"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v>
      </c>
    </row>
    <row r="301" spans="4:20" x14ac:dyDescent="0.2">
      <c r="F301" s="3" t="s">
        <v>30</v>
      </c>
      <c r="G301" s="4" t="str">
        <f>IF((IFERROR(SEARCH(K301,Rådata!$B$1000),-1)+IFERROR(SEARCH(L301,Rådata!$B$1000),-1)+IFERROR(SEARCH(M301,Rådata!$B$1000),-1)+IFERROR(SEARCH(N301,Rådata!$B$1000),-1)+IFERROR(SEARCH(O301,Rådata!$B$1000),-1))&gt;0,"-","NEJ")</f>
        <v>NEJ</v>
      </c>
      <c r="K301" s="2" t="str">
        <f>K104</f>
        <v>Diuron</v>
      </c>
      <c r="L301" s="2" t="str">
        <f>L104</f>
        <v>Her kan et synonym indsættes</v>
      </c>
      <c r="M301" s="2" t="str">
        <f>M104</f>
        <v>Her kan et synonym indsættes</v>
      </c>
      <c r="N301" s="2" t="str">
        <f t="shared" ref="N301:O301" si="197">N104</f>
        <v>Her kan et synonym indsættes</v>
      </c>
      <c r="O301" s="2" t="str">
        <f t="shared" si="197"/>
        <v>Her kan et synonym indsættes</v>
      </c>
      <c r="S301" s="2" t="str">
        <f t="shared" si="153"/>
        <v>Diuron</v>
      </c>
      <c r="T301"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v>
      </c>
    </row>
    <row r="302" spans="4:20" x14ac:dyDescent="0.2">
      <c r="F302" s="3" t="s">
        <v>110</v>
      </c>
      <c r="G302" s="4" t="str">
        <f>IF((IFERROR(SEARCH(K302,Rådata!$B$1000),-1)+IFERROR(SEARCH(L302,Rådata!$B$1000),-1)+IFERROR(SEARCH(M302,Rådata!$B$1000),-1)+IFERROR(SEARCH(N302,Rådata!$B$1000),-1)+IFERROR(SEARCH(O302,Rådata!$B$1000),-1))&gt;0,"-","NEJ")</f>
        <v>NEJ</v>
      </c>
      <c r="K302" s="2" t="str">
        <f>K105</f>
        <v>Ethylenthiourea</v>
      </c>
      <c r="L302" s="2" t="str">
        <f>L105</f>
        <v>Ethylenthiourinstof</v>
      </c>
      <c r="M302" s="2" t="str">
        <f>M105</f>
        <v>Her kan et synonym indsættes</v>
      </c>
      <c r="N302" s="2" t="str">
        <f t="shared" ref="N302:O302" si="198">N105</f>
        <v>Her kan et synonym indsættes</v>
      </c>
      <c r="O302" s="2" t="str">
        <f t="shared" si="198"/>
        <v>Her kan et synonym indsættes</v>
      </c>
      <c r="S302" s="2" t="str">
        <f t="shared" si="153"/>
        <v>ETU (Ethylenthiourea)</v>
      </c>
      <c r="T302"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v>
      </c>
    </row>
    <row r="303" spans="4:20" x14ac:dyDescent="0.2">
      <c r="F303" s="3" t="s">
        <v>31</v>
      </c>
      <c r="G303" s="4" t="str">
        <f>IF((IFERROR(SEARCH(K303,Rådata!$B$1000),-1)+IFERROR(SEARCH(L303,Rådata!$B$1000),-1)+IFERROR(SEARCH(M303,Rådata!$B$1000),-1)+IFERROR(SEARCH(N303,Rådata!$B$1000),-1)+IFERROR(SEARCH(O303,Rådata!$B$1000),-1))&gt;0,"-","NEJ")</f>
        <v>NEJ</v>
      </c>
      <c r="K303" s="2" t="str">
        <f>K106</f>
        <v>Glyphosat</v>
      </c>
      <c r="L303" s="2" t="str">
        <f>L106</f>
        <v>Her kan et synonym indsættes</v>
      </c>
      <c r="M303" s="2" t="str">
        <f>M106</f>
        <v>Her kan et synonym indsættes</v>
      </c>
      <c r="N303" s="2" t="str">
        <f t="shared" ref="N303:O303" si="199">N106</f>
        <v>Her kan et synonym indsættes</v>
      </c>
      <c r="O303" s="2" t="str">
        <f t="shared" si="199"/>
        <v>Her kan et synonym indsættes</v>
      </c>
      <c r="S303" s="2" t="str">
        <f t="shared" si="153"/>
        <v>Glyphosat</v>
      </c>
      <c r="T303"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v>
      </c>
    </row>
    <row r="304" spans="4:20" x14ac:dyDescent="0.2">
      <c r="F304" s="3" t="s">
        <v>32</v>
      </c>
      <c r="G304" s="4" t="str">
        <f>IF((IFERROR(SEARCH(K304,Rådata!$B$1000),-1)+IFERROR(SEARCH(L304,Rådata!$B$1000),-1)+IFERROR(SEARCH(M304,Rådata!$B$1000),-1)+IFERROR(SEARCH(N304,Rådata!$B$1000),-1)+IFERROR(SEARCH(O304,Rådata!$B$1000),-1))&gt;0,"-","NEJ")</f>
        <v>NEJ</v>
      </c>
      <c r="K304" s="2" t="str">
        <f>K107</f>
        <v>Hexazinon</v>
      </c>
      <c r="L304" s="2" t="str">
        <f>L107</f>
        <v>Her kan et synonym indsættes</v>
      </c>
      <c r="M304" s="2" t="str">
        <f>M107</f>
        <v>Her kan et synonym indsættes</v>
      </c>
      <c r="N304" s="2" t="str">
        <f t="shared" ref="N304:O304" si="200">N107</f>
        <v>Her kan et synonym indsættes</v>
      </c>
      <c r="O304" s="2" t="str">
        <f t="shared" si="200"/>
        <v>Her kan et synonym indsættes</v>
      </c>
      <c r="S304" s="2" t="str">
        <f t="shared" si="153"/>
        <v>Hexazinon</v>
      </c>
      <c r="T304"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v>
      </c>
    </row>
    <row r="305" spans="5:20" x14ac:dyDescent="0.2">
      <c r="F305" s="3" t="s">
        <v>35</v>
      </c>
      <c r="G305" s="4" t="str">
        <f>IF((IFERROR(SEARCH(K305,Rådata!$B$1000),-1)+IFERROR(SEARCH(L305,Rådata!$B$1000),-1)+IFERROR(SEARCH(M305,Rådata!$B$1000),-1)+IFERROR(SEARCH(N305,Rådata!$B$1000),-1)+IFERROR(SEARCH(O305,Rådata!$B$1000),-1))&gt;0,"-","NEJ")</f>
        <v>NEJ</v>
      </c>
      <c r="K305" s="2" t="str">
        <f>K108</f>
        <v>MCPA</v>
      </c>
      <c r="L305" s="2" t="str">
        <f>L108</f>
        <v>Her kan et synonym indsættes</v>
      </c>
      <c r="M305" s="2" t="str">
        <f>M108</f>
        <v>Her kan et synonym indsættes</v>
      </c>
      <c r="N305" s="2" t="str">
        <f t="shared" ref="N305:O305" si="201">N108</f>
        <v>Her kan et synonym indsættes</v>
      </c>
      <c r="O305" s="2" t="str">
        <f t="shared" si="201"/>
        <v>Her kan et synonym indsættes</v>
      </c>
      <c r="S305" s="2" t="str">
        <f t="shared" si="153"/>
        <v>MCPA</v>
      </c>
      <c r="T305"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v>
      </c>
    </row>
    <row r="306" spans="5:20" x14ac:dyDescent="0.2">
      <c r="F306" s="3" t="s">
        <v>111</v>
      </c>
      <c r="G306" s="4" t="str">
        <f>IF((IFERROR(SEARCH(K306,Rådata!$B$1000),-1)+IFERROR(SEARCH(L306,Rådata!$B$1000),-1)+IFERROR(SEARCH(M306,Rådata!$B$1000),-1)+IFERROR(SEARCH(N306,Rådata!$B$1000),-1)+IFERROR(SEARCH(O306,Rådata!$B$1000),-1))&gt;0,"-","NEJ")</f>
        <v>NEJ</v>
      </c>
      <c r="K306" s="2" t="str">
        <f>K109</f>
        <v>Mechlorprop</v>
      </c>
      <c r="L306" s="2" t="str">
        <f>L109</f>
        <v>Her kan et synonym indsættes</v>
      </c>
      <c r="M306" s="2" t="str">
        <f>M109</f>
        <v>Her kan et synonym indsættes</v>
      </c>
      <c r="N306" s="2" t="str">
        <f t="shared" ref="N306:O306" si="202">N109</f>
        <v>Her kan et synonym indsættes</v>
      </c>
      <c r="O306" s="2" t="str">
        <f t="shared" si="202"/>
        <v>Her kan et synonym indsættes</v>
      </c>
      <c r="S306" s="2" t="str">
        <f t="shared" si="153"/>
        <v>Mechlorprop</v>
      </c>
      <c r="T306"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v>
      </c>
    </row>
    <row r="307" spans="5:20" x14ac:dyDescent="0.2">
      <c r="F307" s="3" t="s">
        <v>112</v>
      </c>
      <c r="G307" s="4" t="str">
        <f>IF((IFERROR(SEARCH(K307,Rådata!$B$1000),-1)+IFERROR(SEARCH(L307,Rådata!$B$1000),-1)+IFERROR(SEARCH(M307,Rådata!$B$1000),-1)+IFERROR(SEARCH(N307,Rådata!$B$1000),-1)+IFERROR(SEARCH(O307,Rådata!$B$1000),-1))&gt;0,"-","NEJ")</f>
        <v>NEJ</v>
      </c>
      <c r="K307" s="2" t="str">
        <f>K110</f>
        <v>Metalaxyl</v>
      </c>
      <c r="L307" s="2" t="str">
        <f>L110</f>
        <v>Her kan et synonym indsættes</v>
      </c>
      <c r="M307" s="2" t="str">
        <f>M110</f>
        <v>Her kan et synonym indsættes</v>
      </c>
      <c r="N307" s="2" t="str">
        <f t="shared" ref="N307:O307" si="203">N110</f>
        <v>Her kan et synonym indsættes</v>
      </c>
      <c r="O307" s="2" t="str">
        <f t="shared" si="203"/>
        <v>Her kan et synonym indsættes</v>
      </c>
      <c r="S307" s="2" t="str">
        <f t="shared" si="153"/>
        <v>Metalaxyl/metalaxyl-M</v>
      </c>
      <c r="T307"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v>
      </c>
    </row>
    <row r="308" spans="5:20" x14ac:dyDescent="0.2">
      <c r="F308" s="3" t="s">
        <v>36</v>
      </c>
      <c r="G308" s="4" t="str">
        <f>IF((IFERROR(SEARCH(K308,Rådata!$B$1000),-1)+IFERROR(SEARCH(L308,Rådata!$B$1000),-1)+IFERROR(SEARCH(M308,Rådata!$B$1000),-1)+IFERROR(SEARCH(N308,Rådata!$B$1000),-1)+IFERROR(SEARCH(O308,Rådata!$B$1000),-1))&gt;0,"-","NEJ")</f>
        <v>NEJ</v>
      </c>
      <c r="K308" s="2" t="str">
        <f>K111</f>
        <v>Metribuzin</v>
      </c>
      <c r="L308" s="2" t="str">
        <f>L111</f>
        <v>Her kan et synonym indsættes</v>
      </c>
      <c r="M308" s="2" t="str">
        <f>M111</f>
        <v>Her kan et synonym indsættes</v>
      </c>
      <c r="N308" s="2" t="str">
        <f t="shared" ref="N308:O308" si="204">N111</f>
        <v>Her kan et synonym indsættes</v>
      </c>
      <c r="O308" s="2" t="str">
        <f t="shared" si="204"/>
        <v>Her kan et synonym indsættes</v>
      </c>
      <c r="S308" s="2" t="str">
        <f t="shared" si="153"/>
        <v>Metribuzin</v>
      </c>
      <c r="T308"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v>
      </c>
    </row>
    <row r="309" spans="5:20" x14ac:dyDescent="0.2">
      <c r="F309" s="3" t="s">
        <v>40</v>
      </c>
      <c r="G309" s="4" t="str">
        <f>IF((IFERROR(SEARCH(K309,Rådata!$B$1000),-1)+IFERROR(SEARCH(L309,Rådata!$B$1000),-1)+IFERROR(SEARCH(M309,Rådata!$B$1000),-1)+IFERROR(SEARCH(N309,Rådata!$B$1000),-1)+IFERROR(SEARCH(O309,Rådata!$B$1000),-1))&gt;0,"-","NEJ")</f>
        <v>NEJ</v>
      </c>
      <c r="K309" s="2" t="str">
        <f>K112</f>
        <v>Simazin</v>
      </c>
      <c r="L309" s="2" t="str">
        <f>L112</f>
        <v>Her kan et synonym indsættes</v>
      </c>
      <c r="M309" s="2" t="str">
        <f>M112</f>
        <v>Her kan et synonym indsættes</v>
      </c>
      <c r="N309" s="2" t="str">
        <f t="shared" ref="N309:O309" si="205">N112</f>
        <v>Her kan et synonym indsættes</v>
      </c>
      <c r="O309" s="2" t="str">
        <f t="shared" si="205"/>
        <v>Her kan et synonym indsættes</v>
      </c>
      <c r="S309" s="2" t="str">
        <f t="shared" si="153"/>
        <v>Simazin</v>
      </c>
      <c r="T309"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10" spans="5:20" x14ac:dyDescent="0.2">
      <c r="E310" s="47" t="s">
        <v>113</v>
      </c>
      <c r="F310" s="47"/>
      <c r="G310" s="13"/>
      <c r="H310" s="13" t="str">
        <f>IF(IFERROR(SEARCH("NEJ",CONCATENATE(" ",G311,G312,G313,G314,G315,G316,G317,G318,G319,G320,G321,G322,G323,G324,G325,G326,G327,G328,G329,G330,G331,G332,G333,G334,G335,G336)),1)=1,"OK","NEJ")</f>
        <v>NEJ</v>
      </c>
      <c r="K310" s="30"/>
      <c r="L310" s="2"/>
      <c r="M310" s="2"/>
      <c r="N310" s="2"/>
      <c r="O310" s="2"/>
      <c r="T310"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11" spans="5:20" x14ac:dyDescent="0.2">
      <c r="F311" s="9" t="s">
        <v>114</v>
      </c>
      <c r="G311" s="4" t="str">
        <f>IF((IFERROR(SEARCH(K311,Rådata!$B$1000),-1)+IFERROR(SEARCH(L311,Rådata!$B$1000),-1)+IFERROR(SEARCH(M311,Rådata!$B$1000),-1)+IFERROR(SEARCH(N311,Rådata!$B$1000),-1)+IFERROR(SEARCH(O311,Rådata!$B$1000),-1))&gt;0,"-","NEJ")</f>
        <v>NEJ</v>
      </c>
      <c r="K311" s="2" t="str">
        <f>K114</f>
        <v>triazol</v>
      </c>
      <c r="L311" s="2" t="str">
        <f t="shared" ref="L311:M311" si="206">L114</f>
        <v>Her kan et synonym indsættes</v>
      </c>
      <c r="M311" s="2" t="str">
        <f t="shared" si="206"/>
        <v>Her kan et synonym indsættes</v>
      </c>
      <c r="N311" s="2" t="str">
        <f t="shared" ref="N311:O311" si="207">N114</f>
        <v>Her kan et synonym indsættes</v>
      </c>
      <c r="O311" s="2" t="str">
        <f t="shared" si="207"/>
        <v>Her kan et synonym indsættes</v>
      </c>
      <c r="S311" s="2" t="str">
        <f t="shared" si="153"/>
        <v>1,2,4-triazol</v>
      </c>
      <c r="T311"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v>
      </c>
    </row>
    <row r="312" spans="5:20" x14ac:dyDescent="0.2">
      <c r="F312" s="3" t="s">
        <v>115</v>
      </c>
      <c r="G312" s="4" t="str">
        <f>IF((IFERROR(SEARCH(K312,Rådata!$B$1000),-1)+IFERROR(SEARCH(L312,Rådata!$B$1000),-1)+IFERROR(SEARCH(M312,Rådata!$B$1000),-1)+IFERROR(SEARCH(N312,Rådata!$B$1000),-1)+IFERROR(SEARCH(O312,Rådata!$B$1000),-1))&gt;0,"-","NEJ")</f>
        <v>NEJ</v>
      </c>
      <c r="K312" s="2" t="str">
        <f>K115</f>
        <v>2,6-Dichlorbenzosyre</v>
      </c>
      <c r="L312" s="2" t="str">
        <f t="shared" ref="L312:M312" si="208">L115</f>
        <v>Her kan et synonym indsættes</v>
      </c>
      <c r="M312" s="2" t="str">
        <f t="shared" si="208"/>
        <v>Her kan et synonym indsættes</v>
      </c>
      <c r="N312" s="2" t="str">
        <f t="shared" ref="N312:O312" si="209">N115</f>
        <v>Her kan et synonym indsættes</v>
      </c>
      <c r="O312" s="2" t="str">
        <f t="shared" si="209"/>
        <v>Her kan et synonym indsættes</v>
      </c>
      <c r="S312" s="2" t="str">
        <f t="shared" si="153"/>
        <v>2,6-Dichlorbenzosyre</v>
      </c>
      <c r="T312"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v>
      </c>
    </row>
    <row r="313" spans="5:20" x14ac:dyDescent="0.2">
      <c r="F313" s="3" t="s">
        <v>116</v>
      </c>
      <c r="G313" s="4" t="str">
        <f>IF((IFERROR(SEARCH(K313,Rådata!$B$1000),-1)+IFERROR(SEARCH(L313,Rådata!$B$1000),-1)+IFERROR(SEARCH(M313,Rådata!$B$1000),-1)+IFERROR(SEARCH(N313,Rådata!$B$1000),-1)+IFERROR(SEARCH(O313,Rådata!$B$1000),-1))&gt;0,"-","NEJ")</f>
        <v>NEJ</v>
      </c>
      <c r="K313" s="2" t="str">
        <f>K116</f>
        <v>2,4-Dichlorphenol</v>
      </c>
      <c r="L313" s="2" t="str">
        <f t="shared" ref="L313:M313" si="210">L116</f>
        <v>Her kan et synonym indsættes</v>
      </c>
      <c r="M313" s="2" t="str">
        <f t="shared" si="210"/>
        <v>Her kan et synonym indsættes</v>
      </c>
      <c r="N313" s="2" t="str">
        <f t="shared" ref="N313:O313" si="211">N116</f>
        <v>Her kan et synonym indsættes</v>
      </c>
      <c r="O313" s="2" t="str">
        <f t="shared" si="211"/>
        <v>Her kan et synonym indsættes</v>
      </c>
      <c r="S313" s="2" t="str">
        <f t="shared" si="153"/>
        <v>2,4-Dichlorphenol</v>
      </c>
      <c r="T313"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v>
      </c>
    </row>
    <row r="314" spans="5:20" x14ac:dyDescent="0.2">
      <c r="F314" s="3" t="s">
        <v>117</v>
      </c>
      <c r="G314" s="4" t="str">
        <f>IF((IFERROR(SEARCH(K314,Rådata!$B$1000),-1)+IFERROR(SEARCH(L314,Rådata!$B$1000),-1)+IFERROR(SEARCH(M314,Rådata!$B$1000),-1)+IFERROR(SEARCH(N314,Rådata!$B$1000),-1)+IFERROR(SEARCH(O314,Rådata!$B$1000),-1))&gt;0,"-","NEJ")</f>
        <v>NEJ</v>
      </c>
      <c r="K314" s="2" t="str">
        <f>K117</f>
        <v>2,6-Dichlorphenol</v>
      </c>
      <c r="L314" s="2" t="str">
        <f t="shared" ref="L314:M314" si="212">L117</f>
        <v>Her kan et synonym indsættes</v>
      </c>
      <c r="M314" s="2" t="str">
        <f t="shared" si="212"/>
        <v>Her kan et synonym indsættes</v>
      </c>
      <c r="N314" s="2" t="str">
        <f t="shared" ref="N314:O314" si="213">N117</f>
        <v>Her kan et synonym indsættes</v>
      </c>
      <c r="O314" s="2" t="str">
        <f t="shared" si="213"/>
        <v>Her kan et synonym indsættes</v>
      </c>
      <c r="S314" s="2" t="str">
        <f t="shared" si="153"/>
        <v>2,6-Dichlorphenol</v>
      </c>
      <c r="T314"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v>
      </c>
    </row>
    <row r="315" spans="5:20" x14ac:dyDescent="0.2">
      <c r="F315" s="3" t="s">
        <v>118</v>
      </c>
      <c r="G315" s="4" t="str">
        <f>IF((IFERROR(SEARCH(K315,Rådata!$B$1000),-1)+IFERROR(SEARCH(L315,Rådata!$B$1000),-1)+IFERROR(SEARCH(M315,Rådata!$B$1000),-1)+IFERROR(SEARCH(N315,Rådata!$B$1000),-1)+IFERROR(SEARCH(O315,Rådata!$B$1000),-1))&gt;0,"-","NEJ")</f>
        <v>NEJ</v>
      </c>
      <c r="K315" s="2" t="str">
        <f>K118</f>
        <v>4-CPP</v>
      </c>
      <c r="L315" s="2" t="str">
        <f t="shared" ref="L315:M315" si="214">L118</f>
        <v>Her kan et synonym indsættes</v>
      </c>
      <c r="M315" s="2" t="str">
        <f t="shared" si="214"/>
        <v>Her kan et synonym indsættes</v>
      </c>
      <c r="N315" s="2" t="str">
        <f t="shared" ref="N315:O315" si="215">N118</f>
        <v>Her kan et synonym indsættes</v>
      </c>
      <c r="O315" s="2" t="str">
        <f t="shared" si="215"/>
        <v>Her kan et synonym indsættes</v>
      </c>
      <c r="S315" s="2" t="str">
        <f t="shared" si="153"/>
        <v>4CPP (2-(4-chlorphenoxy)propionsyre)</v>
      </c>
      <c r="T315"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v>
      </c>
    </row>
    <row r="316" spans="5:20" x14ac:dyDescent="0.2">
      <c r="F316" s="3" t="s">
        <v>119</v>
      </c>
      <c r="G316" s="4" t="str">
        <f>IF((IFERROR(SEARCH(K316,Rådata!$B$1000),-1)+IFERROR(SEARCH(L316,Rådata!$B$1000),-1)+IFERROR(SEARCH(M316,Rådata!$B$1000),-1)+IFERROR(SEARCH(N316,Rådata!$B$1000),-1)+IFERROR(SEARCH(O316,Rådata!$B$1000),-1))&gt;0,"-","NEJ")</f>
        <v>NEJ</v>
      </c>
      <c r="K316" s="2" t="str">
        <f>K119</f>
        <v>2,6-DCPP</v>
      </c>
      <c r="L316" s="2" t="str">
        <f t="shared" ref="L316:M316" si="216">L119</f>
        <v>Her kan et synonym indsættes</v>
      </c>
      <c r="M316" s="2" t="str">
        <f t="shared" si="216"/>
        <v>Her kan et synonym indsættes</v>
      </c>
      <c r="N316" s="2" t="str">
        <f t="shared" ref="N316:O316" si="217">N119</f>
        <v>Her kan et synonym indsættes</v>
      </c>
      <c r="O316" s="2" t="str">
        <f t="shared" si="217"/>
        <v>Her kan et synonym indsættes</v>
      </c>
      <c r="S316" s="2" t="str">
        <f t="shared" si="153"/>
        <v>2,6-DCPP (2-(2,6-dichlorphenoxy-propionsyre))</v>
      </c>
      <c r="T316"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17" spans="5:20" x14ac:dyDescent="0.2">
      <c r="F317" s="3" t="s">
        <v>120</v>
      </c>
      <c r="G317" s="4" t="str">
        <f>IF((IFERROR(SEARCH(K317,Rådata!$B$1000),-1)+IFERROR(SEARCH(L317,Rådata!$B$1000),-1)+IFERROR(SEARCH(M317,Rådata!$B$1000),-1)+IFERROR(SEARCH(N317,Rådata!$B$1000),-1)+IFERROR(SEARCH(O317,Rådata!$B$1000),-1))&gt;0,"-","NEJ")</f>
        <v>NEJ</v>
      </c>
      <c r="K317" s="2" t="str">
        <f>K120</f>
        <v>4-Nitrophenol</v>
      </c>
      <c r="L317" s="2" t="str">
        <f t="shared" ref="L317:M317" si="218">L120</f>
        <v>Her kan et synonym indsættes</v>
      </c>
      <c r="M317" s="2" t="str">
        <f t="shared" si="218"/>
        <v>Her kan et synonym indsættes</v>
      </c>
      <c r="N317" s="2" t="str">
        <f t="shared" ref="N317:O317" si="219">N120</f>
        <v>Her kan et synonym indsættes</v>
      </c>
      <c r="O317" s="2" t="str">
        <f t="shared" si="219"/>
        <v>Her kan et synonym indsættes</v>
      </c>
      <c r="S317" s="2" t="str">
        <f t="shared" si="153"/>
        <v>4-Nitrophenol</v>
      </c>
      <c r="T317"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18" spans="5:20" x14ac:dyDescent="0.2">
      <c r="F318" s="3" t="s">
        <v>121</v>
      </c>
      <c r="G318" s="4" t="str">
        <f>IF((IFERROR(SEARCH(K318,Rådata!$B$1000),-1)+IFERROR(SEARCH(L318,Rådata!$B$1000),-1)+IFERROR(SEARCH(M318,Rådata!$B$1000),-1)+IFERROR(SEARCH(N318,Rådata!$B$1000),-1)+IFERROR(SEARCH(O318,Rådata!$B$1000),-1))&gt;0,"-","NEJ")</f>
        <v>NEJ</v>
      </c>
      <c r="K318" s="2" t="str">
        <f>K121</f>
        <v>AMPA</v>
      </c>
      <c r="L318" s="2" t="str">
        <f t="shared" ref="L318:M318" si="220">L121</f>
        <v>Her kan et synonym indsættes</v>
      </c>
      <c r="M318" s="2" t="str">
        <f t="shared" si="220"/>
        <v>Her kan et synonym indsættes</v>
      </c>
      <c r="N318" s="2" t="str">
        <f t="shared" ref="N318:O318" si="221">N121</f>
        <v>Her kan et synonym indsættes</v>
      </c>
      <c r="O318" s="2" t="str">
        <f t="shared" si="221"/>
        <v>Her kan et synonym indsættes</v>
      </c>
      <c r="S318" s="2" t="str">
        <f t="shared" si="153"/>
        <v>AMPA (Aminomethylphosphorsyre)</v>
      </c>
      <c r="T318"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19" spans="5:20" x14ac:dyDescent="0.2">
      <c r="F319" s="3" t="s">
        <v>122</v>
      </c>
      <c r="G319" s="4" t="str">
        <f>IF((IFERROR(SEARCH(K319,Rådata!$B$1000),-1)+IFERROR(SEARCH(L319,Rådata!$B$1000),-1)+IFERROR(SEARCH(M319,Rådata!$B$1000),-1)+IFERROR(SEARCH(N319,Rådata!$B$1000),-1)+IFERROR(SEARCH(O319,Rådata!$B$1000),-1))&gt;0,"-","NEJ")</f>
        <v>NEJ</v>
      </c>
      <c r="K319" s="2" t="str">
        <f>K122</f>
        <v>Dichlorbenzamid</v>
      </c>
      <c r="L319" s="2" t="str">
        <f t="shared" ref="L319:M319" si="222">L122</f>
        <v>Her kan et synonym indsættes</v>
      </c>
      <c r="M319" s="2" t="str">
        <f t="shared" si="222"/>
        <v>Her kan et synonym indsættes</v>
      </c>
      <c r="N319" s="2" t="str">
        <f t="shared" ref="N319:O319" si="223">N122</f>
        <v>Her kan et synonym indsættes</v>
      </c>
      <c r="O319" s="2" t="str">
        <f t="shared" si="223"/>
        <v>Her kan et synonym indsættes</v>
      </c>
      <c r="S319" s="2" t="str">
        <f t="shared" si="153"/>
        <v>BAM (2,6-Dichlorbenzamid)</v>
      </c>
      <c r="T319"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20" spans="5:20" x14ac:dyDescent="0.2">
      <c r="F320" s="3" t="s">
        <v>123</v>
      </c>
      <c r="G320" s="4" t="str">
        <f>IF((IFERROR(SEARCH(K320,Rådata!$B$1000),-1)+IFERROR(SEARCH(L320,Rådata!$B$1000),-1)+IFERROR(SEARCH(M320,Rådata!$B$1000),-1)+IFERROR(SEARCH(N320,Rådata!$B$1000),-1)+IFERROR(SEARCH(O320,Rådata!$B$1000),-1))&gt;0,"-","NEJ")</f>
        <v>NEJ</v>
      </c>
      <c r="K320" s="2" t="str">
        <f>K123</f>
        <v>CGA 62826</v>
      </c>
      <c r="L320" s="2" t="str">
        <f t="shared" ref="L320:M320" si="224">L123</f>
        <v>CGA62826</v>
      </c>
      <c r="M320" s="2" t="str">
        <f t="shared" si="224"/>
        <v>Her kan et synonym indsættes</v>
      </c>
      <c r="N320" s="2" t="str">
        <f t="shared" ref="N320:O320" si="225">N123</f>
        <v>Her kan et synonym indsættes</v>
      </c>
      <c r="O320" s="2" t="str">
        <f t="shared" si="225"/>
        <v>Her kan et synonym indsættes</v>
      </c>
      <c r="S320" s="2" t="str">
        <f t="shared" si="153"/>
        <v>N-(2, 6-dimethylphenyl)-N-(Methoxyacetyl)alanin (CGA62826)</v>
      </c>
      <c r="T320"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21" spans="6:20" x14ac:dyDescent="0.2">
      <c r="F321" s="3" t="s">
        <v>124</v>
      </c>
      <c r="G321" s="4" t="str">
        <f>IF((IFERROR(SEARCH(K321,Rådata!$B$1000),-1)+IFERROR(SEARCH(L321,Rådata!$B$1000),-1)+IFERROR(SEARCH(M321,Rådata!$B$1000),-1)+IFERROR(SEARCH(N321,Rådata!$B$1000),-1)+IFERROR(SEARCH(O321,Rådata!$B$1000),-1))&gt;0,"-","NEJ")</f>
        <v>NEJ</v>
      </c>
      <c r="K321" s="2" t="str">
        <f>K124</f>
        <v>CGA 108906</v>
      </c>
      <c r="L321" s="2" t="str">
        <f t="shared" ref="L321:M321" si="226">L124</f>
        <v>CGA108906</v>
      </c>
      <c r="M321" s="2" t="str">
        <f t="shared" si="226"/>
        <v>Her kan et synonym indsættes</v>
      </c>
      <c r="N321" s="2" t="str">
        <f t="shared" ref="N321:O321" si="227">N124</f>
        <v>Her kan et synonym indsættes</v>
      </c>
      <c r="O321" s="2" t="str">
        <f t="shared" si="227"/>
        <v>Her kan et synonym indsættes</v>
      </c>
      <c r="S321" s="2" t="str">
        <f t="shared" si="153"/>
        <v>N-(2-carboxy-6-methylphenyl) N-methoxyacetyl)alanin (CGA108906)</v>
      </c>
      <c r="T321"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22" spans="6:20" x14ac:dyDescent="0.2">
      <c r="F322" s="3" t="s">
        <v>125</v>
      </c>
      <c r="G322" s="4" t="str">
        <f>IF((IFERROR(SEARCH(K322,Rådata!$B$1000),-1)+IFERROR(SEARCH(L322,Rådata!$B$1000),-1)+IFERROR(SEARCH(M322,Rådata!$B$1000),-1)+IFERROR(SEARCH(N322,Rådata!$B$1000),-1)+IFERROR(SEARCH(O322,Rådata!$B$1000),-1))&gt;0,"-","NEJ")</f>
        <v>NEJ</v>
      </c>
      <c r="K322" s="2" t="str">
        <f>K125</f>
        <v>Desethyl-desisopropyl-atrazin</v>
      </c>
      <c r="L322" s="2" t="str">
        <f t="shared" ref="L322:M322" si="228">L125</f>
        <v>Desethyldesisopropyl-atrazin</v>
      </c>
      <c r="M322" s="2" t="str">
        <f t="shared" si="228"/>
        <v>DEIA</v>
      </c>
      <c r="N322" s="2" t="str">
        <f t="shared" ref="N322:O322" si="229">N125</f>
        <v>Atrazin, desethyl-desisopropyl-</v>
      </c>
      <c r="O322" s="2" t="str">
        <f t="shared" si="229"/>
        <v>Desethyldesisopropylatrazin</v>
      </c>
      <c r="S322" s="2" t="str">
        <f t="shared" si="153"/>
        <v>DEIA (Desethyldesisopropyl-atrazin)</v>
      </c>
      <c r="T322"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323" spans="6:20" x14ac:dyDescent="0.2">
      <c r="F323" s="3" t="s">
        <v>25</v>
      </c>
      <c r="G323" s="4" t="str">
        <f>IF((IFERROR(SEARCH(K323,Rådata!$B$1000),-1)+IFERROR(SEARCH(L323,Rådata!$B$1000),-1)+IFERROR(SEARCH(M323,Rådata!$B$1000),-1)+IFERROR(SEARCH(N323,Rådata!$B$1000),-1)+IFERROR(SEARCH(O323,Rådata!$B$1000),-1))&gt;0,"-","NEJ")</f>
        <v>NEJ</v>
      </c>
      <c r="K323" s="2" t="str">
        <f>K126</f>
        <v>Desethyl-hydroxy-atrazin</v>
      </c>
      <c r="L323" s="2" t="str">
        <f t="shared" ref="L323:M323" si="230">L126</f>
        <v>Desethylhydroxy-atrazin</v>
      </c>
      <c r="M323" s="2" t="str">
        <f t="shared" si="230"/>
        <v>Desethylhydroxyatrazin</v>
      </c>
      <c r="N323" s="2" t="str">
        <f t="shared" ref="N323:O323" si="231">N126</f>
        <v>Her kan et synonym indsættes</v>
      </c>
      <c r="O323" s="2" t="str">
        <f t="shared" si="231"/>
        <v>Her kan et synonym indsættes</v>
      </c>
      <c r="S323" s="2" t="str">
        <f t="shared" si="153"/>
        <v>Desethyl-hydroxy-atrazin</v>
      </c>
      <c r="T323"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324" spans="6:20" x14ac:dyDescent="0.2">
      <c r="F324" s="3" t="s">
        <v>23</v>
      </c>
      <c r="G324" s="4" t="str">
        <f>IF((IFERROR(SEARCH(K324,Rådata!$B$1000),-1)+IFERROR(SEARCH(L324,Rådata!$B$1000),-1)+IFERROR(SEARCH(M324,Rådata!$B$1000),-1)+IFERROR(SEARCH(N324,Rådata!$B$1000),-1)+IFERROR(SEARCH(O324,Rådata!$B$1000),-1))&gt;0,"-","NEJ")</f>
        <v>NEJ</v>
      </c>
      <c r="K324" s="2" t="str">
        <f>K127</f>
        <v>Desethyl-atrazin</v>
      </c>
      <c r="L324" s="2" t="str">
        <f t="shared" ref="L324:M324" si="232">L127</f>
        <v>Desethylatrazin</v>
      </c>
      <c r="M324" s="2" t="str">
        <f t="shared" si="232"/>
        <v>Atrazin, desethyl-</v>
      </c>
      <c r="N324" s="2" t="str">
        <f t="shared" ref="N324:O324" si="233">N127</f>
        <v>Her kan et synonym indsættes</v>
      </c>
      <c r="O324" s="2" t="str">
        <f t="shared" si="233"/>
        <v>Her kan et synonym indsættes</v>
      </c>
      <c r="S324" s="2" t="str">
        <f t="shared" si="153"/>
        <v>Desethyl-atrazin</v>
      </c>
      <c r="T324"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325" spans="6:20" x14ac:dyDescent="0.2">
      <c r="F325" s="3" t="s">
        <v>26</v>
      </c>
      <c r="G325" s="4" t="str">
        <f>IF((IFERROR(SEARCH(K325,Rådata!$B$1000),-1)+IFERROR(SEARCH(L325,Rådata!$B$1000),-1)+IFERROR(SEARCH(M325,Rådata!$B$1000),-1)+IFERROR(SEARCH(N325,Rådata!$B$1000),-1)+IFERROR(SEARCH(O325,Rådata!$B$1000),-1))&gt;0,"-","NEJ")</f>
        <v>NEJ</v>
      </c>
      <c r="K325" s="2" t="str">
        <f>K128</f>
        <v>Desethyl-terbutylazin</v>
      </c>
      <c r="L325" s="2" t="str">
        <f t="shared" ref="L325:M325" si="234">L128</f>
        <v>Desethylterbutylazin</v>
      </c>
      <c r="M325" s="2" t="str">
        <f t="shared" si="234"/>
        <v>Terbut.azin,desethyl</v>
      </c>
      <c r="N325" s="2" t="str">
        <f t="shared" ref="N325:O325" si="235">N128</f>
        <v>Her kan et synonym indsættes</v>
      </c>
      <c r="O325" s="2" t="str">
        <f t="shared" si="235"/>
        <v>Her kan et synonym indsættes</v>
      </c>
      <c r="S325" s="2" t="str">
        <f t="shared" si="153"/>
        <v>Desethyl-terbutylazin</v>
      </c>
      <c r="T325"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326" spans="6:20" x14ac:dyDescent="0.2">
      <c r="F326" s="3" t="s">
        <v>27</v>
      </c>
      <c r="G326" s="4" t="str">
        <f>IF((IFERROR(SEARCH(K326,Rådata!$B$1000),-1)+IFERROR(SEARCH(L326,Rådata!$B$1000),-1)+IFERROR(SEARCH(M326,Rådata!$B$1000),-1)+IFERROR(SEARCH(N326,Rådata!$B$1000),-1)+IFERROR(SEARCH(O326,Rådata!$B$1000),-1))&gt;0,"-","NEJ")</f>
        <v>NEJ</v>
      </c>
      <c r="K326" s="2" t="str">
        <f>K129</f>
        <v>Desisopropyl-atrazin</v>
      </c>
      <c r="L326" s="2" t="str">
        <f t="shared" ref="L326:M326" si="236">L129</f>
        <v>Desisopropylatrazin</v>
      </c>
      <c r="M326" s="2" t="str">
        <f t="shared" si="236"/>
        <v>atrazin, Desisopropy</v>
      </c>
      <c r="N326" s="2" t="str">
        <f t="shared" ref="N326:O326" si="237">N129</f>
        <v>Her kan et synonym indsættes</v>
      </c>
      <c r="O326" s="2" t="str">
        <f t="shared" si="237"/>
        <v>Her kan et synonym indsættes</v>
      </c>
      <c r="S326" s="2" t="str">
        <f t="shared" si="153"/>
        <v>Desisopropyl-atrazin</v>
      </c>
      <c r="T326"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327" spans="6:20" x14ac:dyDescent="0.2">
      <c r="F327" s="3" t="s">
        <v>192</v>
      </c>
      <c r="G327" s="4" t="str">
        <f>IF((IFERROR(SEARCH(K327,Rådata!$B$1000),-1)+IFERROR(SEARCH(L327,Rådata!$B$1000),-1)+IFERROR(SEARCH(M327,Rådata!$B$1000),-1)+IFERROR(SEARCH(N327,Rådata!$B$1000),-1)+IFERROR(SEARCH(O327,Rådata!$B$1000),-1))&gt;0,"-","NEJ")</f>
        <v>NEJ</v>
      </c>
      <c r="K327" s="2" t="str">
        <f>K130</f>
        <v>Deisopropyl-hydroxy-atrazin</v>
      </c>
      <c r="L327" s="2" t="str">
        <f t="shared" ref="L327:M327" si="238">L130</f>
        <v>Desisopropylhydroxy-atrazin</v>
      </c>
      <c r="M327" s="2" t="str">
        <f t="shared" si="238"/>
        <v>Desisopropyl-hydroxyatrazin</v>
      </c>
      <c r="N327" s="2" t="str">
        <f t="shared" ref="N327:O327" si="239">N130</f>
        <v>Deisopropyl-hydroxyatrazin</v>
      </c>
      <c r="O327" s="2" t="str">
        <f t="shared" si="239"/>
        <v>Desisopropylhydroxyatrazin</v>
      </c>
      <c r="S327" s="2" t="str">
        <f t="shared" si="153"/>
        <v>Desisopropyl-hydroxy-atrazin</v>
      </c>
      <c r="T327"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v>
      </c>
    </row>
    <row r="328" spans="6:20" x14ac:dyDescent="0.2">
      <c r="F328" s="3" t="s">
        <v>195</v>
      </c>
      <c r="G328" s="4" t="str">
        <f>IF((IFERROR(SEARCH(K328,Rådata!$B$1000),-1)+IFERROR(SEARCH(L328,Rådata!$B$1000),-1)+IFERROR(SEARCH(M328,Rådata!$B$1000),-1)+IFERROR(SEARCH(N328,Rådata!$B$1000),-1)+IFERROR(SEARCH(O328,Rådata!$B$1000),-1))&gt;0,"-","NEJ")</f>
        <v>NEJ</v>
      </c>
      <c r="K328" s="2" t="str">
        <f>K131</f>
        <v>chloridazon, Desphenyl-</v>
      </c>
      <c r="L328" s="2" t="str">
        <f t="shared" ref="L328:M328" si="240">L131</f>
        <v>Desphenylchloridazon</v>
      </c>
      <c r="M328" s="2" t="str">
        <f t="shared" si="240"/>
        <v>Desphenyl-Chloridazon</v>
      </c>
      <c r="N328" s="2" t="str">
        <f t="shared" ref="N328:O328" si="241">N131</f>
        <v>Chloridazon-desphenyl</v>
      </c>
      <c r="O328" s="2" t="str">
        <f t="shared" si="241"/>
        <v>Her kan et synonym indsættes</v>
      </c>
      <c r="S328" s="2" t="str">
        <f t="shared" si="153"/>
        <v>Desphenyl-Chloridazon</v>
      </c>
      <c r="T328" t="str">
        <f t="shared" si="150"/>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v>
      </c>
    </row>
    <row r="329" spans="6:20" x14ac:dyDescent="0.2">
      <c r="F329" s="3" t="s">
        <v>29</v>
      </c>
      <c r="G329" s="4" t="str">
        <f>IF((IFERROR(SEARCH(K329,Rådata!$B$1000),-1)+IFERROR(SEARCH(L329,Rådata!$B$1000),-1)+IFERROR(SEARCH(M329,Rådata!$B$1000),-1)+IFERROR(SEARCH(N329,Rådata!$B$1000),-1)+IFERROR(SEARCH(O329,Rådata!$B$1000),-1))&gt;0,"-","NEJ")</f>
        <v>NEJ</v>
      </c>
      <c r="K329" s="2" t="str">
        <f>K132</f>
        <v>Didealkyl-hydroxy-atrazin</v>
      </c>
      <c r="L329" s="2" t="str">
        <f t="shared" ref="L329:M329" si="242">L132</f>
        <v>Didealkylhydroxy-atrazin</v>
      </c>
      <c r="M329" s="2" t="str">
        <f t="shared" si="242"/>
        <v>Desethyldesisopropylhydroxyatrazin</v>
      </c>
      <c r="N329" s="2" t="str">
        <f t="shared" ref="N329:O329" si="243">N132</f>
        <v>Her kan et synonym indsættes</v>
      </c>
      <c r="O329" s="2" t="str">
        <f t="shared" si="243"/>
        <v>Her kan et synonym indsættes</v>
      </c>
      <c r="S329" s="2" t="str">
        <f t="shared" si="153"/>
        <v>Didealkyl-hydroxy-atrazin</v>
      </c>
      <c r="T329" t="str">
        <f t="shared" ref="T329:T336" si="244">IF(S329="",T328,T328&amp;", "&amp;S329)</f>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v>
      </c>
    </row>
    <row r="330" spans="6:20" x14ac:dyDescent="0.2">
      <c r="F330" s="3" t="s">
        <v>33</v>
      </c>
      <c r="G330" s="4" t="str">
        <f>IF((IFERROR(SEARCH(K330,Rådata!$B$1000),-1)+IFERROR(SEARCH(L330,Rådata!$B$1000),-1)+IFERROR(SEARCH(M330,Rådata!$B$1000),-1)+IFERROR(SEARCH(N330,Rådata!$B$1000),-1)+IFERROR(SEARCH(O330,Rådata!$B$1000),-1))&gt;0,"-","NEJ")</f>
        <v>NEJ</v>
      </c>
      <c r="K330" s="2" t="str">
        <f>K133</f>
        <v>Hydroxyatrazin</v>
      </c>
      <c r="L330" s="2" t="str">
        <f t="shared" ref="L330:M330" si="245">L133</f>
        <v>Her kan et synonym indsættes</v>
      </c>
      <c r="M330" s="2" t="str">
        <f t="shared" si="245"/>
        <v>Her kan et synonym indsættes</v>
      </c>
      <c r="N330" s="2" t="str">
        <f t="shared" ref="N330:O330" si="246">N133</f>
        <v>Her kan et synonym indsættes</v>
      </c>
      <c r="O330" s="2" t="str">
        <f t="shared" si="246"/>
        <v>Her kan et synonym indsættes</v>
      </c>
      <c r="S330" s="2" t="str">
        <f t="shared" ref="S330:S336" si="247">IF(G330="NEJ",F330,"")</f>
        <v>Hydroxyatrazin</v>
      </c>
      <c r="T330"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v>
      </c>
    </row>
    <row r="331" spans="6:20" x14ac:dyDescent="0.2">
      <c r="F331" s="3" t="s">
        <v>34</v>
      </c>
      <c r="G331" s="4" t="str">
        <f>IF((IFERROR(SEARCH(K331,Rådata!$B$1000),-1)+IFERROR(SEARCH(L331,Rådata!$B$1000),-1)+IFERROR(SEARCH(M331,Rådata!$B$1000),-1)+IFERROR(SEARCH(N331,Rådata!$B$1000),-1)+IFERROR(SEARCH(O331,Rådata!$B$1000),-1))&gt;0,"-","NEJ")</f>
        <v>NEJ</v>
      </c>
      <c r="K331" s="2" t="str">
        <f>K134</f>
        <v>Hydroxysimazin</v>
      </c>
      <c r="L331" s="2" t="str">
        <f t="shared" ref="L331:M331" si="248">L134</f>
        <v>simazin, Hydroxy</v>
      </c>
      <c r="M331" s="2" t="str">
        <f t="shared" si="248"/>
        <v>Her kan et synonym indsættes</v>
      </c>
      <c r="N331" s="2" t="str">
        <f t="shared" ref="N331:O331" si="249">N134</f>
        <v>Her kan et synonym indsættes</v>
      </c>
      <c r="O331" s="2" t="str">
        <f t="shared" si="249"/>
        <v>Her kan et synonym indsættes</v>
      </c>
      <c r="S331" s="2" t="str">
        <f t="shared" si="247"/>
        <v>Hydroxysimazin</v>
      </c>
      <c r="T331"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v>
      </c>
    </row>
    <row r="332" spans="6:20" x14ac:dyDescent="0.2">
      <c r="F332" s="3" t="s">
        <v>127</v>
      </c>
      <c r="G332" s="4" t="str">
        <f>IF((IFERROR(SEARCH(K332,Rådata!$B$1000),-1)+IFERROR(SEARCH(L332,Rådata!$B$1000),-1)+IFERROR(SEARCH(M332,Rådata!$B$1000),-1)+IFERROR(SEARCH(N332,Rådata!$B$1000),-1)+IFERROR(SEARCH(O332,Rådata!$B$1000),-1))&gt;0,"-","NEJ")</f>
        <v>NEJ</v>
      </c>
      <c r="K332" s="2" t="str">
        <f>K135</f>
        <v>chloridazon, Methyl-desphenyl-</v>
      </c>
      <c r="L332" s="2" t="str">
        <f t="shared" ref="L332:M332" si="250">L135</f>
        <v>Methyl-desphenyl-chloridazon</v>
      </c>
      <c r="M332" s="2" t="str">
        <f t="shared" si="250"/>
        <v>Methyl-desphenyl chloridazon</v>
      </c>
      <c r="N332" s="2" t="str">
        <f t="shared" ref="N332:O332" si="251">N135</f>
        <v>Chloridazon-methyl-desphenyl</v>
      </c>
      <c r="O332" s="2" t="str">
        <f t="shared" si="251"/>
        <v>Her kan et synonym indsættes</v>
      </c>
      <c r="S332" s="2" t="str">
        <f t="shared" si="247"/>
        <v>Methyl-desphenyl-chloridazon</v>
      </c>
      <c r="T332"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v>
      </c>
    </row>
    <row r="333" spans="6:20" x14ac:dyDescent="0.2">
      <c r="F333" s="3" t="s">
        <v>38</v>
      </c>
      <c r="G333" s="4" t="str">
        <f>IF((IFERROR(SEARCH(K333,Rådata!$B$1000),-1)+IFERROR(SEARCH(L333,Rådata!$B$1000),-1)+IFERROR(SEARCH(M333,Rådata!$B$1000),-1)+IFERROR(SEARCH(N333,Rådata!$B$1000),-1)+IFERROR(SEARCH(O333,Rådata!$B$1000),-1))&gt;0,"-","NEJ")</f>
        <v>NEJ</v>
      </c>
      <c r="K333" s="2" t="str">
        <f>K136</f>
        <v>Metribuzin-desamino-diketo</v>
      </c>
      <c r="L333" s="2" t="str">
        <f t="shared" ref="L333:M333" si="252">L136</f>
        <v>Metribuzin-DADK</v>
      </c>
      <c r="M333" s="2" t="str">
        <f t="shared" si="252"/>
        <v>Metribuz-desam-diket</v>
      </c>
      <c r="N333" s="2" t="str">
        <f t="shared" ref="N333:O333" si="253">N136</f>
        <v>desaminodiketoMetribuzin</v>
      </c>
      <c r="O333" s="2" t="str">
        <f t="shared" si="253"/>
        <v>Her kan et synonym indsættes</v>
      </c>
      <c r="S333" s="2" t="str">
        <f t="shared" si="247"/>
        <v>Metribuzin-desamino-diketo</v>
      </c>
      <c r="T333"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34" spans="6:20" x14ac:dyDescent="0.2">
      <c r="F334" s="3" t="s">
        <v>39</v>
      </c>
      <c r="G334" s="4" t="str">
        <f>IF((IFERROR(SEARCH(K334,Rådata!$B$1000),-1)+IFERROR(SEARCH(L334,Rådata!$B$1000),-1)+IFERROR(SEARCH(M334,Rådata!$B$1000),-1)+IFERROR(SEARCH(N334,Rådata!$B$1000),-1)+IFERROR(SEARCH(O334,Rådata!$B$1000),-1))&gt;0,"-","NEJ")</f>
        <v>NEJ</v>
      </c>
      <c r="K334" s="2" t="str">
        <f>K137</f>
        <v>Metribuzin-diketo</v>
      </c>
      <c r="L334" s="2" t="str">
        <f t="shared" ref="L334:M334" si="254">L137</f>
        <v>Metribuzin-deketo</v>
      </c>
      <c r="M334" s="2" t="str">
        <f t="shared" si="254"/>
        <v>diketoMetribuzin</v>
      </c>
      <c r="N334" s="2" t="str">
        <f t="shared" ref="N334:O334" si="255">N137</f>
        <v>Her kan et synonym indsættes</v>
      </c>
      <c r="O334" s="2" t="str">
        <f t="shared" si="255"/>
        <v>Her kan et synonym indsættes</v>
      </c>
      <c r="S334" s="2" t="str">
        <f t="shared" si="247"/>
        <v>Metribuzin-diketo</v>
      </c>
      <c r="T334"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35" spans="6:20" x14ac:dyDescent="0.2">
      <c r="F335" s="3" t="s">
        <v>37</v>
      </c>
      <c r="G335" s="4" t="str">
        <f>IF((IFERROR(SEARCH(K335,Rådata!$B$1000),-1)+IFERROR(SEARCH(L335,Rådata!$B$1000),-1)+IFERROR(SEARCH(M335,Rådata!$B$1000),-1)+IFERROR(SEARCH(N335,Rådata!$B$1000),-1)+IFERROR(SEARCH(O335,Rådata!$B$1000),-1))&gt;0,"-","NEJ")</f>
        <v>NEJ</v>
      </c>
      <c r="K335" s="2" t="str">
        <f>K138</f>
        <v>Metribuzin-desamino</v>
      </c>
      <c r="L335" s="2" t="str">
        <f t="shared" ref="L335:M335" si="256">L138</f>
        <v>Metribuzindesamino</v>
      </c>
      <c r="M335" s="2" t="str">
        <f t="shared" si="256"/>
        <v>Her kan et synonym indsættes</v>
      </c>
      <c r="N335" s="2" t="str">
        <f t="shared" ref="N335:O335" si="257">N138</f>
        <v>Her kan et synonym indsættes</v>
      </c>
      <c r="O335" s="2" t="str">
        <f t="shared" si="257"/>
        <v>Her kan et synonym indsættes</v>
      </c>
      <c r="S335" s="2" t="str">
        <f t="shared" si="247"/>
        <v>Metribuzin-desamino</v>
      </c>
      <c r="T335"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36" spans="6:20" x14ac:dyDescent="0.2">
      <c r="F336" s="3" t="s">
        <v>128</v>
      </c>
      <c r="G336" s="4" t="str">
        <f>IF((IFERROR(SEARCH(K336,Rådata!$B$1000),-1)+IFERROR(SEARCH(L336,Rådata!$B$1000),-1)+IFERROR(SEARCH(M336,Rådata!$B$1000),-1)+IFERROR(SEARCH(N336,Rådata!$B$1000),-1)+IFERROR(SEARCH(O336,Rådata!$B$1000),-1))&gt;0,"-","NEJ")</f>
        <v>NEJ</v>
      </c>
      <c r="K336" s="2" t="str">
        <f>K139</f>
        <v>Sum af pesticider</v>
      </c>
      <c r="L336" s="2" t="str">
        <f t="shared" ref="L336:M336" si="258">L139</f>
        <v>total pesticid</v>
      </c>
      <c r="M336" s="2" t="str">
        <f t="shared" si="258"/>
        <v>pesticid total</v>
      </c>
      <c r="N336" s="2" t="str">
        <f t="shared" ref="N336:O336" si="259">N139</f>
        <v>Sum af analyserede pesticider</v>
      </c>
      <c r="O336" s="2" t="str">
        <f t="shared" si="259"/>
        <v>Her kan et synonym indsættes</v>
      </c>
      <c r="S336" s="2" t="str">
        <f t="shared" si="247"/>
        <v>Sum af pesticider</v>
      </c>
      <c r="T336" t="str">
        <f t="shared" si="244"/>
        <v>Temperatur, pH, Ledningsevne, NVOC, Calcium, Magnesium, Natrium, Kalium,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37" spans="5:19" x14ac:dyDescent="0.2">
      <c r="E337" s="45" t="s">
        <v>153</v>
      </c>
      <c r="F337" s="45"/>
      <c r="G337" s="18"/>
      <c r="H337" s="18" t="str">
        <f>IF(IFERROR(SEARCH("NEJ"," "&amp;G338),1)=1,"OK","NEJ")</f>
        <v>NEJ</v>
      </c>
      <c r="K337" s="2"/>
      <c r="L337" s="2"/>
      <c r="M337" s="2"/>
      <c r="N337" s="2"/>
      <c r="O337" s="2"/>
    </row>
    <row r="338" spans="5:19" x14ac:dyDescent="0.2">
      <c r="F338" s="10" t="s">
        <v>10</v>
      </c>
      <c r="G338" s="4" t="str">
        <f>IF((IFERROR(SEARCH(K338,Rådata!$B$1000),-1)+IFERROR(SEARCH(L338,Rådata!$B$1000),-1)+IFERROR(SEARCH(M338,Rådata!$B$1000),-1)+IFERROR(SEARCH(N338,Rådata!$B$1000),-1)+IFERROR(SEARCH(O338,Rådata!$B$1000),-1))&gt;0,"-","NEJ")</f>
        <v>NEJ</v>
      </c>
      <c r="K338" s="2" t="str">
        <f>K71</f>
        <v>Benzen</v>
      </c>
      <c r="L338" s="2" t="str">
        <f t="shared" ref="L338:M338" si="260">L71</f>
        <v>Her kan et synonym indsættes</v>
      </c>
      <c r="M338" s="2" t="str">
        <f t="shared" si="260"/>
        <v>Her kan et synonym indsættes</v>
      </c>
      <c r="N338" s="2" t="str">
        <f t="shared" ref="N338:O338" si="261">N71</f>
        <v>Her kan et synonym indsættes</v>
      </c>
      <c r="O338" s="2" t="str">
        <f t="shared" si="261"/>
        <v>Her kan et synonym indsættes</v>
      </c>
      <c r="S338" s="33"/>
    </row>
    <row r="339" spans="5:19" x14ac:dyDescent="0.2">
      <c r="E339" s="45" t="s">
        <v>170</v>
      </c>
      <c r="F339" s="45"/>
      <c r="G339" s="18"/>
      <c r="H339" s="18" t="str">
        <f>IF(IFERROR(SEARCH("NEJ",CONCATENATE(" ",G340,G341,G342)),1)=1,"OK","NEJ")</f>
        <v>NEJ</v>
      </c>
      <c r="K339" s="2"/>
      <c r="L339" s="2"/>
      <c r="M339" s="2"/>
      <c r="N339" s="2"/>
      <c r="O339" s="2"/>
    </row>
    <row r="340" spans="5:19" x14ac:dyDescent="0.2">
      <c r="F340" s="9" t="s">
        <v>171</v>
      </c>
      <c r="G340" s="4" t="str">
        <f>IF((IFERROR(SEARCH(K340,Rådata!$B$1000),-1)+IFERROR(SEARCH(L340,Rådata!$B$1000),-1)+IFERROR(SEARCH(M340,Rådata!$B$1000),-1)+IFERROR(SEARCH(N340,Rådata!$B$1000),-1)+IFERROR(SEARCH(O340,Rådata!$B$1000),-1))&gt;0,"-","NEJ")</f>
        <v>NEJ</v>
      </c>
      <c r="K340" s="29" t="str">
        <f>F340</f>
        <v>MTBE (methyl-tert-butylether)</v>
      </c>
      <c r="L340" s="29" t="s">
        <v>228</v>
      </c>
      <c r="M340" s="29" t="s">
        <v>179</v>
      </c>
      <c r="N340" s="29" t="s">
        <v>179</v>
      </c>
      <c r="O340" s="29" t="s">
        <v>179</v>
      </c>
      <c r="S340" s="33"/>
    </row>
    <row r="341" spans="5:19" x14ac:dyDescent="0.2">
      <c r="F341" s="3" t="s">
        <v>172</v>
      </c>
      <c r="G341" s="4" t="str">
        <f>IF((IFERROR(SEARCH(K341,Rådata!$B$1000),-1)+IFERROR(SEARCH(L341,Rådata!$B$1000),-1)+IFERROR(SEARCH(M341,Rådata!$B$1000),-1)+IFERROR(SEARCH(N341,Rådata!$B$1000),-1)+IFERROR(SEARCH(O341,Rådata!$B$1000),-1))&gt;0,"-","NEJ")</f>
        <v>NEJ</v>
      </c>
      <c r="K341" s="29" t="str">
        <f>F341</f>
        <v>TBA (tert-butylalkohol)</v>
      </c>
      <c r="L341" s="29" t="s">
        <v>229</v>
      </c>
      <c r="M341" s="29" t="s">
        <v>179</v>
      </c>
      <c r="N341" s="29" t="s">
        <v>179</v>
      </c>
      <c r="O341" s="29" t="s">
        <v>179</v>
      </c>
      <c r="S341" s="33"/>
    </row>
    <row r="342" spans="5:19" x14ac:dyDescent="0.2">
      <c r="F342" s="3" t="s">
        <v>173</v>
      </c>
      <c r="G342" s="4" t="str">
        <f>IF((IFERROR(SEARCH(K342,Rådata!$B$1000),-1)+IFERROR(SEARCH(L342,Rådata!$B$1000),-1)+IFERROR(SEARCH(M342,Rådata!$B$1000),-1)+IFERROR(SEARCH(N342,Rådata!$B$1000),-1)+IFERROR(SEARCH(O342,Rådata!$B$1000),-1))&gt;0,"-","NEJ")</f>
        <v>NEJ</v>
      </c>
      <c r="K342" s="29" t="str">
        <f>F342</f>
        <v>TBF (tert-butylformat)</v>
      </c>
      <c r="L342" s="29" t="s">
        <v>230</v>
      </c>
      <c r="M342" s="29" t="s">
        <v>179</v>
      </c>
      <c r="N342" s="29" t="s">
        <v>179</v>
      </c>
      <c r="O342" s="29" t="s">
        <v>179</v>
      </c>
      <c r="S342" s="33"/>
    </row>
    <row r="343" spans="5:19" x14ac:dyDescent="0.2">
      <c r="E343" s="45" t="s">
        <v>152</v>
      </c>
      <c r="F343" s="45"/>
      <c r="G343" s="18"/>
      <c r="H343" s="18" t="str">
        <f>IF(IFERROR(SEARCH("NEJ",CONCATENATE(" ",G344,G345,G346)),1)=1,"OK","NEJ")</f>
        <v>NEJ</v>
      </c>
      <c r="K343" s="2"/>
      <c r="L343" s="2"/>
      <c r="M343" s="2"/>
      <c r="N343" s="2"/>
      <c r="O343" s="2"/>
    </row>
    <row r="344" spans="5:19" x14ac:dyDescent="0.2">
      <c r="F344" s="9" t="s">
        <v>8</v>
      </c>
      <c r="G344" s="4" t="str">
        <f>IF((IFERROR(SEARCH(K344,Rådata!$B$1000),-1)+IFERROR(SEARCH(L344,Rådata!$B$1000),-1)+IFERROR(SEARCH(M344,Rådata!$B$1000),-1)+IFERROR(SEARCH(N344,Rådata!$B$1000),-1)+IFERROR(SEARCH(O344,Rådata!$B$1000),-1))&gt;0,"-","NEJ")</f>
        <v>NEJ</v>
      </c>
      <c r="K344" s="2" t="str">
        <f>K52</f>
        <v>Acrylamid</v>
      </c>
      <c r="L344" s="2" t="str">
        <f t="shared" ref="L344:M344" si="262">L52</f>
        <v>Her kan et synonym indsættes</v>
      </c>
      <c r="M344" s="2" t="str">
        <f t="shared" si="262"/>
        <v>Her kan et synonym indsættes</v>
      </c>
      <c r="N344" s="2" t="str">
        <f t="shared" ref="N344:O344" si="263">N52</f>
        <v>Her kan et synonym indsættes</v>
      </c>
      <c r="O344" s="2" t="str">
        <f t="shared" si="263"/>
        <v>Her kan et synonym indsættes</v>
      </c>
      <c r="S344" s="33"/>
    </row>
    <row r="345" spans="5:19" x14ac:dyDescent="0.2">
      <c r="F345" s="3" t="s">
        <v>9</v>
      </c>
      <c r="G345" s="4" t="str">
        <f>IF((IFERROR(SEARCH(K345,Rådata!$B$1000),-1)+IFERROR(SEARCH(L345,Rådata!$B$1000),-1)+IFERROR(SEARCH(M345,Rådata!$B$1000),-1)+IFERROR(SEARCH(N345,Rådata!$B$1000),-1)+IFERROR(SEARCH(O345,Rådata!$B$1000),-1))&gt;0,"-","NEJ")</f>
        <v>NEJ</v>
      </c>
      <c r="K345" s="2" t="str">
        <f t="shared" ref="K345:M346" si="264">K53</f>
        <v>Epichlorhydrin</v>
      </c>
      <c r="L345" s="2" t="str">
        <f t="shared" si="264"/>
        <v>Her kan et synonym indsættes</v>
      </c>
      <c r="M345" s="2" t="str">
        <f t="shared" si="264"/>
        <v>Her kan et synonym indsættes</v>
      </c>
      <c r="N345" s="2" t="str">
        <f t="shared" ref="N345:O345" si="265">N53</f>
        <v>Her kan et synonym indsættes</v>
      </c>
      <c r="O345" s="2" t="str">
        <f t="shared" si="265"/>
        <v>Her kan et synonym indsættes</v>
      </c>
      <c r="S345" s="33"/>
    </row>
    <row r="346" spans="5:19" x14ac:dyDescent="0.2">
      <c r="F346" s="10" t="s">
        <v>41</v>
      </c>
      <c r="G346" s="4" t="str">
        <f>IF((IFERROR(SEARCH(K346,Rådata!$B$1000),-1)+IFERROR(SEARCH(L346,Rådata!$B$1000),-1)+IFERROR(SEARCH(M346,Rådata!$B$1000),-1)+IFERROR(SEARCH(N346,Rådata!$B$1000),-1)+IFERROR(SEARCH(O346,Rådata!$B$1000),-1))&gt;0,"-","NEJ")</f>
        <v>NEJ</v>
      </c>
      <c r="K346" s="2" t="str">
        <f t="shared" si="264"/>
        <v>Vinylchlorid</v>
      </c>
      <c r="L346" s="2" t="str">
        <f t="shared" si="264"/>
        <v>Her kan et synonym indsættes</v>
      </c>
      <c r="M346" s="2" t="str">
        <f t="shared" si="264"/>
        <v>Her kan et synonym indsættes</v>
      </c>
      <c r="N346" s="2" t="str">
        <f t="shared" ref="N346:O346" si="266">N54</f>
        <v>Her kan et synonym indsættes</v>
      </c>
      <c r="O346" s="2" t="str">
        <f t="shared" si="266"/>
        <v>Her kan et synonym indsættes</v>
      </c>
      <c r="S346" s="33"/>
    </row>
    <row r="347" spans="5:19" x14ac:dyDescent="0.2">
      <c r="E347" s="45" t="s">
        <v>182</v>
      </c>
      <c r="F347" s="45"/>
      <c r="G347" s="18"/>
      <c r="H347" s="18" t="str">
        <f>IF(IFERROR(SEARCH("NEJ",CONCATENATE(" ",G348,G349,G350,G351,G352,G353,G354,G355,G356,G357,G358,G359)),1)=1,"OK","NEJ")</f>
        <v>NEJ</v>
      </c>
      <c r="K347" s="2"/>
      <c r="L347" s="2"/>
      <c r="M347" s="2"/>
      <c r="N347" s="2"/>
      <c r="O347" s="2"/>
    </row>
    <row r="348" spans="5:19" x14ac:dyDescent="0.2">
      <c r="F348" s="9" t="s">
        <v>42</v>
      </c>
      <c r="G348" s="4" t="str">
        <f>IF((IFERROR(SEARCH(K348,Rådata!$B$1000),-1)+IFERROR(SEARCH(L348,Rådata!$B$1000),-1)+IFERROR(SEARCH(M348,Rådata!$B$1000),-1)+IFERROR(SEARCH(N348,Rådata!$B$1000),-1)+IFERROR(SEARCH(O348,Rådata!$B$1000),-1))&gt;0,"-","NEJ")</f>
        <v>NEJ</v>
      </c>
      <c r="K348" s="2" t="str">
        <f>K58</f>
        <v>Dichlormethan</v>
      </c>
      <c r="L348" s="2" t="str">
        <f t="shared" ref="L348:M348" si="267">L58</f>
        <v>Dichlormetan</v>
      </c>
      <c r="M348" s="2" t="str">
        <f t="shared" si="267"/>
        <v>Her kan et synonym indsættes</v>
      </c>
      <c r="N348" s="2" t="str">
        <f t="shared" ref="N348:O348" si="268">N58</f>
        <v>Her kan et synonym indsættes</v>
      </c>
      <c r="O348" s="2" t="str">
        <f t="shared" si="268"/>
        <v>Her kan et synonym indsættes</v>
      </c>
      <c r="S348" s="33"/>
    </row>
    <row r="349" spans="5:19" x14ac:dyDescent="0.2">
      <c r="F349" s="3" t="s">
        <v>92</v>
      </c>
      <c r="G349" s="4" t="str">
        <f>IF((IFERROR(SEARCH(K349,Rådata!$B$1000),-1)+IFERROR(SEARCH(L349,Rådata!$B$1000),-1)+IFERROR(SEARCH(M349,Rådata!$B$1000),-1)+IFERROR(SEARCH(N349,Rådata!$B$1000),-1)+IFERROR(SEARCH(O349,Rådata!$B$1000),-1))&gt;0,"-","NEJ")</f>
        <v>NEJ</v>
      </c>
      <c r="K349" s="2" t="str">
        <f t="shared" ref="K349:M359" si="269">K59</f>
        <v>Trichlormethan</v>
      </c>
      <c r="L349" s="2" t="str">
        <f t="shared" si="269"/>
        <v>Chloroform</v>
      </c>
      <c r="M349" s="2" t="str">
        <f t="shared" si="269"/>
        <v>Her kan et synonym indsættes</v>
      </c>
      <c r="N349" s="2" t="str">
        <f t="shared" ref="N349:O349" si="270">N59</f>
        <v>Her kan et synonym indsættes</v>
      </c>
      <c r="O349" s="2" t="str">
        <f t="shared" si="270"/>
        <v>Her kan et synonym indsættes</v>
      </c>
      <c r="S349" s="33"/>
    </row>
    <row r="350" spans="5:19" x14ac:dyDescent="0.2">
      <c r="F350" s="3" t="s">
        <v>44</v>
      </c>
      <c r="G350" s="4" t="str">
        <f>IF((IFERROR(SEARCH(K350,Rådata!$B$1000),-1)+IFERROR(SEARCH(L350,Rådata!$B$1000),-1)+IFERROR(SEARCH(M350,Rådata!$B$1000),-1)+IFERROR(SEARCH(N350,Rådata!$B$1000),-1)+IFERROR(SEARCH(O350,Rådata!$B$1000),-1))&gt;0,"-","NEJ")</f>
        <v>NEJ</v>
      </c>
      <c r="K350" s="2" t="str">
        <f t="shared" si="269"/>
        <v>1,2-dichlorethan</v>
      </c>
      <c r="L350" s="2" t="str">
        <f t="shared" si="269"/>
        <v>Her kan et synonym indsættes</v>
      </c>
      <c r="M350" s="2" t="str">
        <f t="shared" si="269"/>
        <v>Her kan et synonym indsættes</v>
      </c>
      <c r="N350" s="2" t="str">
        <f t="shared" ref="N350:O350" si="271">N60</f>
        <v>Her kan et synonym indsættes</v>
      </c>
      <c r="O350" s="2" t="str">
        <f t="shared" si="271"/>
        <v>Her kan et synonym indsættes</v>
      </c>
      <c r="S350" s="33"/>
    </row>
    <row r="351" spans="5:19" x14ac:dyDescent="0.2">
      <c r="F351" s="3" t="s">
        <v>47</v>
      </c>
      <c r="G351" s="4" t="str">
        <f>IF((IFERROR(SEARCH(K351,Rådata!$B$1000),-1)+IFERROR(SEARCH(L351,Rådata!$B$1000),-1)+IFERROR(SEARCH(M351,Rådata!$B$1000),-1)+IFERROR(SEARCH(N351,Rådata!$B$1000),-1)+IFERROR(SEARCH(O351,Rådata!$B$1000),-1))&gt;0,"-","NEJ")</f>
        <v>NEJ</v>
      </c>
      <c r="K351" s="2" t="str">
        <f t="shared" si="269"/>
        <v>Trichlorethen</v>
      </c>
      <c r="L351" s="2" t="str">
        <f t="shared" si="269"/>
        <v>Trichlorethylen</v>
      </c>
      <c r="M351" s="2" t="str">
        <f t="shared" si="269"/>
        <v>Her kan et synonym indsættes</v>
      </c>
      <c r="N351" s="2" t="str">
        <f t="shared" ref="N351:O351" si="272">N61</f>
        <v>Her kan et synonym indsættes</v>
      </c>
      <c r="O351" s="2" t="str">
        <f t="shared" si="272"/>
        <v>Her kan et synonym indsættes</v>
      </c>
      <c r="S351" s="33"/>
    </row>
    <row r="352" spans="5:19" x14ac:dyDescent="0.2">
      <c r="F352" s="3" t="s">
        <v>50</v>
      </c>
      <c r="G352" s="4" t="str">
        <f>IF((IFERROR(SEARCH(K352,Rådata!$B$1000),-1)+IFERROR(SEARCH(L352,Rådata!$B$1000),-1)+IFERROR(SEARCH(M352,Rådata!$B$1000),-1)+IFERROR(SEARCH(N352,Rådata!$B$1000),-1)+IFERROR(SEARCH(O352,Rådata!$B$1000),-1))&gt;0,"-","NEJ")</f>
        <v>NEJ</v>
      </c>
      <c r="K352" s="2" t="str">
        <f t="shared" si="269"/>
        <v>Tetrachlorethen</v>
      </c>
      <c r="L352" s="2" t="str">
        <f t="shared" si="269"/>
        <v>Tetrachlorethylen</v>
      </c>
      <c r="M352" s="2" t="str">
        <f t="shared" si="269"/>
        <v>Her kan et synonym indsættes</v>
      </c>
      <c r="N352" s="2" t="str">
        <f t="shared" ref="N352:O352" si="273">N62</f>
        <v>Her kan et synonym indsættes</v>
      </c>
      <c r="O352" s="2" t="str">
        <f t="shared" si="273"/>
        <v>Her kan et synonym indsættes</v>
      </c>
      <c r="S352" s="33"/>
    </row>
    <row r="353" spans="5:19" x14ac:dyDescent="0.2">
      <c r="F353" s="3" t="s">
        <v>43</v>
      </c>
      <c r="G353" s="4" t="str">
        <f>IF((IFERROR(SEARCH(K353,Rådata!$B$1000),-1)+IFERROR(SEARCH(L353,Rådata!$B$1000),-1)+IFERROR(SEARCH(M353,Rådata!$B$1000),-1)+IFERROR(SEARCH(N353,Rådata!$B$1000),-1)+IFERROR(SEARCH(O353,Rådata!$B$1000),-1))&gt;0,"-","NEJ")</f>
        <v>NEJ</v>
      </c>
      <c r="K353" s="2" t="str">
        <f t="shared" si="269"/>
        <v>1,1-dichlorethen</v>
      </c>
      <c r="L353" s="2" t="str">
        <f t="shared" si="269"/>
        <v>1,1-dichlorethylen</v>
      </c>
      <c r="M353" s="2" t="str">
        <f t="shared" si="269"/>
        <v>Her kan et synonym indsættes</v>
      </c>
      <c r="N353" s="2" t="str">
        <f t="shared" ref="N353:O353" si="274">N63</f>
        <v>Her kan et synonym indsættes</v>
      </c>
      <c r="O353" s="2" t="str">
        <f t="shared" si="274"/>
        <v>Her kan et synonym indsættes</v>
      </c>
      <c r="S353" s="33"/>
    </row>
    <row r="354" spans="5:19" x14ac:dyDescent="0.2">
      <c r="F354" s="3" t="s">
        <v>231</v>
      </c>
      <c r="G354" s="4" t="str">
        <f>IF((IFERROR(SEARCH(K354,Rådata!$B$1000),-1)+IFERROR(SEARCH(L354,Rådata!$B$1000),-1)+IFERROR(SEARCH(M354,Rådata!$B$1000),-1)+IFERROR(SEARCH(N354,Rådata!$B$1000),-1)+IFERROR(SEARCH(O354,Rådata!$B$1000),-1))&gt;0,"-","NEJ")</f>
        <v>NEJ</v>
      </c>
      <c r="K354" s="2" t="str">
        <f t="shared" si="269"/>
        <v>Cis-1,2-dichlorethen</v>
      </c>
      <c r="L354" s="2" t="str">
        <f t="shared" si="269"/>
        <v>cis-1,2-dichlorethylen</v>
      </c>
      <c r="M354" s="2" t="str">
        <f t="shared" si="269"/>
        <v>Cis-1,2-dichloreth</v>
      </c>
      <c r="N354" s="2" t="str">
        <f t="shared" ref="N354:O354" si="275">N64</f>
        <v>Her kan et synonym indsættes</v>
      </c>
      <c r="O354" s="2" t="str">
        <f t="shared" si="275"/>
        <v>Her kan et synonym indsættes</v>
      </c>
      <c r="S354" s="33"/>
    </row>
    <row r="355" spans="5:19" x14ac:dyDescent="0.2">
      <c r="F355" s="3" t="s">
        <v>93</v>
      </c>
      <c r="G355" s="4" t="str">
        <f>IF((IFERROR(SEARCH(K355,Rådata!$B$1000),-1)+IFERROR(SEARCH(L355,Rådata!$B$1000),-1)+IFERROR(SEARCH(M355,Rådata!$B$1000),-1)+IFERROR(SEARCH(N355,Rådata!$B$1000),-1)+IFERROR(SEARCH(O355,Rådata!$B$1000),-1))&gt;0,"-","NEJ")</f>
        <v>NEJ</v>
      </c>
      <c r="K355" s="2" t="str">
        <f t="shared" si="269"/>
        <v>Trans-1,2-dichlorethen</v>
      </c>
      <c r="L355" s="2" t="str">
        <f t="shared" si="269"/>
        <v>Trans-1,2-dichlorethylen</v>
      </c>
      <c r="M355" s="2" t="str">
        <f t="shared" si="269"/>
        <v>Trans-1,2-dichloreth</v>
      </c>
      <c r="N355" s="2" t="str">
        <f t="shared" ref="N355:O355" si="276">N65</f>
        <v>Her kan et synonym indsættes</v>
      </c>
      <c r="O355" s="2" t="str">
        <f t="shared" si="276"/>
        <v>Her kan et synonym indsættes</v>
      </c>
      <c r="S355" s="33"/>
    </row>
    <row r="356" spans="5:19" x14ac:dyDescent="0.2">
      <c r="F356" s="3" t="s">
        <v>45</v>
      </c>
      <c r="G356" s="4" t="str">
        <f>IF((IFERROR(SEARCH(K356,Rådata!$B$1000),-1)+IFERROR(SEARCH(L356,Rådata!$B$1000),-1)+IFERROR(SEARCH(M356,Rådata!$B$1000),-1)+IFERROR(SEARCH(N356,Rådata!$B$1000),-1)+IFERROR(SEARCH(O356,Rådata!$B$1000),-1))&gt;0,"-","NEJ")</f>
        <v>NEJ</v>
      </c>
      <c r="K356" s="2" t="str">
        <f t="shared" si="269"/>
        <v>1,1,1-trichlorethan</v>
      </c>
      <c r="L356" s="2" t="str">
        <f t="shared" si="269"/>
        <v>Her kan et synonym indsættes</v>
      </c>
      <c r="M356" s="2" t="str">
        <f t="shared" si="269"/>
        <v>Her kan et synonym indsættes</v>
      </c>
      <c r="N356" s="2" t="str">
        <f t="shared" ref="N356:O356" si="277">N66</f>
        <v>Her kan et synonym indsættes</v>
      </c>
      <c r="O356" s="2" t="str">
        <f t="shared" si="277"/>
        <v>Her kan et synonym indsættes</v>
      </c>
      <c r="S356" s="33"/>
    </row>
    <row r="357" spans="5:19" x14ac:dyDescent="0.2">
      <c r="F357" s="3" t="s">
        <v>46</v>
      </c>
      <c r="G357" s="4" t="str">
        <f>IF((IFERROR(SEARCH(K357,Rådata!$B$1000),-1)+IFERROR(SEARCH(L357,Rådata!$B$1000),-1)+IFERROR(SEARCH(M357,Rådata!$B$1000),-1)+IFERROR(SEARCH(N357,Rådata!$B$1000),-1)+IFERROR(SEARCH(O357,Rådata!$B$1000),-1))&gt;0,"-","NEJ")</f>
        <v>NEJ</v>
      </c>
      <c r="K357" s="2" t="str">
        <f t="shared" si="269"/>
        <v>1,1,2-trichlorethan</v>
      </c>
      <c r="L357" s="2" t="str">
        <f t="shared" si="269"/>
        <v>Her kan et synonym indsættes</v>
      </c>
      <c r="M357" s="2" t="str">
        <f t="shared" si="269"/>
        <v>Her kan et synonym indsættes</v>
      </c>
      <c r="N357" s="2" t="str">
        <f t="shared" ref="N357:O357" si="278">N67</f>
        <v>Her kan et synonym indsættes</v>
      </c>
      <c r="O357" s="2" t="str">
        <f t="shared" si="278"/>
        <v>Her kan et synonym indsættes</v>
      </c>
      <c r="S357" s="33"/>
    </row>
    <row r="358" spans="5:19" x14ac:dyDescent="0.2">
      <c r="F358" s="3" t="s">
        <v>49</v>
      </c>
      <c r="G358" s="4" t="str">
        <f>IF((IFERROR(SEARCH(K358,Rådata!$B$1000),-1)+IFERROR(SEARCH(L358,Rådata!$B$1000),-1)+IFERROR(SEARCH(M358,Rådata!$B$1000),-1)+IFERROR(SEARCH(N358,Rådata!$B$1000),-1)+IFERROR(SEARCH(O358,Rådata!$B$1000),-1))&gt;0,"-","NEJ")</f>
        <v>NEJ</v>
      </c>
      <c r="K358" s="2" t="str">
        <f t="shared" si="269"/>
        <v>1,1,2,2-tetrachlorethan</v>
      </c>
      <c r="L358" s="2" t="str">
        <f t="shared" si="269"/>
        <v>Her kan et synonym indsættes</v>
      </c>
      <c r="M358" s="2" t="str">
        <f t="shared" si="269"/>
        <v>Her kan et synonym indsættes</v>
      </c>
      <c r="N358" s="2" t="str">
        <f t="shared" ref="N358:O358" si="279">N68</f>
        <v>Her kan et synonym indsættes</v>
      </c>
      <c r="O358" s="2" t="str">
        <f t="shared" si="279"/>
        <v>Her kan et synonym indsættes</v>
      </c>
      <c r="S358" s="33"/>
    </row>
    <row r="359" spans="5:19" x14ac:dyDescent="0.2">
      <c r="F359" s="10" t="s">
        <v>48</v>
      </c>
      <c r="G359" s="4" t="str">
        <f>IF((IFERROR(SEARCH(K359,Rådata!$B$1000),-1)+IFERROR(SEARCH(L359,Rådata!$B$1000),-1)+IFERROR(SEARCH(M359,Rådata!$B$1000),-1)+IFERROR(SEARCH(N359,Rådata!$B$1000),-1)+IFERROR(SEARCH(O359,Rådata!$B$1000),-1))&gt;0,"-","NEJ")</f>
        <v>NEJ</v>
      </c>
      <c r="K359" s="2" t="str">
        <f t="shared" si="269"/>
        <v>1,1,1,2-tetrachlorethan</v>
      </c>
      <c r="L359" s="2" t="str">
        <f t="shared" si="269"/>
        <v>Her kan et synonym indsættes</v>
      </c>
      <c r="M359" s="2" t="str">
        <f t="shared" si="269"/>
        <v>Her kan et synonym indsættes</v>
      </c>
      <c r="N359" s="2" t="str">
        <f t="shared" ref="N359:O359" si="280">N69</f>
        <v>Her kan et synonym indsættes</v>
      </c>
      <c r="O359" s="2" t="str">
        <f t="shared" si="280"/>
        <v>Her kan et synonym indsættes</v>
      </c>
      <c r="S359" s="33"/>
    </row>
    <row r="360" spans="5:19" x14ac:dyDescent="0.2">
      <c r="E360" s="45" t="s">
        <v>154</v>
      </c>
      <c r="F360" s="45"/>
      <c r="G360" s="18"/>
      <c r="H360" s="18" t="str">
        <f>IF(IFERROR(SEARCH("NEJ",CONCATENATE(" ",G361,G362,G363,G364,G365,G366)),1)=1,"OK","NEJ")</f>
        <v>NEJ</v>
      </c>
      <c r="K360" s="2"/>
      <c r="L360" s="2"/>
      <c r="M360" s="2"/>
      <c r="N360" s="2"/>
      <c r="O360" s="2"/>
    </row>
    <row r="361" spans="5:19" x14ac:dyDescent="0.2">
      <c r="F361" s="9" t="s">
        <v>12</v>
      </c>
      <c r="G361" s="4" t="str">
        <f>IF((IFERROR(SEARCH(K361,Rådata!$B$1000),-1)+IFERROR(SEARCH(L361,Rådata!$B$1000),-1)+IFERROR(SEARCH(M361,Rådata!$B$1000),-1)+IFERROR(SEARCH(N361,Rådata!$B$1000),-1)+IFERROR(SEARCH(O361,Rådata!$B$1000),-1))&gt;0,"-","NEJ")</f>
        <v>NEJ</v>
      </c>
      <c r="K361" s="2" t="str">
        <f>K73</f>
        <v>Benzo(a)pyren</v>
      </c>
      <c r="L361" s="2" t="str">
        <f t="shared" ref="L361:M361" si="281">L73</f>
        <v>Benz[a]pyren</v>
      </c>
      <c r="M361" s="2" t="str">
        <f t="shared" si="281"/>
        <v>Her kan et synonym indsættes</v>
      </c>
      <c r="N361" s="2" t="str">
        <f t="shared" ref="N361:O361" si="282">N73</f>
        <v>Her kan et synonym indsættes</v>
      </c>
      <c r="O361" s="2" t="str">
        <f t="shared" si="282"/>
        <v>Her kan et synonym indsættes</v>
      </c>
      <c r="S361" s="33"/>
    </row>
    <row r="362" spans="5:19" x14ac:dyDescent="0.2">
      <c r="F362" s="3" t="s">
        <v>11</v>
      </c>
      <c r="G362" s="4" t="str">
        <f>IF((IFERROR(SEARCH(K362,Rådata!$B$1000),-1)+IFERROR(SEARCH(L362,Rådata!$B$1000),-1)+IFERROR(SEARCH(M362,Rådata!$B$1000),-1)+IFERROR(SEARCH(N362,Rådata!$B$1000),-1)+IFERROR(SEARCH(O362,Rådata!$B$1000),-1))&gt;0,"-","NEJ")</f>
        <v>NEJ</v>
      </c>
      <c r="K362" s="2" t="str">
        <f t="shared" ref="K362:M366" si="283">K74</f>
        <v>Fluoranthen</v>
      </c>
      <c r="L362" s="2" t="str">
        <f t="shared" si="283"/>
        <v>Her kan et synonym indsættes</v>
      </c>
      <c r="M362" s="2" t="str">
        <f t="shared" si="283"/>
        <v>Her kan et synonym indsættes</v>
      </c>
      <c r="N362" s="2" t="str">
        <f t="shared" ref="N362:O362" si="284">N74</f>
        <v>Her kan et synonym indsættes</v>
      </c>
      <c r="O362" s="2" t="str">
        <f t="shared" si="284"/>
        <v>Her kan et synonym indsættes</v>
      </c>
      <c r="S362" s="33"/>
    </row>
    <row r="363" spans="5:19" x14ac:dyDescent="0.2">
      <c r="F363" s="3" t="s">
        <v>232</v>
      </c>
      <c r="G363" s="4" t="str">
        <f>IF((IFERROR(SEARCH(K363,Rådata!$B$1000),-1)+IFERROR(SEARCH(L363,Rådata!$B$1000),-1)+IFERROR(SEARCH(M363,Rådata!$B$1000),-1)+IFERROR(SEARCH(N363,Rådata!$B$1000),-1)+IFERROR(SEARCH(O363,Rådata!$B$1000),-1))&gt;0,"-","NEJ")</f>
        <v>NEJ</v>
      </c>
      <c r="K363" s="2" t="str">
        <f t="shared" si="283"/>
        <v>Benzo(b)fluoranthen</v>
      </c>
      <c r="L363" s="2" t="str">
        <f t="shared" si="283"/>
        <v>Benzo(b+j+k)fluoranthen</v>
      </c>
      <c r="M363" s="2" t="str">
        <f t="shared" si="283"/>
        <v>Benz(b)fluoranthen</v>
      </c>
      <c r="N363" s="2" t="str">
        <f t="shared" ref="N363:O363" si="285">N75</f>
        <v>Her kan et synonym indsættes</v>
      </c>
      <c r="O363" s="2" t="str">
        <f t="shared" si="285"/>
        <v>Her kan et synonym indsættes</v>
      </c>
      <c r="S363" s="33"/>
    </row>
    <row r="364" spans="5:19" x14ac:dyDescent="0.2">
      <c r="F364" s="3" t="s">
        <v>233</v>
      </c>
      <c r="G364" s="4" t="str">
        <f>IF((IFERROR(SEARCH(K364,Rådata!$B$1000),-1)+IFERROR(SEARCH(L364,Rådata!$B$1000),-1)+IFERROR(SEARCH(M364,Rådata!$B$1000),-1)+IFERROR(SEARCH(N364,Rådata!$B$1000),-1)+IFERROR(SEARCH(O364,Rådata!$B$1000),-1))&gt;0,"-","NEJ")</f>
        <v>NEJ</v>
      </c>
      <c r="K364" s="2" t="str">
        <f t="shared" si="283"/>
        <v>Benzo(k)fluoranthen</v>
      </c>
      <c r="L364" s="2" t="str">
        <f t="shared" si="283"/>
        <v>Benzo(b+j+k)fluoranthen</v>
      </c>
      <c r="M364" s="2" t="str">
        <f t="shared" si="283"/>
        <v>Benz(k)fluoranthen</v>
      </c>
      <c r="N364" s="2" t="str">
        <f t="shared" ref="N364:O364" si="286">N76</f>
        <v>Her kan et synonym indsættes</v>
      </c>
      <c r="O364" s="2" t="str">
        <f t="shared" si="286"/>
        <v>Her kan et synonym indsættes</v>
      </c>
      <c r="S364" s="33"/>
    </row>
    <row r="365" spans="5:19" x14ac:dyDescent="0.2">
      <c r="F365" s="3" t="s">
        <v>234</v>
      </c>
      <c r="G365" s="4" t="str">
        <f>IF((IFERROR(SEARCH(K365,Rådata!$B$1000),-1)+IFERROR(SEARCH(L365,Rådata!$B$1000),-1)+IFERROR(SEARCH(M365,Rådata!$B$1000),-1)+IFERROR(SEARCH(N365,Rådata!$B$1000),-1)+IFERROR(SEARCH(O365,Rådata!$B$1000),-1))&gt;0,"-","NEJ")</f>
        <v>NEJ</v>
      </c>
      <c r="K365" s="2" t="str">
        <f t="shared" si="283"/>
        <v>benzo(g,h,i)perylen</v>
      </c>
      <c r="L365" s="2" t="str">
        <f t="shared" si="283"/>
        <v>Her kan et synonym indsættes</v>
      </c>
      <c r="M365" s="2" t="str">
        <f t="shared" si="283"/>
        <v>benz(ghi)perylen</v>
      </c>
      <c r="N365" s="2" t="str">
        <f t="shared" ref="N365:O365" si="287">N77</f>
        <v>Her kan et synonym indsættes</v>
      </c>
      <c r="O365" s="2" t="str">
        <f t="shared" si="287"/>
        <v>Her kan et synonym indsættes</v>
      </c>
      <c r="S365" s="33"/>
    </row>
    <row r="366" spans="5:19" x14ac:dyDescent="0.2">
      <c r="F366" s="3" t="s">
        <v>235</v>
      </c>
      <c r="G366" s="4" t="str">
        <f>IF((IFERROR(SEARCH(K366,Rådata!$B$1000),-1)+IFERROR(SEARCH(L366,Rådata!$B$1000),-1)+IFERROR(SEARCH(M366,Rådata!$B$1000),-1)+IFERROR(SEARCH(N366,Rådata!$B$1000),-1)+IFERROR(SEARCH(O366,Rådata!$B$1000),-1))&gt;0,"-","NEJ")</f>
        <v>NEJ</v>
      </c>
      <c r="K366" s="2" t="str">
        <f t="shared" si="283"/>
        <v>Indeno(1,2,3-cd)pyren</v>
      </c>
      <c r="L366" s="2" t="str">
        <f t="shared" si="283"/>
        <v>Her kan et synonym indsættes</v>
      </c>
      <c r="M366" s="2" t="str">
        <f t="shared" si="283"/>
        <v>Her kan et synonym indsættes</v>
      </c>
      <c r="N366" s="2" t="str">
        <f t="shared" ref="N366:O366" si="288">N78</f>
        <v>Her kan et synonym indsættes</v>
      </c>
      <c r="O366" s="2" t="str">
        <f t="shared" si="288"/>
        <v>Her kan et synonym indsættes</v>
      </c>
      <c r="S366" s="33"/>
    </row>
  </sheetData>
  <protectedRanges>
    <protectedRange sqref="F4" name="Område1"/>
  </protectedRanges>
  <sortState xmlns:xlrd2="http://schemas.microsoft.com/office/spreadsheetml/2017/richdata2" ref="A2:A117">
    <sortCondition ref="A2"/>
  </sortState>
  <mergeCells count="47">
    <mergeCell ref="A34:C34"/>
    <mergeCell ref="A16:D16"/>
    <mergeCell ref="A30:C30"/>
    <mergeCell ref="A31:C31"/>
    <mergeCell ref="A32:C32"/>
    <mergeCell ref="A33:C33"/>
    <mergeCell ref="A4:D4"/>
    <mergeCell ref="E188:F188"/>
    <mergeCell ref="E339:F339"/>
    <mergeCell ref="E291:F291"/>
    <mergeCell ref="E292:F292"/>
    <mergeCell ref="E310:F310"/>
    <mergeCell ref="E260:F260"/>
    <mergeCell ref="E337:F337"/>
    <mergeCell ref="E262:F262"/>
    <mergeCell ref="E285:F285"/>
    <mergeCell ref="E213:F213"/>
    <mergeCell ref="E214:F214"/>
    <mergeCell ref="E232:F232"/>
    <mergeCell ref="E209:F209"/>
    <mergeCell ref="E193:F193"/>
    <mergeCell ref="E176:F176"/>
    <mergeCell ref="E178:F178"/>
    <mergeCell ref="E163:F163"/>
    <mergeCell ref="E159:F159"/>
    <mergeCell ref="E186:F186"/>
    <mergeCell ref="E72:F72"/>
    <mergeCell ref="E79:F79"/>
    <mergeCell ref="E93:F93"/>
    <mergeCell ref="E94:F94"/>
    <mergeCell ref="E150:F150"/>
    <mergeCell ref="E343:F343"/>
    <mergeCell ref="E347:F347"/>
    <mergeCell ref="E360:F360"/>
    <mergeCell ref="E20:F20"/>
    <mergeCell ref="E6:F6"/>
    <mergeCell ref="E141:F141"/>
    <mergeCell ref="E143:F143"/>
    <mergeCell ref="E145:F145"/>
    <mergeCell ref="E113:F113"/>
    <mergeCell ref="E35:F35"/>
    <mergeCell ref="E24:F24"/>
    <mergeCell ref="E22:F22"/>
    <mergeCell ref="E55:F55"/>
    <mergeCell ref="E51:F51"/>
    <mergeCell ref="E57:F57"/>
    <mergeCell ref="E70:F70"/>
  </mergeCells>
  <hyperlinks>
    <hyperlink ref="A30" location="Analysepakker!E6" display="Gruppe A" xr:uid="{00000000-0004-0000-0000-000000000000}"/>
    <hyperlink ref="A31" location="Analysepakker!E20" display="Gruppe B" xr:uid="{00000000-0004-0000-0000-000001000000}"/>
    <hyperlink ref="A32" location="Analysepakker!E157" display="Ledningsnetkontrol (Bilag F)" xr:uid="{00000000-0004-0000-0000-000002000000}"/>
    <hyperlink ref="A33" location="Analysepakker!E209" display="Vandværkskontrol (Bilag E)" xr:uid="{00000000-0004-0000-0000-000003000000}"/>
    <hyperlink ref="A34" location="Analysepakker!E286" display="Boringskontrol" xr:uid="{00000000-0004-0000-0000-000004000000}"/>
    <hyperlink ref="E6:F6" location="Analysepakker!F1" display="Gruppe A" xr:uid="{00000000-0004-0000-0000-000005000000}"/>
    <hyperlink ref="E20:F20" location="Analysepakker!F1" display="Gruppe B" xr:uid="{00000000-0004-0000-0000-000006000000}"/>
    <hyperlink ref="E141:F141" location="Analysepakker!F1" display="Ledningsnetkontrol (Bilag F)" xr:uid="{00000000-0004-0000-0000-000007000000}"/>
    <hyperlink ref="E186:F186" location="Analysepakker!F1" display="Vandværkskontrol (Bilag E)" xr:uid="{00000000-0004-0000-0000-000008000000}"/>
    <hyperlink ref="E260:F260" location="Analysepakker!F1" display="Boringskontrol" xr:uid="{00000000-0004-0000-0000-000009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139</xdr:row>
                    <xdr:rowOff>0</xdr:rowOff>
                  </from>
                  <to>
                    <xdr:col>8</xdr:col>
                    <xdr:colOff>0</xdr:colOff>
                    <xdr:row>140</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184</xdr:row>
                    <xdr:rowOff>0</xdr:rowOff>
                  </from>
                  <to>
                    <xdr:col>8</xdr:col>
                    <xdr:colOff>0</xdr:colOff>
                    <xdr:row>185</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258</xdr:row>
                    <xdr:rowOff>0</xdr:rowOff>
                  </from>
                  <to>
                    <xdr:col>8</xdr:col>
                    <xdr:colOff>0</xdr:colOff>
                    <xdr:row>259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0" t="s">
        <v>174</v>
      </c>
    </row>
    <row r="2" spans="1:3" ht="18" customHeight="1" x14ac:dyDescent="0.2">
      <c r="A2" s="3" t="s">
        <v>174</v>
      </c>
      <c r="B2" s="6" t="str">
        <f>A2</f>
        <v xml:space="preserve"> </v>
      </c>
      <c r="C2" s="20" t="s">
        <v>174</v>
      </c>
    </row>
    <row r="3" spans="1:3" ht="18" customHeight="1" x14ac:dyDescent="0.2">
      <c r="A3" s="3"/>
      <c r="B3" s="6" t="str">
        <f t="shared" ref="B3:B66" si="0">IF(ISBLANK(A3)=TRUE,B2,B2&amp;","&amp;A3)</f>
        <v xml:space="preserve"> </v>
      </c>
      <c r="C3" s="20" t="s">
        <v>174</v>
      </c>
    </row>
    <row r="4" spans="1:3" ht="18" customHeight="1" x14ac:dyDescent="0.2">
      <c r="A4" s="3"/>
      <c r="B4" s="6" t="str">
        <f t="shared" si="0"/>
        <v xml:space="preserve"> </v>
      </c>
      <c r="C4" s="20" t="s">
        <v>174</v>
      </c>
    </row>
    <row r="5" spans="1:3" ht="18" customHeight="1" x14ac:dyDescent="0.2">
      <c r="A5" s="3"/>
      <c r="B5" s="6" t="str">
        <f t="shared" si="0"/>
        <v xml:space="preserve"> </v>
      </c>
      <c r="C5" s="20" t="s">
        <v>174</v>
      </c>
    </row>
    <row r="6" spans="1:3" ht="18" customHeight="1" x14ac:dyDescent="0.2">
      <c r="A6" s="3"/>
      <c r="B6" s="6" t="str">
        <f t="shared" si="0"/>
        <v xml:space="preserve"> </v>
      </c>
      <c r="C6" s="20" t="s">
        <v>174</v>
      </c>
    </row>
    <row r="7" spans="1:3" ht="18" customHeight="1" x14ac:dyDescent="0.2">
      <c r="A7" s="3"/>
      <c r="B7" s="6" t="str">
        <f t="shared" si="0"/>
        <v xml:space="preserve"> </v>
      </c>
      <c r="C7" s="20" t="s">
        <v>174</v>
      </c>
    </row>
    <row r="8" spans="1:3" ht="18" customHeight="1" x14ac:dyDescent="0.2">
      <c r="A8" s="3"/>
      <c r="B8" s="6" t="str">
        <f t="shared" si="0"/>
        <v xml:space="preserve"> </v>
      </c>
      <c r="C8" s="20" t="s">
        <v>174</v>
      </c>
    </row>
    <row r="9" spans="1:3" ht="18" customHeight="1" x14ac:dyDescent="0.2">
      <c r="A9" s="3"/>
      <c r="B9" s="6" t="str">
        <f t="shared" si="0"/>
        <v xml:space="preserve"> </v>
      </c>
      <c r="C9" s="20" t="s">
        <v>174</v>
      </c>
    </row>
    <row r="10" spans="1:3" ht="18" customHeight="1" x14ac:dyDescent="0.25">
      <c r="A10" s="19"/>
      <c r="B10" s="6" t="str">
        <f t="shared" si="0"/>
        <v xml:space="preserve"> </v>
      </c>
      <c r="C10" s="20" t="s">
        <v>174</v>
      </c>
    </row>
    <row r="11" spans="1:3" ht="18" customHeight="1" x14ac:dyDescent="0.25">
      <c r="A11" s="19"/>
      <c r="B11" s="6" t="str">
        <f t="shared" si="0"/>
        <v xml:space="preserve"> </v>
      </c>
      <c r="C11" s="20" t="s">
        <v>174</v>
      </c>
    </row>
    <row r="12" spans="1:3" ht="18" customHeight="1" x14ac:dyDescent="0.2">
      <c r="A12" s="11"/>
      <c r="B12" s="6" t="str">
        <f t="shared" si="0"/>
        <v xml:space="preserve"> </v>
      </c>
      <c r="C12" s="20" t="s">
        <v>174</v>
      </c>
    </row>
    <row r="13" spans="1:3" ht="18" customHeight="1" x14ac:dyDescent="0.2">
      <c r="A13" s="11"/>
      <c r="B13" s="6" t="str">
        <f t="shared" si="0"/>
        <v xml:space="preserve"> </v>
      </c>
      <c r="C13" s="20" t="s">
        <v>174</v>
      </c>
    </row>
    <row r="14" spans="1:3" ht="18" customHeight="1" x14ac:dyDescent="0.2">
      <c r="A14" s="11"/>
      <c r="B14" s="6" t="str">
        <f t="shared" si="0"/>
        <v xml:space="preserve"> </v>
      </c>
      <c r="C14" s="20" t="s">
        <v>174</v>
      </c>
    </row>
    <row r="15" spans="1:3" ht="18" customHeight="1" x14ac:dyDescent="0.2">
      <c r="A15" s="11"/>
      <c r="B15" s="6" t="str">
        <f t="shared" si="0"/>
        <v xml:space="preserve"> </v>
      </c>
      <c r="C15" s="20" t="s">
        <v>174</v>
      </c>
    </row>
    <row r="16" spans="1:3" ht="18" customHeight="1" x14ac:dyDescent="0.2">
      <c r="A16" s="11"/>
      <c r="B16" s="6" t="str">
        <f t="shared" si="0"/>
        <v xml:space="preserve"> </v>
      </c>
      <c r="C16" s="20" t="s">
        <v>174</v>
      </c>
    </row>
    <row r="17" spans="1:3" ht="18" customHeight="1" x14ac:dyDescent="0.2">
      <c r="A17" s="11"/>
      <c r="B17" s="6" t="str">
        <f t="shared" si="0"/>
        <v xml:space="preserve"> </v>
      </c>
      <c r="C17" s="20" t="s">
        <v>174</v>
      </c>
    </row>
    <row r="18" spans="1:3" ht="18" customHeight="1" x14ac:dyDescent="0.2">
      <c r="A18" s="11"/>
      <c r="B18" s="6" t="str">
        <f t="shared" si="0"/>
        <v xml:space="preserve"> </v>
      </c>
      <c r="C18" s="20" t="s">
        <v>174</v>
      </c>
    </row>
    <row r="19" spans="1:3" ht="18" customHeight="1" x14ac:dyDescent="0.2">
      <c r="A19" s="11"/>
      <c r="B19" s="6" t="str">
        <f t="shared" si="0"/>
        <v xml:space="preserve"> </v>
      </c>
      <c r="C19" s="20" t="s">
        <v>174</v>
      </c>
    </row>
    <row r="20" spans="1:3" ht="18" customHeight="1" x14ac:dyDescent="0.2">
      <c r="A20" s="11"/>
      <c r="B20" s="6" t="str">
        <f t="shared" si="0"/>
        <v xml:space="preserve"> </v>
      </c>
      <c r="C20" s="20" t="s">
        <v>174</v>
      </c>
    </row>
    <row r="21" spans="1:3" ht="18" customHeight="1" x14ac:dyDescent="0.2">
      <c r="A21" s="11"/>
      <c r="B21" s="6" t="str">
        <f t="shared" si="0"/>
        <v xml:space="preserve"> </v>
      </c>
      <c r="C21" s="20" t="s">
        <v>174</v>
      </c>
    </row>
    <row r="22" spans="1:3" ht="18" customHeight="1" x14ac:dyDescent="0.2">
      <c r="A22" s="11"/>
      <c r="B22" s="6" t="str">
        <f t="shared" si="0"/>
        <v xml:space="preserve"> </v>
      </c>
      <c r="C22" s="20" t="s">
        <v>174</v>
      </c>
    </row>
    <row r="23" spans="1:3" ht="18" customHeight="1" x14ac:dyDescent="0.2">
      <c r="A23" s="11"/>
      <c r="B23" s="6" t="str">
        <f t="shared" si="0"/>
        <v xml:space="preserve"> </v>
      </c>
      <c r="C23" s="20" t="s">
        <v>174</v>
      </c>
    </row>
    <row r="24" spans="1:3" ht="18" customHeight="1" x14ac:dyDescent="0.2">
      <c r="A24" s="11"/>
      <c r="B24" s="6" t="str">
        <f t="shared" si="0"/>
        <v xml:space="preserve"> </v>
      </c>
      <c r="C24" s="20" t="s">
        <v>174</v>
      </c>
    </row>
    <row r="25" spans="1:3" ht="18" customHeight="1" x14ac:dyDescent="0.2">
      <c r="A25" s="11"/>
      <c r="B25" s="6" t="str">
        <f t="shared" si="0"/>
        <v xml:space="preserve"> </v>
      </c>
      <c r="C25" s="20" t="s">
        <v>174</v>
      </c>
    </row>
    <row r="26" spans="1:3" ht="18" customHeight="1" x14ac:dyDescent="0.2">
      <c r="A26" s="11"/>
      <c r="B26" s="6" t="str">
        <f t="shared" si="0"/>
        <v xml:space="preserve"> </v>
      </c>
      <c r="C26" s="20" t="s">
        <v>174</v>
      </c>
    </row>
    <row r="27" spans="1:3" ht="18" customHeight="1" x14ac:dyDescent="0.2">
      <c r="A27" s="11"/>
      <c r="B27" s="6" t="str">
        <f t="shared" si="0"/>
        <v xml:space="preserve"> </v>
      </c>
      <c r="C27" s="20" t="s">
        <v>174</v>
      </c>
    </row>
    <row r="28" spans="1:3" ht="18" customHeight="1" x14ac:dyDescent="0.2">
      <c r="A28" s="11"/>
      <c r="B28" s="6" t="str">
        <f t="shared" si="0"/>
        <v xml:space="preserve"> </v>
      </c>
      <c r="C28" s="20" t="s">
        <v>174</v>
      </c>
    </row>
    <row r="29" spans="1:3" ht="18" customHeight="1" x14ac:dyDescent="0.2">
      <c r="A29" s="11"/>
      <c r="B29" s="6" t="str">
        <f t="shared" si="0"/>
        <v xml:space="preserve"> </v>
      </c>
      <c r="C29" s="20" t="s">
        <v>174</v>
      </c>
    </row>
    <row r="30" spans="1:3" ht="18" customHeight="1" x14ac:dyDescent="0.2">
      <c r="A30" s="11"/>
      <c r="B30" s="6" t="str">
        <f t="shared" si="0"/>
        <v xml:space="preserve"> </v>
      </c>
      <c r="C30" s="20" t="s">
        <v>174</v>
      </c>
    </row>
    <row r="31" spans="1:3" ht="18" customHeight="1" x14ac:dyDescent="0.2">
      <c r="A31" s="11"/>
      <c r="B31" s="6" t="str">
        <f t="shared" si="0"/>
        <v xml:space="preserve"> </v>
      </c>
      <c r="C31" s="20" t="s">
        <v>174</v>
      </c>
    </row>
    <row r="32" spans="1:3" ht="18" customHeight="1" x14ac:dyDescent="0.2">
      <c r="A32" s="11"/>
      <c r="B32" s="6" t="str">
        <f t="shared" si="0"/>
        <v xml:space="preserve"> </v>
      </c>
      <c r="C32" s="20" t="s">
        <v>174</v>
      </c>
    </row>
    <row r="33" spans="1:3" ht="18" customHeight="1" x14ac:dyDescent="0.2">
      <c r="A33" s="11"/>
      <c r="B33" s="6" t="str">
        <f t="shared" si="0"/>
        <v xml:space="preserve"> </v>
      </c>
      <c r="C33" s="20" t="s">
        <v>174</v>
      </c>
    </row>
    <row r="34" spans="1:3" ht="18" customHeight="1" x14ac:dyDescent="0.2">
      <c r="A34" s="11"/>
      <c r="B34" s="6" t="str">
        <f t="shared" si="0"/>
        <v xml:space="preserve"> </v>
      </c>
      <c r="C34" s="20" t="s">
        <v>174</v>
      </c>
    </row>
    <row r="35" spans="1:3" ht="18" customHeight="1" x14ac:dyDescent="0.2">
      <c r="A35" s="11"/>
      <c r="B35" s="6" t="str">
        <f t="shared" si="0"/>
        <v xml:space="preserve"> </v>
      </c>
      <c r="C35" s="20" t="s">
        <v>174</v>
      </c>
    </row>
    <row r="36" spans="1:3" ht="18" customHeight="1" x14ac:dyDescent="0.2">
      <c r="A36" s="11"/>
      <c r="B36" s="6" t="str">
        <f t="shared" si="0"/>
        <v xml:space="preserve"> </v>
      </c>
      <c r="C36" s="20" t="s">
        <v>174</v>
      </c>
    </row>
    <row r="37" spans="1:3" ht="18" customHeight="1" x14ac:dyDescent="0.2">
      <c r="A37" s="11"/>
      <c r="B37" s="6" t="str">
        <f t="shared" si="0"/>
        <v xml:space="preserve"> </v>
      </c>
      <c r="C37" s="20" t="s">
        <v>174</v>
      </c>
    </row>
    <row r="38" spans="1:3" ht="18" customHeight="1" x14ac:dyDescent="0.2">
      <c r="A38" s="11"/>
      <c r="B38" s="6" t="str">
        <f t="shared" si="0"/>
        <v xml:space="preserve"> </v>
      </c>
      <c r="C38" s="20" t="s">
        <v>174</v>
      </c>
    </row>
    <row r="39" spans="1:3" ht="18" customHeight="1" x14ac:dyDescent="0.2">
      <c r="A39" s="11"/>
      <c r="B39" s="6" t="str">
        <f t="shared" si="0"/>
        <v xml:space="preserve"> </v>
      </c>
      <c r="C39" s="20" t="s">
        <v>174</v>
      </c>
    </row>
    <row r="40" spans="1:3" ht="18" customHeight="1" x14ac:dyDescent="0.2">
      <c r="A40" s="11"/>
      <c r="B40" s="6" t="str">
        <f t="shared" si="0"/>
        <v xml:space="preserve"> </v>
      </c>
      <c r="C40" s="20" t="s">
        <v>174</v>
      </c>
    </row>
    <row r="41" spans="1:3" ht="18" customHeight="1" x14ac:dyDescent="0.2">
      <c r="A41" s="11"/>
      <c r="B41" s="6" t="str">
        <f t="shared" si="0"/>
        <v xml:space="preserve"> </v>
      </c>
      <c r="C41" s="20" t="s">
        <v>174</v>
      </c>
    </row>
    <row r="42" spans="1:3" ht="18" customHeight="1" x14ac:dyDescent="0.2">
      <c r="A42" s="11"/>
      <c r="B42" s="6" t="str">
        <f t="shared" si="0"/>
        <v xml:space="preserve"> </v>
      </c>
      <c r="C42" s="20" t="s">
        <v>174</v>
      </c>
    </row>
    <row r="43" spans="1:3" ht="18" customHeight="1" x14ac:dyDescent="0.2">
      <c r="A43" s="11"/>
      <c r="B43" s="6" t="str">
        <f t="shared" si="0"/>
        <v xml:space="preserve"> </v>
      </c>
      <c r="C43" s="20" t="s">
        <v>174</v>
      </c>
    </row>
    <row r="44" spans="1:3" ht="18" customHeight="1" x14ac:dyDescent="0.2">
      <c r="A44" s="11"/>
      <c r="B44" s="6" t="str">
        <f t="shared" si="0"/>
        <v xml:space="preserve"> </v>
      </c>
      <c r="C44" s="20" t="s">
        <v>174</v>
      </c>
    </row>
    <row r="45" spans="1:3" ht="18" customHeight="1" x14ac:dyDescent="0.2">
      <c r="A45" s="11"/>
      <c r="B45" s="6" t="str">
        <f t="shared" si="0"/>
        <v xml:space="preserve"> </v>
      </c>
      <c r="C45" s="20" t="s">
        <v>174</v>
      </c>
    </row>
    <row r="46" spans="1:3" ht="18" customHeight="1" x14ac:dyDescent="0.2">
      <c r="A46" s="11"/>
      <c r="B46" s="6" t="str">
        <f t="shared" si="0"/>
        <v xml:space="preserve"> </v>
      </c>
      <c r="C46" s="20" t="s">
        <v>174</v>
      </c>
    </row>
    <row r="47" spans="1:3" ht="18" customHeight="1" x14ac:dyDescent="0.2">
      <c r="A47" s="11"/>
      <c r="B47" s="6" t="str">
        <f t="shared" si="0"/>
        <v xml:space="preserve"> </v>
      </c>
      <c r="C47" s="20" t="s">
        <v>174</v>
      </c>
    </row>
    <row r="48" spans="1:3" ht="18" customHeight="1" x14ac:dyDescent="0.2">
      <c r="A48" s="11"/>
      <c r="B48" s="6" t="str">
        <f t="shared" si="0"/>
        <v xml:space="preserve"> </v>
      </c>
      <c r="C48" s="20" t="s">
        <v>174</v>
      </c>
    </row>
    <row r="49" spans="1:3" ht="18" customHeight="1" x14ac:dyDescent="0.2">
      <c r="A49" s="11"/>
      <c r="B49" s="6" t="str">
        <f t="shared" si="0"/>
        <v xml:space="preserve"> </v>
      </c>
      <c r="C49" s="20" t="s">
        <v>174</v>
      </c>
    </row>
    <row r="50" spans="1:3" ht="18" customHeight="1" x14ac:dyDescent="0.2">
      <c r="A50" s="11"/>
      <c r="B50" s="6" t="str">
        <f t="shared" si="0"/>
        <v xml:space="preserve"> </v>
      </c>
      <c r="C50" s="20" t="s">
        <v>174</v>
      </c>
    </row>
    <row r="51" spans="1:3" ht="18" customHeight="1" x14ac:dyDescent="0.2">
      <c r="A51" s="11"/>
      <c r="B51" s="6" t="str">
        <f t="shared" si="0"/>
        <v xml:space="preserve"> </v>
      </c>
      <c r="C51" s="20" t="s">
        <v>174</v>
      </c>
    </row>
    <row r="52" spans="1:3" ht="18" customHeight="1" x14ac:dyDescent="0.2">
      <c r="A52" s="11"/>
      <c r="B52" s="6" t="str">
        <f t="shared" si="0"/>
        <v xml:space="preserve"> </v>
      </c>
      <c r="C52" s="20" t="s">
        <v>174</v>
      </c>
    </row>
    <row r="53" spans="1:3" ht="18" customHeight="1" x14ac:dyDescent="0.2">
      <c r="A53" s="11"/>
      <c r="B53" s="6" t="str">
        <f t="shared" si="0"/>
        <v xml:space="preserve"> </v>
      </c>
      <c r="C53" s="20" t="s">
        <v>174</v>
      </c>
    </row>
    <row r="54" spans="1:3" ht="18" customHeight="1" x14ac:dyDescent="0.2">
      <c r="A54" s="11"/>
      <c r="B54" s="6" t="str">
        <f t="shared" si="0"/>
        <v xml:space="preserve"> </v>
      </c>
      <c r="C54" s="20" t="s">
        <v>174</v>
      </c>
    </row>
    <row r="55" spans="1:3" ht="18" customHeight="1" x14ac:dyDescent="0.2">
      <c r="A55" s="11"/>
      <c r="B55" s="6" t="str">
        <f t="shared" si="0"/>
        <v xml:space="preserve"> </v>
      </c>
      <c r="C55" s="20" t="s">
        <v>174</v>
      </c>
    </row>
    <row r="56" spans="1:3" ht="18" customHeight="1" x14ac:dyDescent="0.2">
      <c r="A56" s="11"/>
      <c r="B56" s="6" t="str">
        <f t="shared" si="0"/>
        <v xml:space="preserve"> </v>
      </c>
      <c r="C56" s="20" t="s">
        <v>174</v>
      </c>
    </row>
    <row r="57" spans="1:3" ht="18" customHeight="1" x14ac:dyDescent="0.2">
      <c r="A57" s="11"/>
      <c r="B57" s="6" t="str">
        <f t="shared" si="0"/>
        <v xml:space="preserve"> </v>
      </c>
      <c r="C57" s="20" t="s">
        <v>174</v>
      </c>
    </row>
    <row r="58" spans="1:3" ht="18" customHeight="1" x14ac:dyDescent="0.2">
      <c r="A58" s="11"/>
      <c r="B58" s="6" t="str">
        <f t="shared" si="0"/>
        <v xml:space="preserve"> </v>
      </c>
      <c r="C58" s="20" t="s">
        <v>174</v>
      </c>
    </row>
    <row r="59" spans="1:3" ht="18" customHeight="1" x14ac:dyDescent="0.2">
      <c r="A59" s="11"/>
      <c r="B59" s="6" t="str">
        <f t="shared" si="0"/>
        <v xml:space="preserve"> </v>
      </c>
      <c r="C59" s="20" t="s">
        <v>174</v>
      </c>
    </row>
    <row r="60" spans="1:3" ht="18" customHeight="1" x14ac:dyDescent="0.2">
      <c r="A60" s="11"/>
      <c r="B60" s="6" t="str">
        <f t="shared" si="0"/>
        <v xml:space="preserve"> </v>
      </c>
      <c r="C60" s="20" t="s">
        <v>174</v>
      </c>
    </row>
    <row r="61" spans="1:3" ht="18" customHeight="1" x14ac:dyDescent="0.2">
      <c r="A61" s="11"/>
      <c r="B61" s="6" t="str">
        <f t="shared" si="0"/>
        <v xml:space="preserve"> </v>
      </c>
      <c r="C61" s="20" t="s">
        <v>174</v>
      </c>
    </row>
    <row r="62" spans="1:3" ht="18" customHeight="1" x14ac:dyDescent="0.2">
      <c r="A62" s="11"/>
      <c r="B62" s="6" t="str">
        <f t="shared" si="0"/>
        <v xml:space="preserve"> </v>
      </c>
      <c r="C62" s="20" t="s">
        <v>174</v>
      </c>
    </row>
    <row r="63" spans="1:3" ht="18" customHeight="1" x14ac:dyDescent="0.2">
      <c r="A63" s="11"/>
      <c r="B63" s="6" t="str">
        <f t="shared" si="0"/>
        <v xml:space="preserve"> </v>
      </c>
      <c r="C63" s="20" t="s">
        <v>174</v>
      </c>
    </row>
    <row r="64" spans="1:3" ht="18" customHeight="1" x14ac:dyDescent="0.2">
      <c r="A64" s="11"/>
      <c r="B64" s="6" t="str">
        <f t="shared" si="0"/>
        <v xml:space="preserve"> </v>
      </c>
      <c r="C64" s="20" t="s">
        <v>174</v>
      </c>
    </row>
    <row r="65" spans="1:3" ht="18" customHeight="1" x14ac:dyDescent="0.2">
      <c r="A65" s="11"/>
      <c r="B65" s="6" t="str">
        <f t="shared" si="0"/>
        <v xml:space="preserve"> </v>
      </c>
      <c r="C65" s="20" t="s">
        <v>174</v>
      </c>
    </row>
    <row r="66" spans="1:3" ht="18" customHeight="1" x14ac:dyDescent="0.2">
      <c r="A66" s="11"/>
      <c r="B66" s="6" t="str">
        <f t="shared" si="0"/>
        <v xml:space="preserve"> </v>
      </c>
      <c r="C66" s="20" t="s">
        <v>174</v>
      </c>
    </row>
    <row r="67" spans="1:3" ht="18" customHeight="1" x14ac:dyDescent="0.2">
      <c r="A67" s="11"/>
      <c r="B67" s="6" t="str">
        <f t="shared" ref="B67:B130" si="1">IF(ISBLANK(A67)=TRUE,B66,B66&amp;","&amp;A67)</f>
        <v xml:space="preserve"> </v>
      </c>
      <c r="C67" s="20" t="s">
        <v>174</v>
      </c>
    </row>
    <row r="68" spans="1:3" ht="18" customHeight="1" x14ac:dyDescent="0.2">
      <c r="A68" s="11"/>
      <c r="B68" s="6" t="str">
        <f t="shared" si="1"/>
        <v xml:space="preserve"> </v>
      </c>
      <c r="C68" s="20" t="s">
        <v>174</v>
      </c>
    </row>
    <row r="69" spans="1:3" ht="18" customHeight="1" x14ac:dyDescent="0.2">
      <c r="A69" s="11"/>
      <c r="B69" s="6" t="str">
        <f t="shared" si="1"/>
        <v xml:space="preserve"> </v>
      </c>
      <c r="C69" s="20" t="s">
        <v>174</v>
      </c>
    </row>
    <row r="70" spans="1:3" ht="18" customHeight="1" x14ac:dyDescent="0.2">
      <c r="A70" s="11"/>
      <c r="B70" s="6" t="str">
        <f t="shared" si="1"/>
        <v xml:space="preserve"> </v>
      </c>
      <c r="C70" s="20" t="s">
        <v>174</v>
      </c>
    </row>
    <row r="71" spans="1:3" ht="18" customHeight="1" x14ac:dyDescent="0.2">
      <c r="A71" s="11"/>
      <c r="B71" s="6" t="str">
        <f t="shared" si="1"/>
        <v xml:space="preserve"> </v>
      </c>
      <c r="C71" s="20" t="s">
        <v>174</v>
      </c>
    </row>
    <row r="72" spans="1:3" ht="18" customHeight="1" x14ac:dyDescent="0.2">
      <c r="A72" s="11"/>
      <c r="B72" s="6" t="str">
        <f t="shared" si="1"/>
        <v xml:space="preserve"> </v>
      </c>
      <c r="C72" s="20" t="s">
        <v>174</v>
      </c>
    </row>
    <row r="73" spans="1:3" ht="18" customHeight="1" x14ac:dyDescent="0.2">
      <c r="A73" s="11"/>
      <c r="B73" s="6" t="str">
        <f t="shared" si="1"/>
        <v xml:space="preserve"> </v>
      </c>
      <c r="C73" s="20" t="s">
        <v>174</v>
      </c>
    </row>
    <row r="74" spans="1:3" ht="18" customHeight="1" x14ac:dyDescent="0.2">
      <c r="A74" s="11"/>
      <c r="B74" s="6" t="str">
        <f t="shared" si="1"/>
        <v xml:space="preserve"> </v>
      </c>
      <c r="C74" s="20" t="s">
        <v>174</v>
      </c>
    </row>
    <row r="75" spans="1:3" ht="18" customHeight="1" x14ac:dyDescent="0.2">
      <c r="A75" s="11"/>
      <c r="B75" s="6" t="str">
        <f t="shared" si="1"/>
        <v xml:space="preserve"> </v>
      </c>
      <c r="C75" s="20" t="s">
        <v>174</v>
      </c>
    </row>
    <row r="76" spans="1:3" ht="18" customHeight="1" x14ac:dyDescent="0.2">
      <c r="A76" s="11"/>
      <c r="B76" s="6" t="str">
        <f t="shared" si="1"/>
        <v xml:space="preserve"> </v>
      </c>
      <c r="C76" s="20" t="s">
        <v>174</v>
      </c>
    </row>
    <row r="77" spans="1:3" ht="18" customHeight="1" x14ac:dyDescent="0.2">
      <c r="A77" s="11"/>
      <c r="B77" s="6" t="str">
        <f t="shared" si="1"/>
        <v xml:space="preserve"> </v>
      </c>
      <c r="C77" s="20" t="s">
        <v>174</v>
      </c>
    </row>
    <row r="78" spans="1:3" ht="18" customHeight="1" x14ac:dyDescent="0.2">
      <c r="A78" s="11"/>
      <c r="B78" s="6" t="str">
        <f t="shared" si="1"/>
        <v xml:space="preserve"> </v>
      </c>
      <c r="C78" s="20" t="s">
        <v>174</v>
      </c>
    </row>
    <row r="79" spans="1:3" ht="18" customHeight="1" x14ac:dyDescent="0.2">
      <c r="A79" s="11"/>
      <c r="B79" s="6" t="str">
        <f t="shared" si="1"/>
        <v xml:space="preserve"> </v>
      </c>
      <c r="C79" s="20" t="s">
        <v>174</v>
      </c>
    </row>
    <row r="80" spans="1:3" ht="18" customHeight="1" x14ac:dyDescent="0.2">
      <c r="A80" s="11"/>
      <c r="B80" s="6" t="str">
        <f t="shared" si="1"/>
        <v xml:space="preserve"> </v>
      </c>
      <c r="C80" s="20" t="s">
        <v>174</v>
      </c>
    </row>
    <row r="81" spans="1:3" ht="18" customHeight="1" x14ac:dyDescent="0.2">
      <c r="A81" s="11"/>
      <c r="B81" s="6" t="str">
        <f t="shared" si="1"/>
        <v xml:space="preserve"> </v>
      </c>
      <c r="C81" s="20" t="s">
        <v>174</v>
      </c>
    </row>
    <row r="82" spans="1:3" ht="18" customHeight="1" x14ac:dyDescent="0.2">
      <c r="A82" s="11"/>
      <c r="B82" s="6" t="str">
        <f t="shared" si="1"/>
        <v xml:space="preserve"> </v>
      </c>
      <c r="C82" s="20" t="s">
        <v>174</v>
      </c>
    </row>
    <row r="83" spans="1:3" ht="18" customHeight="1" x14ac:dyDescent="0.2">
      <c r="A83" s="11"/>
      <c r="B83" s="6" t="str">
        <f t="shared" si="1"/>
        <v xml:space="preserve"> </v>
      </c>
      <c r="C83" s="20" t="s">
        <v>174</v>
      </c>
    </row>
    <row r="84" spans="1:3" ht="18" customHeight="1" x14ac:dyDescent="0.2">
      <c r="A84" s="11"/>
      <c r="B84" s="6" t="str">
        <f t="shared" si="1"/>
        <v xml:space="preserve"> </v>
      </c>
      <c r="C84" s="20" t="s">
        <v>174</v>
      </c>
    </row>
    <row r="85" spans="1:3" ht="18" customHeight="1" x14ac:dyDescent="0.2">
      <c r="A85" s="11"/>
      <c r="B85" s="6" t="str">
        <f t="shared" si="1"/>
        <v xml:space="preserve"> </v>
      </c>
      <c r="C85" s="20" t="s">
        <v>174</v>
      </c>
    </row>
    <row r="86" spans="1:3" ht="18" customHeight="1" x14ac:dyDescent="0.2">
      <c r="A86" s="11"/>
      <c r="B86" s="6" t="str">
        <f t="shared" si="1"/>
        <v xml:space="preserve"> </v>
      </c>
      <c r="C86" s="20" t="s">
        <v>174</v>
      </c>
    </row>
    <row r="87" spans="1:3" ht="18" customHeight="1" x14ac:dyDescent="0.2">
      <c r="A87" s="11"/>
      <c r="B87" s="6" t="str">
        <f t="shared" si="1"/>
        <v xml:space="preserve"> </v>
      </c>
      <c r="C87" s="20" t="s">
        <v>174</v>
      </c>
    </row>
    <row r="88" spans="1:3" ht="18" customHeight="1" x14ac:dyDescent="0.2">
      <c r="A88" s="11"/>
      <c r="B88" s="6" t="str">
        <f t="shared" si="1"/>
        <v xml:space="preserve"> </v>
      </c>
      <c r="C88" s="20" t="s">
        <v>174</v>
      </c>
    </row>
    <row r="89" spans="1:3" ht="18" customHeight="1" x14ac:dyDescent="0.2">
      <c r="A89" s="11"/>
      <c r="B89" s="6" t="str">
        <f t="shared" si="1"/>
        <v xml:space="preserve"> </v>
      </c>
      <c r="C89" s="20" t="s">
        <v>174</v>
      </c>
    </row>
    <row r="90" spans="1:3" ht="18" customHeight="1" x14ac:dyDescent="0.2">
      <c r="A90" s="11"/>
      <c r="B90" s="6" t="str">
        <f t="shared" si="1"/>
        <v xml:space="preserve"> </v>
      </c>
      <c r="C90" s="20" t="s">
        <v>174</v>
      </c>
    </row>
    <row r="91" spans="1:3" ht="18" customHeight="1" x14ac:dyDescent="0.2">
      <c r="A91" s="11"/>
      <c r="B91" s="6" t="str">
        <f t="shared" si="1"/>
        <v xml:space="preserve"> </v>
      </c>
      <c r="C91" s="20" t="s">
        <v>174</v>
      </c>
    </row>
    <row r="92" spans="1:3" ht="18" customHeight="1" x14ac:dyDescent="0.2">
      <c r="A92" s="11"/>
      <c r="B92" s="6" t="str">
        <f t="shared" si="1"/>
        <v xml:space="preserve"> </v>
      </c>
      <c r="C92" s="20" t="s">
        <v>174</v>
      </c>
    </row>
    <row r="93" spans="1:3" ht="18" customHeight="1" x14ac:dyDescent="0.2">
      <c r="A93" s="11"/>
      <c r="B93" s="6" t="str">
        <f t="shared" si="1"/>
        <v xml:space="preserve"> </v>
      </c>
      <c r="C93" s="20" t="s">
        <v>174</v>
      </c>
    </row>
    <row r="94" spans="1:3" ht="18" customHeight="1" x14ac:dyDescent="0.2">
      <c r="A94" s="11"/>
      <c r="B94" s="6" t="str">
        <f t="shared" si="1"/>
        <v xml:space="preserve"> </v>
      </c>
      <c r="C94" s="20" t="s">
        <v>174</v>
      </c>
    </row>
    <row r="95" spans="1:3" ht="18" customHeight="1" x14ac:dyDescent="0.2">
      <c r="A95" s="11"/>
      <c r="B95" s="6" t="str">
        <f t="shared" si="1"/>
        <v xml:space="preserve"> </v>
      </c>
      <c r="C95" s="20" t="s">
        <v>174</v>
      </c>
    </row>
    <row r="96" spans="1:3" ht="18" customHeight="1" x14ac:dyDescent="0.2">
      <c r="A96" s="11"/>
      <c r="B96" s="6" t="str">
        <f t="shared" si="1"/>
        <v xml:space="preserve"> </v>
      </c>
      <c r="C96" s="20" t="s">
        <v>174</v>
      </c>
    </row>
    <row r="97" spans="1:3" ht="18" customHeight="1" x14ac:dyDescent="0.2">
      <c r="A97" s="11"/>
      <c r="B97" s="6" t="str">
        <f t="shared" si="1"/>
        <v xml:space="preserve"> </v>
      </c>
      <c r="C97" s="20" t="s">
        <v>174</v>
      </c>
    </row>
    <row r="98" spans="1:3" ht="18" customHeight="1" x14ac:dyDescent="0.2">
      <c r="A98" s="11"/>
      <c r="B98" s="6" t="str">
        <f t="shared" si="1"/>
        <v xml:space="preserve"> </v>
      </c>
      <c r="C98" s="20" t="s">
        <v>174</v>
      </c>
    </row>
    <row r="99" spans="1:3" ht="18" customHeight="1" x14ac:dyDescent="0.2">
      <c r="A99" s="11"/>
      <c r="B99" s="6" t="str">
        <f t="shared" si="1"/>
        <v xml:space="preserve"> </v>
      </c>
      <c r="C99" s="20" t="s">
        <v>174</v>
      </c>
    </row>
    <row r="100" spans="1:3" ht="18" customHeight="1" x14ac:dyDescent="0.2">
      <c r="A100" s="11"/>
      <c r="B100" s="6" t="str">
        <f t="shared" si="1"/>
        <v xml:space="preserve"> </v>
      </c>
      <c r="C100" s="20" t="s">
        <v>174</v>
      </c>
    </row>
    <row r="101" spans="1:3" ht="18" customHeight="1" x14ac:dyDescent="0.2">
      <c r="A101" s="11"/>
      <c r="B101" s="6" t="str">
        <f t="shared" si="1"/>
        <v xml:space="preserve"> </v>
      </c>
      <c r="C101" s="20" t="s">
        <v>174</v>
      </c>
    </row>
    <row r="102" spans="1:3" ht="18" customHeight="1" x14ac:dyDescent="0.2">
      <c r="A102" s="11"/>
      <c r="B102" s="6" t="str">
        <f t="shared" si="1"/>
        <v xml:space="preserve"> </v>
      </c>
      <c r="C102" s="20" t="s">
        <v>174</v>
      </c>
    </row>
    <row r="103" spans="1:3" ht="18" customHeight="1" x14ac:dyDescent="0.2">
      <c r="A103" s="11"/>
      <c r="B103" s="6" t="str">
        <f t="shared" si="1"/>
        <v xml:space="preserve"> </v>
      </c>
      <c r="C103" s="20" t="s">
        <v>174</v>
      </c>
    </row>
    <row r="104" spans="1:3" ht="18" customHeight="1" x14ac:dyDescent="0.2">
      <c r="A104" s="11"/>
      <c r="B104" s="6" t="str">
        <f t="shared" si="1"/>
        <v xml:space="preserve"> </v>
      </c>
      <c r="C104" s="20" t="s">
        <v>174</v>
      </c>
    </row>
    <row r="105" spans="1:3" ht="18" customHeight="1" x14ac:dyDescent="0.2">
      <c r="A105" s="11"/>
      <c r="B105" s="6" t="str">
        <f t="shared" si="1"/>
        <v xml:space="preserve"> </v>
      </c>
      <c r="C105" s="20" t="s">
        <v>174</v>
      </c>
    </row>
    <row r="106" spans="1:3" ht="18" customHeight="1" x14ac:dyDescent="0.2">
      <c r="A106" s="11"/>
      <c r="B106" s="6" t="str">
        <f t="shared" si="1"/>
        <v xml:space="preserve"> </v>
      </c>
      <c r="C106" s="20" t="s">
        <v>174</v>
      </c>
    </row>
    <row r="107" spans="1:3" ht="18" customHeight="1" x14ac:dyDescent="0.2">
      <c r="A107" s="11"/>
      <c r="B107" s="6" t="str">
        <f t="shared" si="1"/>
        <v xml:space="preserve"> </v>
      </c>
      <c r="C107" s="20" t="s">
        <v>174</v>
      </c>
    </row>
    <row r="108" spans="1:3" ht="18" customHeight="1" x14ac:dyDescent="0.2">
      <c r="A108" s="11"/>
      <c r="B108" s="6" t="str">
        <f t="shared" si="1"/>
        <v xml:space="preserve"> </v>
      </c>
      <c r="C108" s="20" t="s">
        <v>174</v>
      </c>
    </row>
    <row r="109" spans="1:3" ht="18" customHeight="1" x14ac:dyDescent="0.2">
      <c r="A109" s="11"/>
      <c r="B109" s="6" t="str">
        <f t="shared" si="1"/>
        <v xml:space="preserve"> </v>
      </c>
      <c r="C109" s="20" t="s">
        <v>174</v>
      </c>
    </row>
    <row r="110" spans="1:3" ht="18" customHeight="1" x14ac:dyDescent="0.2">
      <c r="A110" s="11"/>
      <c r="B110" s="6" t="str">
        <f t="shared" si="1"/>
        <v xml:space="preserve"> </v>
      </c>
      <c r="C110" s="20" t="s">
        <v>174</v>
      </c>
    </row>
    <row r="111" spans="1:3" ht="18" customHeight="1" x14ac:dyDescent="0.2">
      <c r="A111" s="11"/>
      <c r="B111" s="6" t="str">
        <f t="shared" si="1"/>
        <v xml:space="preserve"> </v>
      </c>
      <c r="C111" s="20" t="s">
        <v>174</v>
      </c>
    </row>
    <row r="112" spans="1:3" ht="18" customHeight="1" x14ac:dyDescent="0.2">
      <c r="A112" s="11"/>
      <c r="B112" s="6" t="str">
        <f t="shared" si="1"/>
        <v xml:space="preserve"> </v>
      </c>
      <c r="C112" s="20" t="s">
        <v>174</v>
      </c>
    </row>
    <row r="113" spans="1:3" ht="18" customHeight="1" x14ac:dyDescent="0.2">
      <c r="A113" s="11"/>
      <c r="B113" s="6" t="str">
        <f t="shared" si="1"/>
        <v xml:space="preserve"> </v>
      </c>
      <c r="C113" s="20" t="s">
        <v>174</v>
      </c>
    </row>
    <row r="114" spans="1:3" ht="18" customHeight="1" x14ac:dyDescent="0.2">
      <c r="A114" s="11"/>
      <c r="B114" s="6" t="str">
        <f t="shared" si="1"/>
        <v xml:space="preserve"> </v>
      </c>
      <c r="C114" s="20" t="s">
        <v>174</v>
      </c>
    </row>
    <row r="115" spans="1:3" ht="18" customHeight="1" x14ac:dyDescent="0.2">
      <c r="A115" s="11"/>
      <c r="B115" s="6" t="str">
        <f t="shared" si="1"/>
        <v xml:space="preserve"> </v>
      </c>
      <c r="C115" s="20" t="s">
        <v>174</v>
      </c>
    </row>
    <row r="116" spans="1:3" ht="18" customHeight="1" x14ac:dyDescent="0.2">
      <c r="A116" s="11"/>
      <c r="B116" s="6" t="str">
        <f t="shared" si="1"/>
        <v xml:space="preserve"> </v>
      </c>
      <c r="C116" s="20" t="s">
        <v>174</v>
      </c>
    </row>
    <row r="117" spans="1:3" ht="18" customHeight="1" x14ac:dyDescent="0.2">
      <c r="A117" s="11"/>
      <c r="B117" s="6" t="str">
        <f t="shared" si="1"/>
        <v xml:space="preserve"> </v>
      </c>
      <c r="C117" s="20" t="s">
        <v>174</v>
      </c>
    </row>
    <row r="118" spans="1:3" ht="18" customHeight="1" x14ac:dyDescent="0.2">
      <c r="A118" s="11"/>
      <c r="B118" s="6" t="str">
        <f t="shared" si="1"/>
        <v xml:space="preserve"> </v>
      </c>
      <c r="C118" s="20" t="s">
        <v>174</v>
      </c>
    </row>
    <row r="119" spans="1:3" ht="18" customHeight="1" x14ac:dyDescent="0.2">
      <c r="A119" s="11"/>
      <c r="B119" s="6" t="str">
        <f t="shared" si="1"/>
        <v xml:space="preserve"> </v>
      </c>
      <c r="C119" s="20" t="s">
        <v>174</v>
      </c>
    </row>
    <row r="120" spans="1:3" ht="18" customHeight="1" x14ac:dyDescent="0.2">
      <c r="A120" s="11"/>
      <c r="B120" s="6" t="str">
        <f t="shared" si="1"/>
        <v xml:space="preserve"> </v>
      </c>
      <c r="C120" s="20" t="s">
        <v>174</v>
      </c>
    </row>
    <row r="121" spans="1:3" ht="18" customHeight="1" x14ac:dyDescent="0.2">
      <c r="A121" s="11"/>
      <c r="B121" s="6" t="str">
        <f t="shared" si="1"/>
        <v xml:space="preserve"> </v>
      </c>
      <c r="C121" s="20" t="s">
        <v>174</v>
      </c>
    </row>
    <row r="122" spans="1:3" ht="18" customHeight="1" x14ac:dyDescent="0.2">
      <c r="A122" s="11"/>
      <c r="B122" s="6" t="str">
        <f t="shared" si="1"/>
        <v xml:space="preserve"> </v>
      </c>
      <c r="C122" s="20" t="s">
        <v>174</v>
      </c>
    </row>
    <row r="123" spans="1:3" ht="18" customHeight="1" x14ac:dyDescent="0.2">
      <c r="A123" s="11"/>
      <c r="B123" s="6" t="str">
        <f t="shared" si="1"/>
        <v xml:space="preserve"> </v>
      </c>
      <c r="C123" s="20" t="s">
        <v>174</v>
      </c>
    </row>
    <row r="124" spans="1:3" ht="18" customHeight="1" x14ac:dyDescent="0.2">
      <c r="A124" s="11"/>
      <c r="B124" s="6" t="str">
        <f t="shared" si="1"/>
        <v xml:space="preserve"> </v>
      </c>
      <c r="C124" s="20" t="s">
        <v>174</v>
      </c>
    </row>
    <row r="125" spans="1:3" ht="18" customHeight="1" x14ac:dyDescent="0.2">
      <c r="A125" s="11"/>
      <c r="B125" s="6" t="str">
        <f t="shared" si="1"/>
        <v xml:space="preserve"> </v>
      </c>
      <c r="C125" s="20" t="s">
        <v>174</v>
      </c>
    </row>
    <row r="126" spans="1:3" ht="18" customHeight="1" x14ac:dyDescent="0.2">
      <c r="A126" s="11"/>
      <c r="B126" s="6" t="str">
        <f t="shared" si="1"/>
        <v xml:space="preserve"> </v>
      </c>
      <c r="C126" s="20" t="s">
        <v>174</v>
      </c>
    </row>
    <row r="127" spans="1:3" ht="18" customHeight="1" x14ac:dyDescent="0.2">
      <c r="A127" s="11"/>
      <c r="B127" s="6" t="str">
        <f t="shared" si="1"/>
        <v xml:space="preserve"> </v>
      </c>
      <c r="C127" s="20" t="s">
        <v>174</v>
      </c>
    </row>
    <row r="128" spans="1:3" ht="18" customHeight="1" x14ac:dyDescent="0.2">
      <c r="A128" s="11"/>
      <c r="B128" s="6" t="str">
        <f t="shared" si="1"/>
        <v xml:space="preserve"> </v>
      </c>
      <c r="C128" s="20" t="s">
        <v>174</v>
      </c>
    </row>
    <row r="129" spans="1:3" ht="18" customHeight="1" x14ac:dyDescent="0.2">
      <c r="A129" s="3"/>
      <c r="B129" s="6" t="str">
        <f t="shared" si="1"/>
        <v xml:space="preserve"> </v>
      </c>
      <c r="C129" s="20" t="s">
        <v>174</v>
      </c>
    </row>
    <row r="130" spans="1:3" ht="18" customHeight="1" x14ac:dyDescent="0.2">
      <c r="A130" s="3"/>
      <c r="B130" s="6" t="str">
        <f t="shared" si="1"/>
        <v xml:space="preserve"> </v>
      </c>
      <c r="C130" s="20" t="s">
        <v>174</v>
      </c>
    </row>
    <row r="131" spans="1:3" ht="18" customHeight="1" x14ac:dyDescent="0.2">
      <c r="A131" s="3"/>
      <c r="B131" s="6" t="str">
        <f t="shared" ref="B131:B194" si="2">IF(ISBLANK(A131)=TRUE,B130,B130&amp;","&amp;A131)</f>
        <v xml:space="preserve"> </v>
      </c>
      <c r="C131" s="20" t="s">
        <v>174</v>
      </c>
    </row>
    <row r="132" spans="1:3" ht="18" customHeight="1" x14ac:dyDescent="0.2">
      <c r="A132" s="3"/>
      <c r="B132" s="6" t="str">
        <f t="shared" si="2"/>
        <v xml:space="preserve"> </v>
      </c>
      <c r="C132" s="20" t="s">
        <v>174</v>
      </c>
    </row>
    <row r="133" spans="1:3" ht="18" customHeight="1" x14ac:dyDescent="0.2">
      <c r="A133" s="3"/>
      <c r="B133" s="6" t="str">
        <f t="shared" si="2"/>
        <v xml:space="preserve"> </v>
      </c>
      <c r="C133" s="20" t="s">
        <v>174</v>
      </c>
    </row>
    <row r="134" spans="1:3" ht="18" customHeight="1" x14ac:dyDescent="0.2">
      <c r="A134" s="3"/>
      <c r="B134" s="6" t="str">
        <f t="shared" si="2"/>
        <v xml:space="preserve"> </v>
      </c>
      <c r="C134" s="20" t="s">
        <v>174</v>
      </c>
    </row>
    <row r="135" spans="1:3" ht="18" customHeight="1" x14ac:dyDescent="0.2">
      <c r="A135" s="3"/>
      <c r="B135" s="6" t="str">
        <f t="shared" si="2"/>
        <v xml:space="preserve"> </v>
      </c>
      <c r="C135" s="20" t="s">
        <v>174</v>
      </c>
    </row>
    <row r="136" spans="1:3" ht="18" customHeight="1" x14ac:dyDescent="0.2">
      <c r="A136" s="3"/>
      <c r="B136" s="6" t="str">
        <f t="shared" si="2"/>
        <v xml:space="preserve"> </v>
      </c>
      <c r="C136" s="20" t="s">
        <v>174</v>
      </c>
    </row>
    <row r="137" spans="1:3" ht="18" customHeight="1" x14ac:dyDescent="0.2">
      <c r="A137" s="3"/>
      <c r="B137" s="6" t="str">
        <f t="shared" si="2"/>
        <v xml:space="preserve"> </v>
      </c>
      <c r="C137" s="20" t="s">
        <v>174</v>
      </c>
    </row>
    <row r="138" spans="1:3" ht="18" customHeight="1" x14ac:dyDescent="0.2">
      <c r="A138" s="3"/>
      <c r="B138" s="6" t="str">
        <f t="shared" si="2"/>
        <v xml:space="preserve"> </v>
      </c>
      <c r="C138" s="20" t="s">
        <v>174</v>
      </c>
    </row>
    <row r="139" spans="1:3" ht="18" customHeight="1" x14ac:dyDescent="0.2">
      <c r="A139" s="3"/>
      <c r="B139" s="6" t="str">
        <f t="shared" si="2"/>
        <v xml:space="preserve"> </v>
      </c>
      <c r="C139" s="20" t="s">
        <v>174</v>
      </c>
    </row>
    <row r="140" spans="1:3" ht="18" customHeight="1" x14ac:dyDescent="0.2">
      <c r="A140" s="3"/>
      <c r="B140" s="6" t="str">
        <f t="shared" si="2"/>
        <v xml:space="preserve"> </v>
      </c>
      <c r="C140" s="20" t="s">
        <v>174</v>
      </c>
    </row>
    <row r="141" spans="1:3" ht="18" customHeight="1" x14ac:dyDescent="0.2">
      <c r="A141" s="3"/>
      <c r="B141" s="6" t="str">
        <f t="shared" si="2"/>
        <v xml:space="preserve"> </v>
      </c>
      <c r="C141" s="20" t="s">
        <v>174</v>
      </c>
    </row>
    <row r="142" spans="1:3" ht="18" customHeight="1" x14ac:dyDescent="0.2">
      <c r="A142" s="3"/>
      <c r="B142" s="6" t="str">
        <f t="shared" si="2"/>
        <v xml:space="preserve"> </v>
      </c>
      <c r="C142" s="20" t="s">
        <v>174</v>
      </c>
    </row>
    <row r="143" spans="1:3" ht="18" customHeight="1" x14ac:dyDescent="0.2">
      <c r="A143" s="3"/>
      <c r="B143" s="6" t="str">
        <f t="shared" si="2"/>
        <v xml:space="preserve"> </v>
      </c>
      <c r="C143" s="20" t="s">
        <v>174</v>
      </c>
    </row>
    <row r="144" spans="1:3" ht="18" customHeight="1" x14ac:dyDescent="0.2">
      <c r="A144" s="3"/>
      <c r="B144" s="6" t="str">
        <f t="shared" si="2"/>
        <v xml:space="preserve"> </v>
      </c>
      <c r="C144" s="20" t="s">
        <v>174</v>
      </c>
    </row>
    <row r="145" spans="1:3" ht="18" customHeight="1" x14ac:dyDescent="0.2">
      <c r="A145" s="3"/>
      <c r="B145" s="6" t="str">
        <f t="shared" si="2"/>
        <v xml:space="preserve"> </v>
      </c>
      <c r="C145" s="20" t="s">
        <v>174</v>
      </c>
    </row>
    <row r="146" spans="1:3" ht="18" customHeight="1" x14ac:dyDescent="0.2">
      <c r="A146" s="3"/>
      <c r="B146" s="6" t="str">
        <f t="shared" si="2"/>
        <v xml:space="preserve"> </v>
      </c>
      <c r="C146" s="20" t="s">
        <v>174</v>
      </c>
    </row>
    <row r="147" spans="1:3" ht="18" customHeight="1" x14ac:dyDescent="0.2">
      <c r="A147" s="3"/>
      <c r="B147" s="6" t="str">
        <f t="shared" si="2"/>
        <v xml:space="preserve"> </v>
      </c>
      <c r="C147" s="20" t="s">
        <v>174</v>
      </c>
    </row>
    <row r="148" spans="1:3" ht="18" customHeight="1" x14ac:dyDescent="0.2">
      <c r="A148" s="3"/>
      <c r="B148" s="6" t="str">
        <f t="shared" si="2"/>
        <v xml:space="preserve"> </v>
      </c>
      <c r="C148" s="20" t="s">
        <v>174</v>
      </c>
    </row>
    <row r="149" spans="1:3" ht="18" customHeight="1" x14ac:dyDescent="0.2">
      <c r="A149" s="3"/>
      <c r="B149" s="6" t="str">
        <f t="shared" si="2"/>
        <v xml:space="preserve"> </v>
      </c>
      <c r="C149" s="20" t="s">
        <v>174</v>
      </c>
    </row>
    <row r="150" spans="1:3" ht="18" customHeight="1" x14ac:dyDescent="0.2">
      <c r="A150" s="3"/>
      <c r="B150" s="6" t="str">
        <f t="shared" si="2"/>
        <v xml:space="preserve"> </v>
      </c>
      <c r="C150" s="20" t="s">
        <v>174</v>
      </c>
    </row>
    <row r="151" spans="1:3" ht="18" customHeight="1" x14ac:dyDescent="0.2">
      <c r="A151" s="3"/>
      <c r="B151" s="6" t="str">
        <f t="shared" si="2"/>
        <v xml:space="preserve"> </v>
      </c>
      <c r="C151" s="20" t="s">
        <v>174</v>
      </c>
    </row>
    <row r="152" spans="1:3" ht="18" customHeight="1" x14ac:dyDescent="0.2">
      <c r="A152" s="3"/>
      <c r="B152" s="6" t="str">
        <f t="shared" si="2"/>
        <v xml:space="preserve"> </v>
      </c>
      <c r="C152" s="20" t="s">
        <v>174</v>
      </c>
    </row>
    <row r="153" spans="1:3" ht="18" customHeight="1" x14ac:dyDescent="0.2">
      <c r="A153" s="3"/>
      <c r="B153" s="6" t="str">
        <f t="shared" si="2"/>
        <v xml:space="preserve"> </v>
      </c>
      <c r="C153" s="20" t="s">
        <v>174</v>
      </c>
    </row>
    <row r="154" spans="1:3" ht="18" customHeight="1" x14ac:dyDescent="0.2">
      <c r="A154" s="3"/>
      <c r="B154" s="6" t="str">
        <f t="shared" si="2"/>
        <v xml:space="preserve"> </v>
      </c>
      <c r="C154" s="20" t="s">
        <v>174</v>
      </c>
    </row>
    <row r="155" spans="1:3" ht="18" customHeight="1" x14ac:dyDescent="0.2">
      <c r="A155" s="3"/>
      <c r="B155" s="6" t="str">
        <f t="shared" si="2"/>
        <v xml:space="preserve"> </v>
      </c>
      <c r="C155" s="20" t="s">
        <v>174</v>
      </c>
    </row>
    <row r="156" spans="1:3" ht="18" customHeight="1" x14ac:dyDescent="0.2">
      <c r="A156" s="3"/>
      <c r="B156" s="6" t="str">
        <f t="shared" si="2"/>
        <v xml:space="preserve"> </v>
      </c>
      <c r="C156" s="20" t="s">
        <v>174</v>
      </c>
    </row>
    <row r="157" spans="1:3" ht="18" customHeight="1" x14ac:dyDescent="0.2">
      <c r="A157" s="3"/>
      <c r="B157" s="6" t="str">
        <f t="shared" si="2"/>
        <v xml:space="preserve"> </v>
      </c>
      <c r="C157" s="20" t="s">
        <v>174</v>
      </c>
    </row>
    <row r="158" spans="1:3" ht="18" customHeight="1" x14ac:dyDescent="0.2">
      <c r="A158" s="3"/>
      <c r="B158" s="6" t="str">
        <f t="shared" si="2"/>
        <v xml:space="preserve"> </v>
      </c>
      <c r="C158" s="20" t="s">
        <v>174</v>
      </c>
    </row>
    <row r="159" spans="1:3" ht="18" customHeight="1" x14ac:dyDescent="0.2">
      <c r="A159" s="3"/>
      <c r="B159" s="6" t="str">
        <f t="shared" si="2"/>
        <v xml:space="preserve"> </v>
      </c>
      <c r="C159" s="20" t="s">
        <v>174</v>
      </c>
    </row>
    <row r="160" spans="1:3" ht="18" customHeight="1" x14ac:dyDescent="0.2">
      <c r="A160" s="3"/>
      <c r="B160" s="6" t="str">
        <f t="shared" si="2"/>
        <v xml:space="preserve"> </v>
      </c>
      <c r="C160" s="20" t="s">
        <v>174</v>
      </c>
    </row>
    <row r="161" spans="1:3" ht="18" customHeight="1" x14ac:dyDescent="0.2">
      <c r="A161" s="3"/>
      <c r="B161" s="6" t="str">
        <f t="shared" si="2"/>
        <v xml:space="preserve"> </v>
      </c>
      <c r="C161" s="20" t="s">
        <v>174</v>
      </c>
    </row>
    <row r="162" spans="1:3" ht="18" customHeight="1" x14ac:dyDescent="0.2">
      <c r="A162" s="3"/>
      <c r="B162" s="6" t="str">
        <f t="shared" si="2"/>
        <v xml:space="preserve"> </v>
      </c>
      <c r="C162" s="20" t="s">
        <v>174</v>
      </c>
    </row>
    <row r="163" spans="1:3" ht="18" customHeight="1" x14ac:dyDescent="0.2">
      <c r="A163" s="3"/>
      <c r="B163" s="6" t="str">
        <f t="shared" si="2"/>
        <v xml:space="preserve"> </v>
      </c>
      <c r="C163" s="20" t="s">
        <v>174</v>
      </c>
    </row>
    <row r="164" spans="1:3" ht="18" customHeight="1" x14ac:dyDescent="0.2">
      <c r="A164" s="3"/>
      <c r="B164" s="6" t="str">
        <f t="shared" si="2"/>
        <v xml:space="preserve"> </v>
      </c>
      <c r="C164" s="20" t="s">
        <v>174</v>
      </c>
    </row>
    <row r="165" spans="1:3" ht="18" customHeight="1" x14ac:dyDescent="0.2">
      <c r="A165" s="3"/>
      <c r="B165" s="6" t="str">
        <f t="shared" si="2"/>
        <v xml:space="preserve"> </v>
      </c>
      <c r="C165" s="20" t="s">
        <v>174</v>
      </c>
    </row>
    <row r="166" spans="1:3" ht="18" customHeight="1" x14ac:dyDescent="0.2">
      <c r="A166" s="3"/>
      <c r="B166" s="6" t="str">
        <f t="shared" si="2"/>
        <v xml:space="preserve"> </v>
      </c>
      <c r="C166" s="20" t="s">
        <v>174</v>
      </c>
    </row>
    <row r="167" spans="1:3" ht="18" customHeight="1" x14ac:dyDescent="0.2">
      <c r="A167" s="3"/>
      <c r="B167" s="6" t="str">
        <f t="shared" si="2"/>
        <v xml:space="preserve"> </v>
      </c>
      <c r="C167" s="20" t="s">
        <v>174</v>
      </c>
    </row>
    <row r="168" spans="1:3" ht="18" customHeight="1" x14ac:dyDescent="0.2">
      <c r="A168" s="3"/>
      <c r="B168" s="6" t="str">
        <f t="shared" si="2"/>
        <v xml:space="preserve"> </v>
      </c>
      <c r="C168" s="20" t="s">
        <v>174</v>
      </c>
    </row>
    <row r="169" spans="1:3" ht="18" customHeight="1" x14ac:dyDescent="0.2">
      <c r="A169" s="3"/>
      <c r="B169" s="6" t="str">
        <f t="shared" si="2"/>
        <v xml:space="preserve"> </v>
      </c>
      <c r="C169" s="20" t="s">
        <v>174</v>
      </c>
    </row>
    <row r="170" spans="1:3" ht="18" customHeight="1" x14ac:dyDescent="0.2">
      <c r="A170" s="3"/>
      <c r="B170" s="6" t="str">
        <f t="shared" si="2"/>
        <v xml:space="preserve"> </v>
      </c>
      <c r="C170" s="20" t="s">
        <v>174</v>
      </c>
    </row>
    <row r="171" spans="1:3" ht="18" customHeight="1" x14ac:dyDescent="0.2">
      <c r="A171" s="3"/>
      <c r="B171" s="6" t="str">
        <f t="shared" si="2"/>
        <v xml:space="preserve"> </v>
      </c>
      <c r="C171" s="20" t="s">
        <v>174</v>
      </c>
    </row>
    <row r="172" spans="1:3" ht="18" customHeight="1" x14ac:dyDescent="0.2">
      <c r="A172" s="3"/>
      <c r="B172" s="6" t="str">
        <f t="shared" si="2"/>
        <v xml:space="preserve"> </v>
      </c>
      <c r="C172" s="20" t="s">
        <v>174</v>
      </c>
    </row>
    <row r="173" spans="1:3" ht="18" customHeight="1" x14ac:dyDescent="0.2">
      <c r="A173" s="3"/>
      <c r="B173" s="6" t="str">
        <f t="shared" si="2"/>
        <v xml:space="preserve"> </v>
      </c>
      <c r="C173" s="20" t="s">
        <v>174</v>
      </c>
    </row>
    <row r="174" spans="1:3" ht="18" customHeight="1" x14ac:dyDescent="0.2">
      <c r="A174" s="3"/>
      <c r="B174" s="6" t="str">
        <f t="shared" si="2"/>
        <v xml:space="preserve"> </v>
      </c>
      <c r="C174" s="20" t="s">
        <v>174</v>
      </c>
    </row>
    <row r="175" spans="1:3" ht="18" customHeight="1" x14ac:dyDescent="0.2">
      <c r="A175" s="3"/>
      <c r="B175" s="6" t="str">
        <f t="shared" si="2"/>
        <v xml:space="preserve"> </v>
      </c>
      <c r="C175" s="20" t="s">
        <v>174</v>
      </c>
    </row>
    <row r="176" spans="1:3" ht="18" customHeight="1" x14ac:dyDescent="0.2">
      <c r="A176" s="3"/>
      <c r="B176" s="6" t="str">
        <f t="shared" si="2"/>
        <v xml:space="preserve"> </v>
      </c>
      <c r="C176" s="20" t="s">
        <v>174</v>
      </c>
    </row>
    <row r="177" spans="1:3" ht="18" customHeight="1" x14ac:dyDescent="0.2">
      <c r="A177" s="3"/>
      <c r="B177" s="6" t="str">
        <f t="shared" si="2"/>
        <v xml:space="preserve"> </v>
      </c>
      <c r="C177" s="20" t="s">
        <v>174</v>
      </c>
    </row>
    <row r="178" spans="1:3" ht="18" customHeight="1" x14ac:dyDescent="0.2">
      <c r="A178" s="3"/>
      <c r="B178" s="6" t="str">
        <f t="shared" si="2"/>
        <v xml:space="preserve"> </v>
      </c>
      <c r="C178" s="20" t="s">
        <v>174</v>
      </c>
    </row>
    <row r="179" spans="1:3" ht="18" customHeight="1" x14ac:dyDescent="0.2">
      <c r="A179" s="3"/>
      <c r="B179" s="6" t="str">
        <f t="shared" si="2"/>
        <v xml:space="preserve"> </v>
      </c>
      <c r="C179" s="20" t="s">
        <v>174</v>
      </c>
    </row>
    <row r="180" spans="1:3" ht="18" customHeight="1" x14ac:dyDescent="0.2">
      <c r="A180" s="3"/>
      <c r="B180" s="6" t="str">
        <f t="shared" si="2"/>
        <v xml:space="preserve"> </v>
      </c>
      <c r="C180" s="20" t="s">
        <v>174</v>
      </c>
    </row>
    <row r="181" spans="1:3" ht="18" customHeight="1" x14ac:dyDescent="0.2">
      <c r="A181" s="3"/>
      <c r="B181" s="6" t="str">
        <f t="shared" si="2"/>
        <v xml:space="preserve"> </v>
      </c>
      <c r="C181" s="20" t="s">
        <v>174</v>
      </c>
    </row>
    <row r="182" spans="1:3" ht="18" customHeight="1" x14ac:dyDescent="0.2">
      <c r="A182" s="3"/>
      <c r="B182" s="6" t="str">
        <f t="shared" si="2"/>
        <v xml:space="preserve"> </v>
      </c>
      <c r="C182" s="20" t="s">
        <v>174</v>
      </c>
    </row>
    <row r="183" spans="1:3" ht="18" customHeight="1" x14ac:dyDescent="0.2">
      <c r="A183" s="3"/>
      <c r="B183" s="6" t="str">
        <f t="shared" si="2"/>
        <v xml:space="preserve"> </v>
      </c>
      <c r="C183" s="20" t="s">
        <v>174</v>
      </c>
    </row>
    <row r="184" spans="1:3" ht="18" customHeight="1" x14ac:dyDescent="0.2">
      <c r="A184" s="3"/>
      <c r="B184" s="6" t="str">
        <f t="shared" si="2"/>
        <v xml:space="preserve"> </v>
      </c>
      <c r="C184" s="20" t="s">
        <v>174</v>
      </c>
    </row>
    <row r="185" spans="1:3" ht="18" customHeight="1" x14ac:dyDescent="0.2">
      <c r="A185" s="3"/>
      <c r="B185" s="6" t="str">
        <f t="shared" si="2"/>
        <v xml:space="preserve"> </v>
      </c>
      <c r="C185" s="20" t="s">
        <v>174</v>
      </c>
    </row>
    <row r="186" spans="1:3" ht="18" customHeight="1" x14ac:dyDescent="0.2">
      <c r="A186" s="3"/>
      <c r="B186" s="6" t="str">
        <f t="shared" si="2"/>
        <v xml:space="preserve"> </v>
      </c>
      <c r="C186" s="20" t="s">
        <v>174</v>
      </c>
    </row>
    <row r="187" spans="1:3" ht="18" customHeight="1" x14ac:dyDescent="0.2">
      <c r="A187" s="3"/>
      <c r="B187" s="6" t="str">
        <f t="shared" si="2"/>
        <v xml:space="preserve"> </v>
      </c>
      <c r="C187" s="20" t="s">
        <v>174</v>
      </c>
    </row>
    <row r="188" spans="1:3" ht="18" customHeight="1" x14ac:dyDescent="0.2">
      <c r="A188" s="3"/>
      <c r="B188" s="6" t="str">
        <f t="shared" si="2"/>
        <v xml:space="preserve"> </v>
      </c>
      <c r="C188" s="20" t="s">
        <v>174</v>
      </c>
    </row>
    <row r="189" spans="1:3" ht="18" customHeight="1" x14ac:dyDescent="0.2">
      <c r="A189" s="3"/>
      <c r="B189" s="6" t="str">
        <f t="shared" si="2"/>
        <v xml:space="preserve"> </v>
      </c>
      <c r="C189" s="20" t="s">
        <v>174</v>
      </c>
    </row>
    <row r="190" spans="1:3" ht="18" customHeight="1" x14ac:dyDescent="0.2">
      <c r="A190" s="3"/>
      <c r="B190" s="6" t="str">
        <f t="shared" si="2"/>
        <v xml:space="preserve"> </v>
      </c>
      <c r="C190" s="20" t="s">
        <v>174</v>
      </c>
    </row>
    <row r="191" spans="1:3" ht="18" customHeight="1" x14ac:dyDescent="0.2">
      <c r="A191" s="3"/>
      <c r="B191" s="6" t="str">
        <f t="shared" si="2"/>
        <v xml:space="preserve"> </v>
      </c>
      <c r="C191" s="20" t="s">
        <v>174</v>
      </c>
    </row>
    <row r="192" spans="1:3" ht="18" customHeight="1" x14ac:dyDescent="0.2">
      <c r="A192" s="3"/>
      <c r="B192" s="6" t="str">
        <f t="shared" si="2"/>
        <v xml:space="preserve"> </v>
      </c>
      <c r="C192" s="20" t="s">
        <v>174</v>
      </c>
    </row>
    <row r="193" spans="1:3" ht="18" customHeight="1" x14ac:dyDescent="0.2">
      <c r="A193" s="3"/>
      <c r="B193" s="6" t="str">
        <f t="shared" si="2"/>
        <v xml:space="preserve"> </v>
      </c>
      <c r="C193" s="20" t="s">
        <v>174</v>
      </c>
    </row>
    <row r="194" spans="1:3" ht="18" customHeight="1" x14ac:dyDescent="0.2">
      <c r="A194" s="3"/>
      <c r="B194" s="6" t="str">
        <f t="shared" si="2"/>
        <v xml:space="preserve"> </v>
      </c>
      <c r="C194" s="20" t="s">
        <v>174</v>
      </c>
    </row>
    <row r="195" spans="1:3" ht="18" customHeight="1" x14ac:dyDescent="0.2">
      <c r="A195" s="3"/>
      <c r="B195" s="6" t="str">
        <f t="shared" ref="B195:B258" si="3">IF(ISBLANK(A195)=TRUE,B194,B194&amp;","&amp;A195)</f>
        <v xml:space="preserve"> </v>
      </c>
      <c r="C195" s="20" t="s">
        <v>174</v>
      </c>
    </row>
    <row r="196" spans="1:3" ht="18" customHeight="1" x14ac:dyDescent="0.2">
      <c r="A196" s="3"/>
      <c r="B196" s="6" t="str">
        <f t="shared" si="3"/>
        <v xml:space="preserve"> </v>
      </c>
      <c r="C196" s="20" t="s">
        <v>174</v>
      </c>
    </row>
    <row r="197" spans="1:3" ht="18" customHeight="1" x14ac:dyDescent="0.2">
      <c r="A197" s="3"/>
      <c r="B197" s="6" t="str">
        <f t="shared" si="3"/>
        <v xml:space="preserve"> </v>
      </c>
      <c r="C197" s="20" t="s">
        <v>174</v>
      </c>
    </row>
    <row r="198" spans="1:3" ht="18" customHeight="1" x14ac:dyDescent="0.2">
      <c r="A198" s="3"/>
      <c r="B198" s="6" t="str">
        <f t="shared" si="3"/>
        <v xml:space="preserve"> </v>
      </c>
      <c r="C198" s="20" t="s">
        <v>174</v>
      </c>
    </row>
    <row r="199" spans="1:3" ht="18" customHeight="1" x14ac:dyDescent="0.2">
      <c r="A199" s="3"/>
      <c r="B199" s="6" t="str">
        <f t="shared" si="3"/>
        <v xml:space="preserve"> </v>
      </c>
      <c r="C199" s="20" t="s">
        <v>174</v>
      </c>
    </row>
    <row r="200" spans="1:3" ht="18" customHeight="1" x14ac:dyDescent="0.2">
      <c r="A200" s="3"/>
      <c r="B200" s="6" t="str">
        <f t="shared" si="3"/>
        <v xml:space="preserve"> </v>
      </c>
      <c r="C200" s="20" t="s">
        <v>174</v>
      </c>
    </row>
    <row r="201" spans="1:3" ht="18" customHeight="1" x14ac:dyDescent="0.2">
      <c r="A201" s="3"/>
      <c r="B201" s="6" t="str">
        <f t="shared" si="3"/>
        <v xml:space="preserve"> </v>
      </c>
      <c r="C201" s="20" t="s">
        <v>174</v>
      </c>
    </row>
    <row r="202" spans="1:3" ht="18" customHeight="1" x14ac:dyDescent="0.2">
      <c r="A202" s="3"/>
      <c r="B202" s="6" t="str">
        <f t="shared" si="3"/>
        <v xml:space="preserve"> </v>
      </c>
      <c r="C202" s="20" t="s">
        <v>174</v>
      </c>
    </row>
    <row r="203" spans="1:3" ht="18" customHeight="1" x14ac:dyDescent="0.2">
      <c r="A203" s="3"/>
      <c r="B203" s="6" t="str">
        <f t="shared" si="3"/>
        <v xml:space="preserve"> </v>
      </c>
      <c r="C203" s="20" t="s">
        <v>174</v>
      </c>
    </row>
    <row r="204" spans="1:3" ht="18" customHeight="1" x14ac:dyDescent="0.2">
      <c r="A204" s="3"/>
      <c r="B204" s="6" t="str">
        <f t="shared" si="3"/>
        <v xml:space="preserve"> </v>
      </c>
      <c r="C204" s="20" t="s">
        <v>174</v>
      </c>
    </row>
    <row r="205" spans="1:3" ht="18" customHeight="1" x14ac:dyDescent="0.2">
      <c r="A205" s="3"/>
      <c r="B205" s="6" t="str">
        <f t="shared" si="3"/>
        <v xml:space="preserve"> </v>
      </c>
      <c r="C205" s="20" t="s">
        <v>174</v>
      </c>
    </row>
    <row r="206" spans="1:3" ht="18" customHeight="1" x14ac:dyDescent="0.2">
      <c r="A206" s="3"/>
      <c r="B206" s="6" t="str">
        <f t="shared" si="3"/>
        <v xml:space="preserve"> </v>
      </c>
      <c r="C206" s="20" t="s">
        <v>174</v>
      </c>
    </row>
    <row r="207" spans="1:3" ht="18" customHeight="1" x14ac:dyDescent="0.2">
      <c r="A207" s="3"/>
      <c r="B207" s="6" t="str">
        <f t="shared" si="3"/>
        <v xml:space="preserve"> </v>
      </c>
      <c r="C207" s="20" t="s">
        <v>174</v>
      </c>
    </row>
    <row r="208" spans="1:3" ht="18" customHeight="1" x14ac:dyDescent="0.2">
      <c r="A208" s="3"/>
      <c r="B208" s="6" t="str">
        <f t="shared" si="3"/>
        <v xml:space="preserve"> </v>
      </c>
      <c r="C208" s="20" t="s">
        <v>174</v>
      </c>
    </row>
    <row r="209" spans="1:3" ht="18" customHeight="1" x14ac:dyDescent="0.2">
      <c r="A209" s="3"/>
      <c r="B209" s="6" t="str">
        <f t="shared" si="3"/>
        <v xml:space="preserve"> </v>
      </c>
      <c r="C209" s="20" t="s">
        <v>174</v>
      </c>
    </row>
    <row r="210" spans="1:3" ht="18" customHeight="1" x14ac:dyDescent="0.2">
      <c r="A210" s="3"/>
      <c r="B210" s="6" t="str">
        <f t="shared" si="3"/>
        <v xml:space="preserve"> </v>
      </c>
      <c r="C210" s="20" t="s">
        <v>174</v>
      </c>
    </row>
    <row r="211" spans="1:3" ht="18" customHeight="1" x14ac:dyDescent="0.2">
      <c r="A211" s="3"/>
      <c r="B211" s="6" t="str">
        <f t="shared" si="3"/>
        <v xml:space="preserve"> </v>
      </c>
      <c r="C211" s="20" t="s">
        <v>174</v>
      </c>
    </row>
    <row r="212" spans="1:3" ht="18" customHeight="1" x14ac:dyDescent="0.2">
      <c r="A212" s="3"/>
      <c r="B212" s="6" t="str">
        <f t="shared" si="3"/>
        <v xml:space="preserve"> </v>
      </c>
      <c r="C212" s="20" t="s">
        <v>174</v>
      </c>
    </row>
    <row r="213" spans="1:3" ht="18" customHeight="1" x14ac:dyDescent="0.2">
      <c r="A213" s="3"/>
      <c r="B213" s="6" t="str">
        <f t="shared" si="3"/>
        <v xml:space="preserve"> </v>
      </c>
      <c r="C213" s="20" t="s">
        <v>174</v>
      </c>
    </row>
    <row r="214" spans="1:3" ht="18" customHeight="1" x14ac:dyDescent="0.2">
      <c r="A214" s="3"/>
      <c r="B214" s="6" t="str">
        <f t="shared" si="3"/>
        <v xml:space="preserve"> </v>
      </c>
      <c r="C214" s="20" t="s">
        <v>174</v>
      </c>
    </row>
    <row r="215" spans="1:3" ht="18" customHeight="1" x14ac:dyDescent="0.2">
      <c r="A215" s="3"/>
      <c r="B215" s="6" t="str">
        <f t="shared" si="3"/>
        <v xml:space="preserve"> </v>
      </c>
      <c r="C215" s="20" t="s">
        <v>174</v>
      </c>
    </row>
    <row r="216" spans="1:3" ht="18" customHeight="1" x14ac:dyDescent="0.2">
      <c r="A216" s="3"/>
      <c r="B216" s="6" t="str">
        <f t="shared" si="3"/>
        <v xml:space="preserve"> </v>
      </c>
      <c r="C216" s="20" t="s">
        <v>174</v>
      </c>
    </row>
    <row r="217" spans="1:3" ht="18" customHeight="1" x14ac:dyDescent="0.2">
      <c r="A217" s="3"/>
      <c r="B217" s="6" t="str">
        <f t="shared" si="3"/>
        <v xml:space="preserve"> </v>
      </c>
      <c r="C217" s="20" t="s">
        <v>174</v>
      </c>
    </row>
    <row r="218" spans="1:3" ht="18" customHeight="1" x14ac:dyDescent="0.2">
      <c r="A218" s="3"/>
      <c r="B218" s="6" t="str">
        <f t="shared" si="3"/>
        <v xml:space="preserve"> </v>
      </c>
      <c r="C218" s="20" t="s">
        <v>174</v>
      </c>
    </row>
    <row r="219" spans="1:3" ht="18" customHeight="1" x14ac:dyDescent="0.2">
      <c r="A219" s="3"/>
      <c r="B219" s="6" t="str">
        <f t="shared" si="3"/>
        <v xml:space="preserve"> </v>
      </c>
      <c r="C219" s="20" t="s">
        <v>174</v>
      </c>
    </row>
    <row r="220" spans="1:3" ht="18" customHeight="1" x14ac:dyDescent="0.2">
      <c r="A220" s="3"/>
      <c r="B220" s="6" t="str">
        <f t="shared" si="3"/>
        <v xml:space="preserve"> </v>
      </c>
      <c r="C220" s="20" t="s">
        <v>174</v>
      </c>
    </row>
    <row r="221" spans="1:3" ht="18" customHeight="1" x14ac:dyDescent="0.2">
      <c r="A221" s="3"/>
      <c r="B221" s="6" t="str">
        <f t="shared" si="3"/>
        <v xml:space="preserve"> </v>
      </c>
      <c r="C221" s="20" t="s">
        <v>174</v>
      </c>
    </row>
    <row r="222" spans="1:3" ht="18" customHeight="1" x14ac:dyDescent="0.2">
      <c r="A222" s="3"/>
      <c r="B222" s="6" t="str">
        <f t="shared" si="3"/>
        <v xml:space="preserve"> </v>
      </c>
      <c r="C222" s="20" t="s">
        <v>174</v>
      </c>
    </row>
    <row r="223" spans="1:3" ht="18" customHeight="1" x14ac:dyDescent="0.2">
      <c r="A223" s="3"/>
      <c r="B223" s="6" t="str">
        <f t="shared" si="3"/>
        <v xml:space="preserve"> </v>
      </c>
      <c r="C223" s="20" t="s">
        <v>174</v>
      </c>
    </row>
    <row r="224" spans="1:3" ht="18" customHeight="1" x14ac:dyDescent="0.2">
      <c r="A224" s="3"/>
      <c r="B224" s="6" t="str">
        <f t="shared" si="3"/>
        <v xml:space="preserve"> </v>
      </c>
      <c r="C224" s="20" t="s">
        <v>174</v>
      </c>
    </row>
    <row r="225" spans="1:3" ht="18" customHeight="1" x14ac:dyDescent="0.2">
      <c r="A225" s="3"/>
      <c r="B225" s="6" t="str">
        <f t="shared" si="3"/>
        <v xml:space="preserve"> </v>
      </c>
      <c r="C225" s="20" t="s">
        <v>174</v>
      </c>
    </row>
    <row r="226" spans="1:3" ht="18" customHeight="1" x14ac:dyDescent="0.2">
      <c r="A226" s="3"/>
      <c r="B226" s="6" t="str">
        <f t="shared" si="3"/>
        <v xml:space="preserve"> </v>
      </c>
      <c r="C226" s="20" t="s">
        <v>174</v>
      </c>
    </row>
    <row r="227" spans="1:3" ht="18" customHeight="1" x14ac:dyDescent="0.2">
      <c r="A227" s="3"/>
      <c r="B227" s="6" t="str">
        <f t="shared" si="3"/>
        <v xml:space="preserve"> </v>
      </c>
      <c r="C227" s="20" t="s">
        <v>174</v>
      </c>
    </row>
    <row r="228" spans="1:3" ht="18" customHeight="1" x14ac:dyDescent="0.2">
      <c r="A228" s="3"/>
      <c r="B228" s="6" t="str">
        <f t="shared" si="3"/>
        <v xml:space="preserve"> </v>
      </c>
      <c r="C228" s="20" t="s">
        <v>174</v>
      </c>
    </row>
    <row r="229" spans="1:3" ht="18" customHeight="1" x14ac:dyDescent="0.2">
      <c r="A229" s="3"/>
      <c r="B229" s="6" t="str">
        <f t="shared" si="3"/>
        <v xml:space="preserve"> </v>
      </c>
      <c r="C229" s="20" t="s">
        <v>174</v>
      </c>
    </row>
    <row r="230" spans="1:3" ht="18" customHeight="1" x14ac:dyDescent="0.2">
      <c r="A230" s="3"/>
      <c r="B230" s="6" t="str">
        <f t="shared" si="3"/>
        <v xml:space="preserve"> </v>
      </c>
      <c r="C230" s="20" t="s">
        <v>174</v>
      </c>
    </row>
    <row r="231" spans="1:3" ht="18" customHeight="1" x14ac:dyDescent="0.2">
      <c r="A231" s="3"/>
      <c r="B231" s="6" t="str">
        <f t="shared" si="3"/>
        <v xml:space="preserve"> </v>
      </c>
      <c r="C231" s="20" t="s">
        <v>174</v>
      </c>
    </row>
    <row r="232" spans="1:3" ht="18" customHeight="1" x14ac:dyDescent="0.2">
      <c r="A232" s="3"/>
      <c r="B232" s="6" t="str">
        <f t="shared" si="3"/>
        <v xml:space="preserve"> </v>
      </c>
      <c r="C232" s="20" t="s">
        <v>174</v>
      </c>
    </row>
    <row r="233" spans="1:3" ht="18" customHeight="1" x14ac:dyDescent="0.2">
      <c r="A233" s="3"/>
      <c r="B233" s="6" t="str">
        <f t="shared" si="3"/>
        <v xml:space="preserve"> </v>
      </c>
      <c r="C233" s="20" t="s">
        <v>174</v>
      </c>
    </row>
    <row r="234" spans="1:3" ht="18" customHeight="1" x14ac:dyDescent="0.2">
      <c r="A234" s="3"/>
      <c r="B234" s="6" t="str">
        <f t="shared" si="3"/>
        <v xml:space="preserve"> </v>
      </c>
      <c r="C234" s="20" t="s">
        <v>174</v>
      </c>
    </row>
    <row r="235" spans="1:3" ht="18" customHeight="1" x14ac:dyDescent="0.2">
      <c r="A235" s="3"/>
      <c r="B235" s="6" t="str">
        <f t="shared" si="3"/>
        <v xml:space="preserve"> </v>
      </c>
      <c r="C235" s="20" t="s">
        <v>174</v>
      </c>
    </row>
    <row r="236" spans="1:3" ht="18" customHeight="1" x14ac:dyDescent="0.2">
      <c r="A236" s="3"/>
      <c r="B236" s="6" t="str">
        <f t="shared" si="3"/>
        <v xml:space="preserve"> </v>
      </c>
      <c r="C236" s="20" t="s">
        <v>174</v>
      </c>
    </row>
    <row r="237" spans="1:3" ht="18" customHeight="1" x14ac:dyDescent="0.2">
      <c r="A237" s="3"/>
      <c r="B237" s="6" t="str">
        <f t="shared" si="3"/>
        <v xml:space="preserve"> </v>
      </c>
      <c r="C237" s="20" t="s">
        <v>174</v>
      </c>
    </row>
    <row r="238" spans="1:3" ht="18" customHeight="1" x14ac:dyDescent="0.2">
      <c r="A238" s="3"/>
      <c r="B238" s="6" t="str">
        <f t="shared" si="3"/>
        <v xml:space="preserve"> </v>
      </c>
      <c r="C238" s="20" t="s">
        <v>174</v>
      </c>
    </row>
    <row r="239" spans="1:3" ht="18" customHeight="1" x14ac:dyDescent="0.2">
      <c r="A239" s="3"/>
      <c r="B239" s="6" t="str">
        <f t="shared" si="3"/>
        <v xml:space="preserve"> </v>
      </c>
      <c r="C239" s="20" t="s">
        <v>174</v>
      </c>
    </row>
    <row r="240" spans="1:3" ht="18" customHeight="1" x14ac:dyDescent="0.2">
      <c r="A240" s="3"/>
      <c r="B240" s="6" t="str">
        <f t="shared" si="3"/>
        <v xml:space="preserve"> </v>
      </c>
      <c r="C240" s="20" t="s">
        <v>174</v>
      </c>
    </row>
    <row r="241" spans="1:3" ht="18" customHeight="1" x14ac:dyDescent="0.2">
      <c r="A241" s="3"/>
      <c r="B241" s="6" t="str">
        <f t="shared" si="3"/>
        <v xml:space="preserve"> </v>
      </c>
      <c r="C241" s="20" t="s">
        <v>174</v>
      </c>
    </row>
    <row r="242" spans="1:3" ht="18" customHeight="1" x14ac:dyDescent="0.2">
      <c r="A242" s="3"/>
      <c r="B242" s="6" t="str">
        <f t="shared" si="3"/>
        <v xml:space="preserve"> </v>
      </c>
      <c r="C242" s="20" t="s">
        <v>174</v>
      </c>
    </row>
    <row r="243" spans="1:3" ht="18" customHeight="1" x14ac:dyDescent="0.2">
      <c r="A243" s="3"/>
      <c r="B243" s="6" t="str">
        <f t="shared" si="3"/>
        <v xml:space="preserve"> </v>
      </c>
      <c r="C243" s="20" t="s">
        <v>174</v>
      </c>
    </row>
    <row r="244" spans="1:3" ht="18" customHeight="1" x14ac:dyDescent="0.2">
      <c r="A244" s="3"/>
      <c r="B244" s="6" t="str">
        <f t="shared" si="3"/>
        <v xml:space="preserve"> </v>
      </c>
      <c r="C244" s="20" t="s">
        <v>174</v>
      </c>
    </row>
    <row r="245" spans="1:3" ht="18" customHeight="1" x14ac:dyDescent="0.2">
      <c r="A245" s="3"/>
      <c r="B245" s="6" t="str">
        <f t="shared" si="3"/>
        <v xml:space="preserve"> </v>
      </c>
      <c r="C245" s="20" t="s">
        <v>174</v>
      </c>
    </row>
    <row r="246" spans="1:3" ht="18" customHeight="1" x14ac:dyDescent="0.2">
      <c r="A246" s="3"/>
      <c r="B246" s="6" t="str">
        <f t="shared" si="3"/>
        <v xml:space="preserve"> </v>
      </c>
      <c r="C246" s="20" t="s">
        <v>174</v>
      </c>
    </row>
    <row r="247" spans="1:3" ht="18" customHeight="1" x14ac:dyDescent="0.2">
      <c r="A247" s="3"/>
      <c r="B247" s="6" t="str">
        <f t="shared" si="3"/>
        <v xml:space="preserve"> </v>
      </c>
      <c r="C247" s="20" t="s">
        <v>174</v>
      </c>
    </row>
    <row r="248" spans="1:3" ht="18" customHeight="1" x14ac:dyDescent="0.2">
      <c r="A248" s="3"/>
      <c r="B248" s="6" t="str">
        <f t="shared" si="3"/>
        <v xml:space="preserve"> </v>
      </c>
      <c r="C248" s="20" t="s">
        <v>174</v>
      </c>
    </row>
    <row r="249" spans="1:3" ht="18" customHeight="1" x14ac:dyDescent="0.2">
      <c r="A249" s="3"/>
      <c r="B249" s="6" t="str">
        <f t="shared" si="3"/>
        <v xml:space="preserve"> </v>
      </c>
      <c r="C249" s="20" t="s">
        <v>174</v>
      </c>
    </row>
    <row r="250" spans="1:3" ht="18" customHeight="1" x14ac:dyDescent="0.2">
      <c r="A250" s="3"/>
      <c r="B250" s="6" t="str">
        <f t="shared" si="3"/>
        <v xml:space="preserve"> </v>
      </c>
      <c r="C250" s="20" t="s">
        <v>174</v>
      </c>
    </row>
    <row r="251" spans="1:3" ht="18" customHeight="1" x14ac:dyDescent="0.2">
      <c r="A251" s="3"/>
      <c r="B251" s="6" t="str">
        <f t="shared" si="3"/>
        <v xml:space="preserve"> </v>
      </c>
      <c r="C251" s="20" t="s">
        <v>174</v>
      </c>
    </row>
    <row r="252" spans="1:3" ht="18" customHeight="1" x14ac:dyDescent="0.2">
      <c r="A252" s="3"/>
      <c r="B252" s="6" t="str">
        <f t="shared" si="3"/>
        <v xml:space="preserve"> </v>
      </c>
      <c r="C252" s="20" t="s">
        <v>174</v>
      </c>
    </row>
    <row r="253" spans="1:3" ht="18" customHeight="1" x14ac:dyDescent="0.2">
      <c r="A253" s="3"/>
      <c r="B253" s="6" t="str">
        <f t="shared" si="3"/>
        <v xml:space="preserve"> </v>
      </c>
      <c r="C253" s="20" t="s">
        <v>174</v>
      </c>
    </row>
    <row r="254" spans="1:3" ht="18" customHeight="1" x14ac:dyDescent="0.2">
      <c r="A254" s="3"/>
      <c r="B254" s="6" t="str">
        <f t="shared" si="3"/>
        <v xml:space="preserve"> </v>
      </c>
      <c r="C254" s="20" t="s">
        <v>174</v>
      </c>
    </row>
    <row r="255" spans="1:3" ht="18" customHeight="1" x14ac:dyDescent="0.2">
      <c r="A255" s="3"/>
      <c r="B255" s="6" t="str">
        <f t="shared" si="3"/>
        <v xml:space="preserve"> </v>
      </c>
      <c r="C255" s="20" t="s">
        <v>174</v>
      </c>
    </row>
    <row r="256" spans="1:3" ht="18" customHeight="1" x14ac:dyDescent="0.2">
      <c r="A256" s="3"/>
      <c r="B256" s="6" t="str">
        <f t="shared" si="3"/>
        <v xml:space="preserve"> </v>
      </c>
      <c r="C256" s="20" t="s">
        <v>174</v>
      </c>
    </row>
    <row r="257" spans="1:3" ht="18" customHeight="1" x14ac:dyDescent="0.2">
      <c r="A257" s="3"/>
      <c r="B257" s="6" t="str">
        <f t="shared" si="3"/>
        <v xml:space="preserve"> </v>
      </c>
      <c r="C257" s="20" t="s">
        <v>174</v>
      </c>
    </row>
    <row r="258" spans="1:3" ht="18" customHeight="1" x14ac:dyDescent="0.2">
      <c r="A258" s="3"/>
      <c r="B258" s="6" t="str">
        <f t="shared" si="3"/>
        <v xml:space="preserve"> </v>
      </c>
      <c r="C258" s="20" t="s">
        <v>174</v>
      </c>
    </row>
    <row r="259" spans="1:3" ht="18" customHeight="1" x14ac:dyDescent="0.2">
      <c r="A259" s="3"/>
      <c r="B259" s="6" t="str">
        <f t="shared" ref="B259:B322" si="4">IF(ISBLANK(A259)=TRUE,B258,B258&amp;","&amp;A259)</f>
        <v xml:space="preserve"> </v>
      </c>
      <c r="C259" s="20" t="s">
        <v>174</v>
      </c>
    </row>
    <row r="260" spans="1:3" ht="18" customHeight="1" x14ac:dyDescent="0.2">
      <c r="A260" s="3"/>
      <c r="B260" s="6" t="str">
        <f t="shared" si="4"/>
        <v xml:space="preserve"> </v>
      </c>
      <c r="C260" s="20" t="s">
        <v>174</v>
      </c>
    </row>
    <row r="261" spans="1:3" ht="18" customHeight="1" x14ac:dyDescent="0.2">
      <c r="A261" s="3"/>
      <c r="B261" s="6" t="str">
        <f t="shared" si="4"/>
        <v xml:space="preserve"> </v>
      </c>
      <c r="C261" s="20" t="s">
        <v>174</v>
      </c>
    </row>
    <row r="262" spans="1:3" ht="18" customHeight="1" x14ac:dyDescent="0.2">
      <c r="A262" s="3"/>
      <c r="B262" s="6" t="str">
        <f t="shared" si="4"/>
        <v xml:space="preserve"> </v>
      </c>
      <c r="C262" s="20" t="s">
        <v>174</v>
      </c>
    </row>
    <row r="263" spans="1:3" ht="18" customHeight="1" x14ac:dyDescent="0.2">
      <c r="A263" s="3"/>
      <c r="B263" s="6" t="str">
        <f t="shared" si="4"/>
        <v xml:space="preserve"> </v>
      </c>
      <c r="C263" s="20" t="s">
        <v>174</v>
      </c>
    </row>
    <row r="264" spans="1:3" ht="18" customHeight="1" x14ac:dyDescent="0.2">
      <c r="A264" s="3"/>
      <c r="B264" s="6" t="str">
        <f t="shared" si="4"/>
        <v xml:space="preserve"> </v>
      </c>
      <c r="C264" s="20" t="s">
        <v>174</v>
      </c>
    </row>
    <row r="265" spans="1:3" ht="18" customHeight="1" x14ac:dyDescent="0.2">
      <c r="A265" s="3"/>
      <c r="B265" s="6" t="str">
        <f t="shared" si="4"/>
        <v xml:space="preserve"> </v>
      </c>
      <c r="C265" s="20" t="s">
        <v>174</v>
      </c>
    </row>
    <row r="266" spans="1:3" ht="18" customHeight="1" x14ac:dyDescent="0.2">
      <c r="A266" s="3"/>
      <c r="B266" s="6" t="str">
        <f t="shared" si="4"/>
        <v xml:space="preserve"> </v>
      </c>
      <c r="C266" s="20" t="s">
        <v>174</v>
      </c>
    </row>
    <row r="267" spans="1:3" ht="18" customHeight="1" x14ac:dyDescent="0.2">
      <c r="A267" s="3"/>
      <c r="B267" s="6" t="str">
        <f t="shared" si="4"/>
        <v xml:space="preserve"> </v>
      </c>
      <c r="C267" s="20" t="s">
        <v>174</v>
      </c>
    </row>
    <row r="268" spans="1:3" ht="18" customHeight="1" x14ac:dyDescent="0.2">
      <c r="A268" s="3"/>
      <c r="B268" s="6" t="str">
        <f t="shared" si="4"/>
        <v xml:space="preserve"> </v>
      </c>
      <c r="C268" s="20" t="s">
        <v>174</v>
      </c>
    </row>
    <row r="269" spans="1:3" ht="18" customHeight="1" x14ac:dyDescent="0.2">
      <c r="A269" s="3"/>
      <c r="B269" s="6" t="str">
        <f t="shared" si="4"/>
        <v xml:space="preserve"> </v>
      </c>
      <c r="C269" s="20" t="s">
        <v>174</v>
      </c>
    </row>
    <row r="270" spans="1:3" ht="18" customHeight="1" x14ac:dyDescent="0.2">
      <c r="A270" s="3"/>
      <c r="B270" s="6" t="str">
        <f t="shared" si="4"/>
        <v xml:space="preserve"> </v>
      </c>
      <c r="C270" s="20" t="s">
        <v>174</v>
      </c>
    </row>
    <row r="271" spans="1:3" ht="18" customHeight="1" x14ac:dyDescent="0.2">
      <c r="A271" s="3"/>
      <c r="B271" s="6" t="str">
        <f t="shared" si="4"/>
        <v xml:space="preserve"> </v>
      </c>
      <c r="C271" s="20" t="s">
        <v>174</v>
      </c>
    </row>
    <row r="272" spans="1:3" ht="18" customHeight="1" x14ac:dyDescent="0.2">
      <c r="A272" s="3"/>
      <c r="B272" s="6" t="str">
        <f t="shared" si="4"/>
        <v xml:space="preserve"> </v>
      </c>
      <c r="C272" s="20" t="s">
        <v>174</v>
      </c>
    </row>
    <row r="273" spans="1:3" ht="18" customHeight="1" x14ac:dyDescent="0.2">
      <c r="A273" s="3"/>
      <c r="B273" s="6" t="str">
        <f t="shared" si="4"/>
        <v xml:space="preserve"> </v>
      </c>
      <c r="C273" s="20" t="s">
        <v>174</v>
      </c>
    </row>
    <row r="274" spans="1:3" ht="18" customHeight="1" x14ac:dyDescent="0.2">
      <c r="A274" s="3"/>
      <c r="B274" s="6" t="str">
        <f t="shared" si="4"/>
        <v xml:space="preserve"> </v>
      </c>
      <c r="C274" s="20" t="s">
        <v>174</v>
      </c>
    </row>
    <row r="275" spans="1:3" ht="18" customHeight="1" x14ac:dyDescent="0.2">
      <c r="A275" s="3"/>
      <c r="B275" s="6" t="str">
        <f t="shared" si="4"/>
        <v xml:space="preserve"> </v>
      </c>
      <c r="C275" s="20" t="s">
        <v>174</v>
      </c>
    </row>
    <row r="276" spans="1:3" ht="18" customHeight="1" x14ac:dyDescent="0.2">
      <c r="A276" s="3"/>
      <c r="B276" s="6" t="str">
        <f t="shared" si="4"/>
        <v xml:space="preserve"> </v>
      </c>
      <c r="C276" s="20" t="s">
        <v>174</v>
      </c>
    </row>
    <row r="277" spans="1:3" ht="18" customHeight="1" x14ac:dyDescent="0.2">
      <c r="A277" s="3"/>
      <c r="B277" s="6" t="str">
        <f t="shared" si="4"/>
        <v xml:space="preserve"> </v>
      </c>
      <c r="C277" s="20" t="s">
        <v>174</v>
      </c>
    </row>
    <row r="278" spans="1:3" ht="18" customHeight="1" x14ac:dyDescent="0.2">
      <c r="A278" s="3"/>
      <c r="B278" s="6" t="str">
        <f t="shared" si="4"/>
        <v xml:space="preserve"> </v>
      </c>
      <c r="C278" s="20" t="s">
        <v>174</v>
      </c>
    </row>
    <row r="279" spans="1:3" ht="18" customHeight="1" x14ac:dyDescent="0.2">
      <c r="A279" s="3"/>
      <c r="B279" s="6" t="str">
        <f t="shared" si="4"/>
        <v xml:space="preserve"> </v>
      </c>
      <c r="C279" s="20" t="s">
        <v>174</v>
      </c>
    </row>
    <row r="280" spans="1:3" ht="18" customHeight="1" x14ac:dyDescent="0.2">
      <c r="A280" s="3"/>
      <c r="B280" s="6" t="str">
        <f t="shared" si="4"/>
        <v xml:space="preserve"> </v>
      </c>
      <c r="C280" s="20" t="s">
        <v>174</v>
      </c>
    </row>
    <row r="281" spans="1:3" ht="18" customHeight="1" x14ac:dyDescent="0.2">
      <c r="A281" s="3"/>
      <c r="B281" s="6" t="str">
        <f t="shared" si="4"/>
        <v xml:space="preserve"> </v>
      </c>
      <c r="C281" s="20" t="s">
        <v>174</v>
      </c>
    </row>
    <row r="282" spans="1:3" ht="18" customHeight="1" x14ac:dyDescent="0.2">
      <c r="A282" s="3"/>
      <c r="B282" s="6" t="str">
        <f t="shared" si="4"/>
        <v xml:space="preserve"> </v>
      </c>
      <c r="C282" s="20" t="s">
        <v>174</v>
      </c>
    </row>
    <row r="283" spans="1:3" ht="18" customHeight="1" x14ac:dyDescent="0.2">
      <c r="A283" s="3"/>
      <c r="B283" s="6" t="str">
        <f t="shared" si="4"/>
        <v xml:space="preserve"> </v>
      </c>
      <c r="C283" s="20" t="s">
        <v>174</v>
      </c>
    </row>
    <row r="284" spans="1:3" ht="18" customHeight="1" x14ac:dyDescent="0.2">
      <c r="A284" s="3"/>
      <c r="B284" s="6" t="str">
        <f t="shared" si="4"/>
        <v xml:space="preserve"> </v>
      </c>
      <c r="C284" s="20" t="s">
        <v>174</v>
      </c>
    </row>
    <row r="285" spans="1:3" ht="18" customHeight="1" x14ac:dyDescent="0.2">
      <c r="A285" s="3"/>
      <c r="B285" s="6" t="str">
        <f t="shared" si="4"/>
        <v xml:space="preserve"> </v>
      </c>
      <c r="C285" s="20" t="s">
        <v>174</v>
      </c>
    </row>
    <row r="286" spans="1:3" ht="18" customHeight="1" x14ac:dyDescent="0.2">
      <c r="A286" s="3"/>
      <c r="B286" s="6" t="str">
        <f t="shared" si="4"/>
        <v xml:space="preserve"> </v>
      </c>
      <c r="C286" s="20" t="s">
        <v>174</v>
      </c>
    </row>
    <row r="287" spans="1:3" ht="18" customHeight="1" x14ac:dyDescent="0.2">
      <c r="A287" s="3"/>
      <c r="B287" s="6" t="str">
        <f t="shared" si="4"/>
        <v xml:space="preserve"> </v>
      </c>
      <c r="C287" s="20" t="s">
        <v>174</v>
      </c>
    </row>
    <row r="288" spans="1:3" ht="18" customHeight="1" x14ac:dyDescent="0.2">
      <c r="A288" s="3"/>
      <c r="B288" s="6" t="str">
        <f t="shared" si="4"/>
        <v xml:space="preserve"> </v>
      </c>
      <c r="C288" s="20" t="s">
        <v>174</v>
      </c>
    </row>
    <row r="289" spans="1:3" ht="18" customHeight="1" x14ac:dyDescent="0.2">
      <c r="A289" s="3"/>
      <c r="B289" s="6" t="str">
        <f t="shared" si="4"/>
        <v xml:space="preserve"> </v>
      </c>
      <c r="C289" s="20" t="s">
        <v>174</v>
      </c>
    </row>
    <row r="290" spans="1:3" ht="18" customHeight="1" x14ac:dyDescent="0.2">
      <c r="A290" s="3"/>
      <c r="B290" s="6" t="str">
        <f t="shared" si="4"/>
        <v xml:space="preserve"> </v>
      </c>
      <c r="C290" s="20" t="s">
        <v>174</v>
      </c>
    </row>
    <row r="291" spans="1:3" ht="18" customHeight="1" x14ac:dyDescent="0.2">
      <c r="A291" s="3"/>
      <c r="B291" s="6" t="str">
        <f t="shared" si="4"/>
        <v xml:space="preserve"> </v>
      </c>
      <c r="C291" s="20" t="s">
        <v>174</v>
      </c>
    </row>
    <row r="292" spans="1:3" ht="18" customHeight="1" x14ac:dyDescent="0.2">
      <c r="A292" s="3"/>
      <c r="B292" s="6" t="str">
        <f t="shared" si="4"/>
        <v xml:space="preserve"> </v>
      </c>
      <c r="C292" s="20" t="s">
        <v>174</v>
      </c>
    </row>
    <row r="293" spans="1:3" ht="18" customHeight="1" x14ac:dyDescent="0.2">
      <c r="A293" s="3"/>
      <c r="B293" s="6" t="str">
        <f t="shared" si="4"/>
        <v xml:space="preserve"> </v>
      </c>
      <c r="C293" s="20" t="s">
        <v>174</v>
      </c>
    </row>
    <row r="294" spans="1:3" ht="18" customHeight="1" x14ac:dyDescent="0.2">
      <c r="A294" s="3"/>
      <c r="B294" s="6" t="str">
        <f t="shared" si="4"/>
        <v xml:space="preserve"> </v>
      </c>
      <c r="C294" s="20" t="s">
        <v>174</v>
      </c>
    </row>
    <row r="295" spans="1:3" ht="18" customHeight="1" x14ac:dyDescent="0.2">
      <c r="A295" s="3"/>
      <c r="B295" s="6" t="str">
        <f t="shared" si="4"/>
        <v xml:space="preserve"> </v>
      </c>
      <c r="C295" s="20" t="s">
        <v>174</v>
      </c>
    </row>
    <row r="296" spans="1:3" ht="18" customHeight="1" x14ac:dyDescent="0.2">
      <c r="A296" s="3"/>
      <c r="B296" s="6" t="str">
        <f t="shared" si="4"/>
        <v xml:space="preserve"> </v>
      </c>
      <c r="C296" s="20" t="s">
        <v>174</v>
      </c>
    </row>
    <row r="297" spans="1:3" ht="18" customHeight="1" x14ac:dyDescent="0.2">
      <c r="A297" s="3"/>
      <c r="B297" s="6" t="str">
        <f t="shared" si="4"/>
        <v xml:space="preserve"> </v>
      </c>
      <c r="C297" s="20" t="s">
        <v>174</v>
      </c>
    </row>
    <row r="298" spans="1:3" ht="18" customHeight="1" x14ac:dyDescent="0.2">
      <c r="A298" s="3"/>
      <c r="B298" s="6" t="str">
        <f t="shared" si="4"/>
        <v xml:space="preserve"> </v>
      </c>
      <c r="C298" s="20" t="s">
        <v>174</v>
      </c>
    </row>
    <row r="299" spans="1:3" ht="18" customHeight="1" x14ac:dyDescent="0.2">
      <c r="A299" s="3"/>
      <c r="B299" s="6" t="str">
        <f t="shared" si="4"/>
        <v xml:space="preserve"> </v>
      </c>
      <c r="C299" s="20" t="s">
        <v>174</v>
      </c>
    </row>
    <row r="300" spans="1:3" ht="18" customHeight="1" x14ac:dyDescent="0.2">
      <c r="A300" s="3"/>
      <c r="B300" s="6" t="str">
        <f t="shared" si="4"/>
        <v xml:space="preserve"> </v>
      </c>
      <c r="C300" s="20" t="s">
        <v>174</v>
      </c>
    </row>
    <row r="301" spans="1:3" ht="18" customHeight="1" x14ac:dyDescent="0.2">
      <c r="A301" s="3"/>
      <c r="B301" s="6" t="str">
        <f t="shared" si="4"/>
        <v xml:space="preserve"> </v>
      </c>
      <c r="C301" s="20" t="s">
        <v>174</v>
      </c>
    </row>
    <row r="302" spans="1:3" ht="18" customHeight="1" x14ac:dyDescent="0.2">
      <c r="A302" s="3"/>
      <c r="B302" s="6" t="str">
        <f t="shared" si="4"/>
        <v xml:space="preserve"> </v>
      </c>
      <c r="C302" s="20" t="s">
        <v>174</v>
      </c>
    </row>
    <row r="303" spans="1:3" ht="18" customHeight="1" x14ac:dyDescent="0.2">
      <c r="A303" s="3"/>
      <c r="B303" s="6" t="str">
        <f t="shared" si="4"/>
        <v xml:space="preserve"> </v>
      </c>
      <c r="C303" s="20" t="s">
        <v>174</v>
      </c>
    </row>
    <row r="304" spans="1:3" ht="18" customHeight="1" x14ac:dyDescent="0.2">
      <c r="A304" s="3"/>
      <c r="B304" s="6" t="str">
        <f t="shared" si="4"/>
        <v xml:space="preserve"> </v>
      </c>
      <c r="C304" s="20" t="s">
        <v>174</v>
      </c>
    </row>
    <row r="305" spans="1:3" ht="18" customHeight="1" x14ac:dyDescent="0.2">
      <c r="A305" s="3"/>
      <c r="B305" s="6" t="str">
        <f t="shared" si="4"/>
        <v xml:space="preserve"> </v>
      </c>
      <c r="C305" s="20" t="s">
        <v>174</v>
      </c>
    </row>
    <row r="306" spans="1:3" ht="18" customHeight="1" x14ac:dyDescent="0.2">
      <c r="A306" s="3"/>
      <c r="B306" s="6" t="str">
        <f t="shared" si="4"/>
        <v xml:space="preserve"> </v>
      </c>
      <c r="C306" s="20" t="s">
        <v>174</v>
      </c>
    </row>
    <row r="307" spans="1:3" ht="18" customHeight="1" x14ac:dyDescent="0.2">
      <c r="A307" s="3"/>
      <c r="B307" s="6" t="str">
        <f t="shared" si="4"/>
        <v xml:space="preserve"> </v>
      </c>
      <c r="C307" s="20" t="s">
        <v>174</v>
      </c>
    </row>
    <row r="308" spans="1:3" ht="18" customHeight="1" x14ac:dyDescent="0.2">
      <c r="A308" s="3"/>
      <c r="B308" s="6" t="str">
        <f t="shared" si="4"/>
        <v xml:space="preserve"> </v>
      </c>
      <c r="C308" s="20" t="s">
        <v>174</v>
      </c>
    </row>
    <row r="309" spans="1:3" ht="18" customHeight="1" x14ac:dyDescent="0.2">
      <c r="A309" s="3"/>
      <c r="B309" s="6" t="str">
        <f t="shared" si="4"/>
        <v xml:space="preserve"> </v>
      </c>
      <c r="C309" s="20" t="s">
        <v>174</v>
      </c>
    </row>
    <row r="310" spans="1:3" ht="18" customHeight="1" x14ac:dyDescent="0.2">
      <c r="A310" s="3"/>
      <c r="B310" s="6" t="str">
        <f t="shared" si="4"/>
        <v xml:space="preserve"> </v>
      </c>
      <c r="C310" s="20" t="s">
        <v>174</v>
      </c>
    </row>
    <row r="311" spans="1:3" ht="18" customHeight="1" x14ac:dyDescent="0.2">
      <c r="A311" s="3"/>
      <c r="B311" s="6" t="str">
        <f t="shared" si="4"/>
        <v xml:space="preserve"> </v>
      </c>
      <c r="C311" s="20" t="s">
        <v>174</v>
      </c>
    </row>
    <row r="312" spans="1:3" ht="18" customHeight="1" x14ac:dyDescent="0.2">
      <c r="A312" s="3"/>
      <c r="B312" s="6" t="str">
        <f t="shared" si="4"/>
        <v xml:space="preserve"> </v>
      </c>
      <c r="C312" s="20" t="s">
        <v>174</v>
      </c>
    </row>
    <row r="313" spans="1:3" ht="18" customHeight="1" x14ac:dyDescent="0.2">
      <c r="A313" s="3"/>
      <c r="B313" s="6" t="str">
        <f t="shared" si="4"/>
        <v xml:space="preserve"> </v>
      </c>
      <c r="C313" s="20" t="s">
        <v>174</v>
      </c>
    </row>
    <row r="314" spans="1:3" ht="18" customHeight="1" x14ac:dyDescent="0.2">
      <c r="A314" s="3"/>
      <c r="B314" s="6" t="str">
        <f t="shared" si="4"/>
        <v xml:space="preserve"> </v>
      </c>
      <c r="C314" s="20" t="s">
        <v>174</v>
      </c>
    </row>
    <row r="315" spans="1:3" ht="18" customHeight="1" x14ac:dyDescent="0.2">
      <c r="A315" s="3"/>
      <c r="B315" s="6" t="str">
        <f t="shared" si="4"/>
        <v xml:space="preserve"> </v>
      </c>
      <c r="C315" s="20" t="s">
        <v>174</v>
      </c>
    </row>
    <row r="316" spans="1:3" ht="18" customHeight="1" x14ac:dyDescent="0.2">
      <c r="A316" s="3"/>
      <c r="B316" s="6" t="str">
        <f t="shared" si="4"/>
        <v xml:space="preserve"> </v>
      </c>
      <c r="C316" s="20" t="s">
        <v>174</v>
      </c>
    </row>
    <row r="317" spans="1:3" ht="18" customHeight="1" x14ac:dyDescent="0.2">
      <c r="A317" s="3"/>
      <c r="B317" s="6" t="str">
        <f t="shared" si="4"/>
        <v xml:space="preserve"> </v>
      </c>
      <c r="C317" s="20" t="s">
        <v>174</v>
      </c>
    </row>
    <row r="318" spans="1:3" ht="18" customHeight="1" x14ac:dyDescent="0.2">
      <c r="A318" s="3"/>
      <c r="B318" s="6" t="str">
        <f t="shared" si="4"/>
        <v xml:space="preserve"> </v>
      </c>
      <c r="C318" s="20" t="s">
        <v>174</v>
      </c>
    </row>
    <row r="319" spans="1:3" ht="18" customHeight="1" x14ac:dyDescent="0.2">
      <c r="A319" s="3"/>
      <c r="B319" s="6" t="str">
        <f t="shared" si="4"/>
        <v xml:space="preserve"> </v>
      </c>
      <c r="C319" s="20" t="s">
        <v>174</v>
      </c>
    </row>
    <row r="320" spans="1:3" ht="18" customHeight="1" x14ac:dyDescent="0.2">
      <c r="A320" s="3"/>
      <c r="B320" s="6" t="str">
        <f t="shared" si="4"/>
        <v xml:space="preserve"> </v>
      </c>
      <c r="C320" s="20" t="s">
        <v>174</v>
      </c>
    </row>
    <row r="321" spans="1:3" ht="18" customHeight="1" x14ac:dyDescent="0.2">
      <c r="A321" s="3"/>
      <c r="B321" s="6" t="str">
        <f t="shared" si="4"/>
        <v xml:space="preserve"> </v>
      </c>
      <c r="C321" s="20" t="s">
        <v>174</v>
      </c>
    </row>
    <row r="322" spans="1:3" ht="18" customHeight="1" x14ac:dyDescent="0.2">
      <c r="A322" s="3"/>
      <c r="B322" s="6" t="str">
        <f t="shared" si="4"/>
        <v xml:space="preserve"> </v>
      </c>
      <c r="C322" s="20" t="s">
        <v>174</v>
      </c>
    </row>
    <row r="323" spans="1:3" ht="18" customHeight="1" x14ac:dyDescent="0.2">
      <c r="A323" s="3"/>
      <c r="B323" s="6" t="str">
        <f t="shared" ref="B323:B386" si="5">IF(ISBLANK(A323)=TRUE,B322,B322&amp;","&amp;A323)</f>
        <v xml:space="preserve"> </v>
      </c>
      <c r="C323" s="20" t="s">
        <v>174</v>
      </c>
    </row>
    <row r="324" spans="1:3" ht="18" customHeight="1" x14ac:dyDescent="0.2">
      <c r="A324" s="3"/>
      <c r="B324" s="6" t="str">
        <f t="shared" si="5"/>
        <v xml:space="preserve"> </v>
      </c>
      <c r="C324" s="20" t="s">
        <v>174</v>
      </c>
    </row>
    <row r="325" spans="1:3" ht="18" customHeight="1" x14ac:dyDescent="0.2">
      <c r="A325" s="3"/>
      <c r="B325" s="6" t="str">
        <f t="shared" si="5"/>
        <v xml:space="preserve"> </v>
      </c>
      <c r="C325" s="20" t="s">
        <v>174</v>
      </c>
    </row>
    <row r="326" spans="1:3" ht="18" customHeight="1" x14ac:dyDescent="0.2">
      <c r="A326" s="3"/>
      <c r="B326" s="6" t="str">
        <f t="shared" si="5"/>
        <v xml:space="preserve"> </v>
      </c>
      <c r="C326" s="20" t="s">
        <v>174</v>
      </c>
    </row>
    <row r="327" spans="1:3" ht="18" customHeight="1" x14ac:dyDescent="0.2">
      <c r="A327" s="3"/>
      <c r="B327" s="6" t="str">
        <f t="shared" si="5"/>
        <v xml:space="preserve"> </v>
      </c>
      <c r="C327" s="20" t="s">
        <v>174</v>
      </c>
    </row>
    <row r="328" spans="1:3" ht="18" customHeight="1" x14ac:dyDescent="0.2">
      <c r="A328" s="3"/>
      <c r="B328" s="6" t="str">
        <f t="shared" si="5"/>
        <v xml:space="preserve"> </v>
      </c>
      <c r="C328" s="20" t="s">
        <v>174</v>
      </c>
    </row>
    <row r="329" spans="1:3" ht="18" customHeight="1" x14ac:dyDescent="0.2">
      <c r="A329" s="3"/>
      <c r="B329" s="6" t="str">
        <f t="shared" si="5"/>
        <v xml:space="preserve"> </v>
      </c>
      <c r="C329" s="20" t="s">
        <v>174</v>
      </c>
    </row>
    <row r="330" spans="1:3" ht="18" customHeight="1" x14ac:dyDescent="0.2">
      <c r="A330" s="3"/>
      <c r="B330" s="6" t="str">
        <f t="shared" si="5"/>
        <v xml:space="preserve"> </v>
      </c>
      <c r="C330" s="20" t="s">
        <v>174</v>
      </c>
    </row>
    <row r="331" spans="1:3" ht="18" customHeight="1" x14ac:dyDescent="0.2">
      <c r="A331" s="3"/>
      <c r="B331" s="6" t="str">
        <f t="shared" si="5"/>
        <v xml:space="preserve"> </v>
      </c>
      <c r="C331" s="20" t="s">
        <v>174</v>
      </c>
    </row>
    <row r="332" spans="1:3" ht="18" customHeight="1" x14ac:dyDescent="0.2">
      <c r="A332" s="3"/>
      <c r="B332" s="6" t="str">
        <f t="shared" si="5"/>
        <v xml:space="preserve"> </v>
      </c>
      <c r="C332" s="20" t="s">
        <v>174</v>
      </c>
    </row>
    <row r="333" spans="1:3" ht="18" customHeight="1" x14ac:dyDescent="0.2">
      <c r="A333" s="3"/>
      <c r="B333" s="6" t="str">
        <f t="shared" si="5"/>
        <v xml:space="preserve"> </v>
      </c>
      <c r="C333" s="20" t="s">
        <v>174</v>
      </c>
    </row>
    <row r="334" spans="1:3" ht="18" customHeight="1" x14ac:dyDescent="0.2">
      <c r="A334" s="3"/>
      <c r="B334" s="6" t="str">
        <f t="shared" si="5"/>
        <v xml:space="preserve"> </v>
      </c>
      <c r="C334" s="20" t="s">
        <v>174</v>
      </c>
    </row>
    <row r="335" spans="1:3" ht="18" customHeight="1" x14ac:dyDescent="0.2">
      <c r="A335" s="3"/>
      <c r="B335" s="6" t="str">
        <f t="shared" si="5"/>
        <v xml:space="preserve"> </v>
      </c>
      <c r="C335" s="20" t="s">
        <v>174</v>
      </c>
    </row>
    <row r="336" spans="1:3" ht="18" customHeight="1" x14ac:dyDescent="0.2">
      <c r="A336" s="3"/>
      <c r="B336" s="6" t="str">
        <f t="shared" si="5"/>
        <v xml:space="preserve"> </v>
      </c>
      <c r="C336" s="20" t="s">
        <v>174</v>
      </c>
    </row>
    <row r="337" spans="1:3" ht="18" customHeight="1" x14ac:dyDescent="0.2">
      <c r="A337" s="3"/>
      <c r="B337" s="6" t="str">
        <f t="shared" si="5"/>
        <v xml:space="preserve"> </v>
      </c>
      <c r="C337" s="20" t="s">
        <v>174</v>
      </c>
    </row>
    <row r="338" spans="1:3" ht="18" customHeight="1" x14ac:dyDescent="0.2">
      <c r="A338" s="3"/>
      <c r="B338" s="6" t="str">
        <f t="shared" si="5"/>
        <v xml:space="preserve"> </v>
      </c>
      <c r="C338" s="20" t="s">
        <v>174</v>
      </c>
    </row>
    <row r="339" spans="1:3" ht="18" customHeight="1" x14ac:dyDescent="0.2">
      <c r="A339" s="3"/>
      <c r="B339" s="6" t="str">
        <f t="shared" si="5"/>
        <v xml:space="preserve"> </v>
      </c>
      <c r="C339" s="20" t="s">
        <v>174</v>
      </c>
    </row>
    <row r="340" spans="1:3" ht="18" customHeight="1" x14ac:dyDescent="0.2">
      <c r="A340" s="3"/>
      <c r="B340" s="6" t="str">
        <f t="shared" si="5"/>
        <v xml:space="preserve"> </v>
      </c>
      <c r="C340" s="20" t="s">
        <v>174</v>
      </c>
    </row>
    <row r="341" spans="1:3" ht="18" customHeight="1" x14ac:dyDescent="0.2">
      <c r="A341" s="3"/>
      <c r="B341" s="6" t="str">
        <f t="shared" si="5"/>
        <v xml:space="preserve"> </v>
      </c>
      <c r="C341" s="20" t="s">
        <v>174</v>
      </c>
    </row>
    <row r="342" spans="1:3" ht="18" customHeight="1" x14ac:dyDescent="0.2">
      <c r="A342" s="3"/>
      <c r="B342" s="6" t="str">
        <f t="shared" si="5"/>
        <v xml:space="preserve"> </v>
      </c>
      <c r="C342" s="20" t="s">
        <v>174</v>
      </c>
    </row>
    <row r="343" spans="1:3" ht="18" customHeight="1" x14ac:dyDescent="0.2">
      <c r="A343" s="3"/>
      <c r="B343" s="6" t="str">
        <f t="shared" si="5"/>
        <v xml:space="preserve"> </v>
      </c>
      <c r="C343" s="20" t="s">
        <v>174</v>
      </c>
    </row>
    <row r="344" spans="1:3" ht="18" customHeight="1" x14ac:dyDescent="0.2">
      <c r="A344" s="3"/>
      <c r="B344" s="6" t="str">
        <f t="shared" si="5"/>
        <v xml:space="preserve"> </v>
      </c>
      <c r="C344" s="20" t="s">
        <v>174</v>
      </c>
    </row>
    <row r="345" spans="1:3" ht="18" customHeight="1" x14ac:dyDescent="0.2">
      <c r="A345" s="3"/>
      <c r="B345" s="6" t="str">
        <f t="shared" si="5"/>
        <v xml:space="preserve"> </v>
      </c>
      <c r="C345" s="20" t="s">
        <v>174</v>
      </c>
    </row>
    <row r="346" spans="1:3" ht="18" customHeight="1" x14ac:dyDescent="0.2">
      <c r="A346" s="3"/>
      <c r="B346" s="6" t="str">
        <f t="shared" si="5"/>
        <v xml:space="preserve"> </v>
      </c>
      <c r="C346" s="20" t="s">
        <v>174</v>
      </c>
    </row>
    <row r="347" spans="1:3" ht="18" customHeight="1" x14ac:dyDescent="0.2">
      <c r="A347" s="3"/>
      <c r="B347" s="6" t="str">
        <f t="shared" si="5"/>
        <v xml:space="preserve"> </v>
      </c>
      <c r="C347" s="20" t="s">
        <v>174</v>
      </c>
    </row>
    <row r="348" spans="1:3" ht="18" customHeight="1" x14ac:dyDescent="0.2">
      <c r="A348" s="3"/>
      <c r="B348" s="6" t="str">
        <f t="shared" si="5"/>
        <v xml:space="preserve"> </v>
      </c>
      <c r="C348" s="20" t="s">
        <v>174</v>
      </c>
    </row>
    <row r="349" spans="1:3" ht="18" customHeight="1" x14ac:dyDescent="0.2">
      <c r="A349" s="3"/>
      <c r="B349" s="6" t="str">
        <f t="shared" si="5"/>
        <v xml:space="preserve"> </v>
      </c>
      <c r="C349" s="20" t="s">
        <v>174</v>
      </c>
    </row>
    <row r="350" spans="1:3" ht="18" customHeight="1" x14ac:dyDescent="0.2">
      <c r="A350" s="3"/>
      <c r="B350" s="6" t="str">
        <f t="shared" si="5"/>
        <v xml:space="preserve"> </v>
      </c>
      <c r="C350" s="20" t="s">
        <v>174</v>
      </c>
    </row>
    <row r="351" spans="1:3" ht="18" customHeight="1" x14ac:dyDescent="0.2">
      <c r="A351" s="3"/>
      <c r="B351" s="6" t="str">
        <f t="shared" si="5"/>
        <v xml:space="preserve"> </v>
      </c>
      <c r="C351" s="20" t="s">
        <v>174</v>
      </c>
    </row>
    <row r="352" spans="1:3" ht="18" customHeight="1" x14ac:dyDescent="0.2">
      <c r="A352" s="3"/>
      <c r="B352" s="6" t="str">
        <f t="shared" si="5"/>
        <v xml:space="preserve"> </v>
      </c>
      <c r="C352" s="20" t="s">
        <v>174</v>
      </c>
    </row>
    <row r="353" spans="1:3" ht="18" customHeight="1" x14ac:dyDescent="0.2">
      <c r="A353" s="3"/>
      <c r="B353" s="6" t="str">
        <f t="shared" si="5"/>
        <v xml:space="preserve"> </v>
      </c>
      <c r="C353" s="20" t="s">
        <v>174</v>
      </c>
    </row>
    <row r="354" spans="1:3" ht="18" customHeight="1" x14ac:dyDescent="0.2">
      <c r="A354" s="3"/>
      <c r="B354" s="6" t="str">
        <f t="shared" si="5"/>
        <v xml:space="preserve"> </v>
      </c>
      <c r="C354" s="20" t="s">
        <v>174</v>
      </c>
    </row>
    <row r="355" spans="1:3" ht="18" customHeight="1" x14ac:dyDescent="0.2">
      <c r="A355" s="3"/>
      <c r="B355" s="6" t="str">
        <f t="shared" si="5"/>
        <v xml:space="preserve"> </v>
      </c>
      <c r="C355" s="20" t="s">
        <v>174</v>
      </c>
    </row>
    <row r="356" spans="1:3" ht="18" customHeight="1" x14ac:dyDescent="0.2">
      <c r="A356" s="3"/>
      <c r="B356" s="6" t="str">
        <f t="shared" si="5"/>
        <v xml:space="preserve"> </v>
      </c>
      <c r="C356" s="20" t="s">
        <v>174</v>
      </c>
    </row>
    <row r="357" spans="1:3" ht="18" customHeight="1" x14ac:dyDescent="0.2">
      <c r="A357" s="3"/>
      <c r="B357" s="6" t="str">
        <f t="shared" si="5"/>
        <v xml:space="preserve"> </v>
      </c>
      <c r="C357" s="20" t="s">
        <v>174</v>
      </c>
    </row>
    <row r="358" spans="1:3" ht="18" customHeight="1" x14ac:dyDescent="0.2">
      <c r="A358" s="3"/>
      <c r="B358" s="6" t="str">
        <f t="shared" si="5"/>
        <v xml:space="preserve"> </v>
      </c>
      <c r="C358" s="20" t="s">
        <v>174</v>
      </c>
    </row>
    <row r="359" spans="1:3" ht="18" customHeight="1" x14ac:dyDescent="0.2">
      <c r="A359" s="3"/>
      <c r="B359" s="6" t="str">
        <f t="shared" si="5"/>
        <v xml:space="preserve"> </v>
      </c>
      <c r="C359" s="20" t="s">
        <v>174</v>
      </c>
    </row>
    <row r="360" spans="1:3" ht="18" customHeight="1" x14ac:dyDescent="0.2">
      <c r="A360" s="3"/>
      <c r="B360" s="6" t="str">
        <f t="shared" si="5"/>
        <v xml:space="preserve"> </v>
      </c>
      <c r="C360" s="20" t="s">
        <v>174</v>
      </c>
    </row>
    <row r="361" spans="1:3" ht="18" customHeight="1" x14ac:dyDescent="0.2">
      <c r="A361" s="3"/>
      <c r="B361" s="6" t="str">
        <f t="shared" si="5"/>
        <v xml:space="preserve"> </v>
      </c>
      <c r="C361" s="20" t="s">
        <v>174</v>
      </c>
    </row>
    <row r="362" spans="1:3" ht="18" customHeight="1" x14ac:dyDescent="0.2">
      <c r="A362" s="3"/>
      <c r="B362" s="6" t="str">
        <f t="shared" si="5"/>
        <v xml:space="preserve"> </v>
      </c>
      <c r="C362" s="20" t="s">
        <v>174</v>
      </c>
    </row>
    <row r="363" spans="1:3" ht="18" customHeight="1" x14ac:dyDescent="0.2">
      <c r="A363" s="3"/>
      <c r="B363" s="6" t="str">
        <f t="shared" si="5"/>
        <v xml:space="preserve"> </v>
      </c>
      <c r="C363" s="20" t="s">
        <v>174</v>
      </c>
    </row>
    <row r="364" spans="1:3" ht="18" customHeight="1" x14ac:dyDescent="0.2">
      <c r="A364" s="3"/>
      <c r="B364" s="6" t="str">
        <f t="shared" si="5"/>
        <v xml:space="preserve"> </v>
      </c>
      <c r="C364" s="20" t="s">
        <v>174</v>
      </c>
    </row>
    <row r="365" spans="1:3" ht="18" customHeight="1" x14ac:dyDescent="0.2">
      <c r="A365" s="3"/>
      <c r="B365" s="6" t="str">
        <f t="shared" si="5"/>
        <v xml:space="preserve"> </v>
      </c>
      <c r="C365" s="20" t="s">
        <v>174</v>
      </c>
    </row>
    <row r="366" spans="1:3" ht="18" customHeight="1" x14ac:dyDescent="0.2">
      <c r="A366" s="3"/>
      <c r="B366" s="6" t="str">
        <f t="shared" si="5"/>
        <v xml:space="preserve"> </v>
      </c>
      <c r="C366" s="20" t="s">
        <v>174</v>
      </c>
    </row>
    <row r="367" spans="1:3" ht="18" customHeight="1" x14ac:dyDescent="0.2">
      <c r="A367" s="3"/>
      <c r="B367" s="6" t="str">
        <f t="shared" si="5"/>
        <v xml:space="preserve"> </v>
      </c>
      <c r="C367" s="20" t="s">
        <v>174</v>
      </c>
    </row>
    <row r="368" spans="1:3" ht="18" customHeight="1" x14ac:dyDescent="0.2">
      <c r="A368" s="3"/>
      <c r="B368" s="6" t="str">
        <f t="shared" si="5"/>
        <v xml:space="preserve"> </v>
      </c>
      <c r="C368" s="20" t="s">
        <v>174</v>
      </c>
    </row>
    <row r="369" spans="1:3" ht="18" customHeight="1" x14ac:dyDescent="0.2">
      <c r="A369" s="3"/>
      <c r="B369" s="6" t="str">
        <f t="shared" si="5"/>
        <v xml:space="preserve"> </v>
      </c>
      <c r="C369" s="20" t="s">
        <v>174</v>
      </c>
    </row>
    <row r="370" spans="1:3" ht="18" customHeight="1" x14ac:dyDescent="0.2">
      <c r="A370" s="3"/>
      <c r="B370" s="6" t="str">
        <f t="shared" si="5"/>
        <v xml:space="preserve"> </v>
      </c>
      <c r="C370" s="20" t="s">
        <v>174</v>
      </c>
    </row>
    <row r="371" spans="1:3" ht="18" customHeight="1" x14ac:dyDescent="0.2">
      <c r="A371" s="3"/>
      <c r="B371" s="6" t="str">
        <f t="shared" si="5"/>
        <v xml:space="preserve"> </v>
      </c>
      <c r="C371" s="20" t="s">
        <v>174</v>
      </c>
    </row>
    <row r="372" spans="1:3" ht="18" customHeight="1" x14ac:dyDescent="0.2">
      <c r="A372" s="3"/>
      <c r="B372" s="6" t="str">
        <f t="shared" si="5"/>
        <v xml:space="preserve"> </v>
      </c>
      <c r="C372" s="20" t="s">
        <v>174</v>
      </c>
    </row>
    <row r="373" spans="1:3" ht="18" customHeight="1" x14ac:dyDescent="0.2">
      <c r="A373" s="3"/>
      <c r="B373" s="6" t="str">
        <f t="shared" si="5"/>
        <v xml:space="preserve"> </v>
      </c>
      <c r="C373" s="20" t="s">
        <v>174</v>
      </c>
    </row>
    <row r="374" spans="1:3" ht="18" customHeight="1" x14ac:dyDescent="0.2">
      <c r="A374" s="3"/>
      <c r="B374" s="6" t="str">
        <f t="shared" si="5"/>
        <v xml:space="preserve"> </v>
      </c>
      <c r="C374" s="20" t="s">
        <v>174</v>
      </c>
    </row>
    <row r="375" spans="1:3" ht="18" customHeight="1" x14ac:dyDescent="0.2">
      <c r="A375" s="3"/>
      <c r="B375" s="6" t="str">
        <f t="shared" si="5"/>
        <v xml:space="preserve"> </v>
      </c>
      <c r="C375" s="20" t="s">
        <v>174</v>
      </c>
    </row>
    <row r="376" spans="1:3" ht="18" customHeight="1" x14ac:dyDescent="0.2">
      <c r="A376" s="3"/>
      <c r="B376" s="6" t="str">
        <f t="shared" si="5"/>
        <v xml:space="preserve"> </v>
      </c>
      <c r="C376" s="20" t="s">
        <v>174</v>
      </c>
    </row>
    <row r="377" spans="1:3" ht="18" customHeight="1" x14ac:dyDescent="0.2">
      <c r="A377" s="3"/>
      <c r="B377" s="6" t="str">
        <f t="shared" si="5"/>
        <v xml:space="preserve"> </v>
      </c>
      <c r="C377" s="20" t="s">
        <v>174</v>
      </c>
    </row>
    <row r="378" spans="1:3" ht="18" customHeight="1" x14ac:dyDescent="0.2">
      <c r="A378" s="3"/>
      <c r="B378" s="6" t="str">
        <f t="shared" si="5"/>
        <v xml:space="preserve"> </v>
      </c>
      <c r="C378" s="20" t="s">
        <v>174</v>
      </c>
    </row>
    <row r="379" spans="1:3" ht="18" customHeight="1" x14ac:dyDescent="0.2">
      <c r="A379" s="3"/>
      <c r="B379" s="6" t="str">
        <f t="shared" si="5"/>
        <v xml:space="preserve"> </v>
      </c>
      <c r="C379" s="20" t="s">
        <v>174</v>
      </c>
    </row>
    <row r="380" spans="1:3" ht="18" customHeight="1" x14ac:dyDescent="0.2">
      <c r="A380" s="3"/>
      <c r="B380" s="6" t="str">
        <f t="shared" si="5"/>
        <v xml:space="preserve"> </v>
      </c>
      <c r="C380" s="20" t="s">
        <v>174</v>
      </c>
    </row>
    <row r="381" spans="1:3" ht="18" customHeight="1" x14ac:dyDescent="0.2">
      <c r="A381" s="3"/>
      <c r="B381" s="6" t="str">
        <f t="shared" si="5"/>
        <v xml:space="preserve"> </v>
      </c>
      <c r="C381" s="20" t="s">
        <v>174</v>
      </c>
    </row>
    <row r="382" spans="1:3" ht="18" customHeight="1" x14ac:dyDescent="0.2">
      <c r="A382" s="3"/>
      <c r="B382" s="6" t="str">
        <f t="shared" si="5"/>
        <v xml:space="preserve"> </v>
      </c>
      <c r="C382" s="20" t="s">
        <v>174</v>
      </c>
    </row>
    <row r="383" spans="1:3" ht="18" customHeight="1" x14ac:dyDescent="0.2">
      <c r="A383" s="3"/>
      <c r="B383" s="6" t="str">
        <f t="shared" si="5"/>
        <v xml:space="preserve"> </v>
      </c>
      <c r="C383" s="20" t="s">
        <v>174</v>
      </c>
    </row>
    <row r="384" spans="1:3" ht="18" customHeight="1" x14ac:dyDescent="0.2">
      <c r="A384" s="3"/>
      <c r="B384" s="6" t="str">
        <f t="shared" si="5"/>
        <v xml:space="preserve"> </v>
      </c>
      <c r="C384" s="20" t="s">
        <v>174</v>
      </c>
    </row>
    <row r="385" spans="1:3" ht="18" customHeight="1" x14ac:dyDescent="0.2">
      <c r="A385" s="3"/>
      <c r="B385" s="6" t="str">
        <f t="shared" si="5"/>
        <v xml:space="preserve"> </v>
      </c>
      <c r="C385" s="20" t="s">
        <v>174</v>
      </c>
    </row>
    <row r="386" spans="1:3" ht="18" customHeight="1" x14ac:dyDescent="0.2">
      <c r="A386" s="3"/>
      <c r="B386" s="6" t="str">
        <f t="shared" si="5"/>
        <v xml:space="preserve"> </v>
      </c>
      <c r="C386" s="20" t="s">
        <v>174</v>
      </c>
    </row>
    <row r="387" spans="1:3" ht="18" customHeight="1" x14ac:dyDescent="0.2">
      <c r="A387" s="3"/>
      <c r="B387" s="6" t="str">
        <f t="shared" ref="B387:B450" si="6">IF(ISBLANK(A387)=TRUE,B386,B386&amp;","&amp;A387)</f>
        <v xml:space="preserve"> </v>
      </c>
      <c r="C387" s="20" t="s">
        <v>174</v>
      </c>
    </row>
    <row r="388" spans="1:3" ht="18" customHeight="1" x14ac:dyDescent="0.2">
      <c r="A388" s="3"/>
      <c r="B388" s="6" t="str">
        <f t="shared" si="6"/>
        <v xml:space="preserve"> </v>
      </c>
      <c r="C388" s="20" t="s">
        <v>174</v>
      </c>
    </row>
    <row r="389" spans="1:3" ht="18" customHeight="1" x14ac:dyDescent="0.2">
      <c r="A389" s="3"/>
      <c r="B389" s="6" t="str">
        <f t="shared" si="6"/>
        <v xml:space="preserve"> </v>
      </c>
      <c r="C389" s="20" t="s">
        <v>174</v>
      </c>
    </row>
    <row r="390" spans="1:3" ht="18" customHeight="1" x14ac:dyDescent="0.2">
      <c r="A390" s="3"/>
      <c r="B390" s="6" t="str">
        <f t="shared" si="6"/>
        <v xml:space="preserve"> </v>
      </c>
      <c r="C390" s="20" t="s">
        <v>174</v>
      </c>
    </row>
    <row r="391" spans="1:3" ht="18" customHeight="1" x14ac:dyDescent="0.2">
      <c r="A391" s="3"/>
      <c r="B391" s="6" t="str">
        <f t="shared" si="6"/>
        <v xml:space="preserve"> </v>
      </c>
      <c r="C391" s="20" t="s">
        <v>174</v>
      </c>
    </row>
    <row r="392" spans="1:3" ht="18" customHeight="1" x14ac:dyDescent="0.2">
      <c r="A392" s="3"/>
      <c r="B392" s="6" t="str">
        <f t="shared" si="6"/>
        <v xml:space="preserve"> </v>
      </c>
      <c r="C392" s="20" t="s">
        <v>174</v>
      </c>
    </row>
    <row r="393" spans="1:3" ht="18" customHeight="1" x14ac:dyDescent="0.2">
      <c r="A393" s="3"/>
      <c r="B393" s="6" t="str">
        <f t="shared" si="6"/>
        <v xml:space="preserve"> </v>
      </c>
      <c r="C393" s="20" t="s">
        <v>174</v>
      </c>
    </row>
    <row r="394" spans="1:3" ht="18" customHeight="1" x14ac:dyDescent="0.2">
      <c r="A394" s="3"/>
      <c r="B394" s="6" t="str">
        <f t="shared" si="6"/>
        <v xml:space="preserve"> </v>
      </c>
      <c r="C394" s="20" t="s">
        <v>174</v>
      </c>
    </row>
    <row r="395" spans="1:3" ht="18" customHeight="1" x14ac:dyDescent="0.2">
      <c r="A395" s="3"/>
      <c r="B395" s="6" t="str">
        <f t="shared" si="6"/>
        <v xml:space="preserve"> </v>
      </c>
      <c r="C395" s="20" t="s">
        <v>174</v>
      </c>
    </row>
    <row r="396" spans="1:3" ht="18" customHeight="1" x14ac:dyDescent="0.2">
      <c r="A396" s="3"/>
      <c r="B396" s="6" t="str">
        <f t="shared" si="6"/>
        <v xml:space="preserve"> </v>
      </c>
      <c r="C396" s="20" t="s">
        <v>174</v>
      </c>
    </row>
    <row r="397" spans="1:3" ht="18" customHeight="1" x14ac:dyDescent="0.2">
      <c r="A397" s="3"/>
      <c r="B397" s="6" t="str">
        <f t="shared" si="6"/>
        <v xml:space="preserve"> </v>
      </c>
      <c r="C397" s="20" t="s">
        <v>174</v>
      </c>
    </row>
    <row r="398" spans="1:3" ht="18" customHeight="1" x14ac:dyDescent="0.2">
      <c r="A398" s="3"/>
      <c r="B398" s="6" t="str">
        <f t="shared" si="6"/>
        <v xml:space="preserve"> </v>
      </c>
      <c r="C398" s="20" t="s">
        <v>174</v>
      </c>
    </row>
    <row r="399" spans="1:3" ht="18" customHeight="1" x14ac:dyDescent="0.2">
      <c r="A399" s="3"/>
      <c r="B399" s="6" t="str">
        <f t="shared" si="6"/>
        <v xml:space="preserve"> </v>
      </c>
      <c r="C399" s="20" t="s">
        <v>174</v>
      </c>
    </row>
    <row r="400" spans="1:3" ht="18" customHeight="1" x14ac:dyDescent="0.2">
      <c r="A400" s="3"/>
      <c r="B400" s="6" t="str">
        <f t="shared" si="6"/>
        <v xml:space="preserve"> </v>
      </c>
      <c r="C400" s="20" t="s">
        <v>174</v>
      </c>
    </row>
    <row r="401" spans="1:3" ht="18" customHeight="1" x14ac:dyDescent="0.2">
      <c r="A401" s="3"/>
      <c r="B401" s="6" t="str">
        <f t="shared" si="6"/>
        <v xml:space="preserve"> </v>
      </c>
      <c r="C401" s="20" t="s">
        <v>174</v>
      </c>
    </row>
    <row r="402" spans="1:3" ht="18" customHeight="1" x14ac:dyDescent="0.2">
      <c r="A402" s="3"/>
      <c r="B402" s="6" t="str">
        <f t="shared" si="6"/>
        <v xml:space="preserve"> </v>
      </c>
      <c r="C402" s="20" t="s">
        <v>174</v>
      </c>
    </row>
    <row r="403" spans="1:3" ht="18" customHeight="1" x14ac:dyDescent="0.2">
      <c r="A403" s="3"/>
      <c r="B403" s="6" t="str">
        <f t="shared" si="6"/>
        <v xml:space="preserve"> </v>
      </c>
      <c r="C403" s="20" t="s">
        <v>174</v>
      </c>
    </row>
    <row r="404" spans="1:3" ht="18" customHeight="1" x14ac:dyDescent="0.2">
      <c r="A404" s="3"/>
      <c r="B404" s="6" t="str">
        <f t="shared" si="6"/>
        <v xml:space="preserve"> </v>
      </c>
      <c r="C404" s="20" t="s">
        <v>174</v>
      </c>
    </row>
    <row r="405" spans="1:3" ht="18" customHeight="1" x14ac:dyDescent="0.2">
      <c r="A405" s="3"/>
      <c r="B405" s="6" t="str">
        <f t="shared" si="6"/>
        <v xml:space="preserve"> </v>
      </c>
      <c r="C405" s="20" t="s">
        <v>174</v>
      </c>
    </row>
    <row r="406" spans="1:3" ht="18" customHeight="1" x14ac:dyDescent="0.2">
      <c r="A406" s="3"/>
      <c r="B406" s="6" t="str">
        <f t="shared" si="6"/>
        <v xml:space="preserve"> </v>
      </c>
      <c r="C406" s="20" t="s">
        <v>174</v>
      </c>
    </row>
    <row r="407" spans="1:3" ht="18" customHeight="1" x14ac:dyDescent="0.2">
      <c r="A407" s="3"/>
      <c r="B407" s="6" t="str">
        <f t="shared" si="6"/>
        <v xml:space="preserve"> </v>
      </c>
      <c r="C407" s="20" t="s">
        <v>174</v>
      </c>
    </row>
    <row r="408" spans="1:3" ht="18" customHeight="1" x14ac:dyDescent="0.2">
      <c r="A408" s="3"/>
      <c r="B408" s="6" t="str">
        <f t="shared" si="6"/>
        <v xml:space="preserve"> </v>
      </c>
      <c r="C408" s="20" t="s">
        <v>174</v>
      </c>
    </row>
    <row r="409" spans="1:3" ht="18" customHeight="1" x14ac:dyDescent="0.2">
      <c r="A409" s="3"/>
      <c r="B409" s="6" t="str">
        <f t="shared" si="6"/>
        <v xml:space="preserve"> </v>
      </c>
      <c r="C409" s="20" t="s">
        <v>174</v>
      </c>
    </row>
    <row r="410" spans="1:3" ht="18" customHeight="1" x14ac:dyDescent="0.2">
      <c r="A410" s="3"/>
      <c r="B410" s="6" t="str">
        <f t="shared" si="6"/>
        <v xml:space="preserve"> </v>
      </c>
      <c r="C410" s="20" t="s">
        <v>174</v>
      </c>
    </row>
    <row r="411" spans="1:3" ht="18" customHeight="1" x14ac:dyDescent="0.2">
      <c r="A411" s="3"/>
      <c r="B411" s="6" t="str">
        <f t="shared" si="6"/>
        <v xml:space="preserve"> </v>
      </c>
      <c r="C411" s="20" t="s">
        <v>174</v>
      </c>
    </row>
    <row r="412" spans="1:3" ht="18" customHeight="1" x14ac:dyDescent="0.2">
      <c r="A412" s="3"/>
      <c r="B412" s="6" t="str">
        <f t="shared" si="6"/>
        <v xml:space="preserve"> </v>
      </c>
      <c r="C412" s="20" t="s">
        <v>174</v>
      </c>
    </row>
    <row r="413" spans="1:3" ht="18" customHeight="1" x14ac:dyDescent="0.2">
      <c r="A413" s="3"/>
      <c r="B413" s="6" t="str">
        <f t="shared" si="6"/>
        <v xml:space="preserve"> </v>
      </c>
      <c r="C413" s="20" t="s">
        <v>174</v>
      </c>
    </row>
    <row r="414" spans="1:3" ht="18" customHeight="1" x14ac:dyDescent="0.2">
      <c r="A414" s="3"/>
      <c r="B414" s="6" t="str">
        <f t="shared" si="6"/>
        <v xml:space="preserve"> </v>
      </c>
      <c r="C414" s="20" t="s">
        <v>174</v>
      </c>
    </row>
    <row r="415" spans="1:3" ht="18" customHeight="1" x14ac:dyDescent="0.2">
      <c r="A415" s="3"/>
      <c r="B415" s="6" t="str">
        <f t="shared" si="6"/>
        <v xml:space="preserve"> </v>
      </c>
      <c r="C415" s="20" t="s">
        <v>174</v>
      </c>
    </row>
    <row r="416" spans="1:3" ht="18" customHeight="1" x14ac:dyDescent="0.2">
      <c r="A416" s="3"/>
      <c r="B416" s="6" t="str">
        <f t="shared" si="6"/>
        <v xml:space="preserve"> </v>
      </c>
      <c r="C416" s="20" t="s">
        <v>174</v>
      </c>
    </row>
    <row r="417" spans="1:3" ht="18" customHeight="1" x14ac:dyDescent="0.2">
      <c r="A417" s="3"/>
      <c r="B417" s="6" t="str">
        <f t="shared" si="6"/>
        <v xml:space="preserve"> </v>
      </c>
      <c r="C417" s="20" t="s">
        <v>174</v>
      </c>
    </row>
    <row r="418" spans="1:3" ht="18" customHeight="1" x14ac:dyDescent="0.2">
      <c r="A418" s="3"/>
      <c r="B418" s="6" t="str">
        <f t="shared" si="6"/>
        <v xml:space="preserve"> </v>
      </c>
      <c r="C418" s="20" t="s">
        <v>174</v>
      </c>
    </row>
    <row r="419" spans="1:3" ht="18" customHeight="1" x14ac:dyDescent="0.2">
      <c r="A419" s="3"/>
      <c r="B419" s="6" t="str">
        <f t="shared" si="6"/>
        <v xml:space="preserve"> </v>
      </c>
      <c r="C419" s="20" t="s">
        <v>174</v>
      </c>
    </row>
    <row r="420" spans="1:3" ht="18" customHeight="1" x14ac:dyDescent="0.2">
      <c r="A420" s="3"/>
      <c r="B420" s="6" t="str">
        <f t="shared" si="6"/>
        <v xml:space="preserve"> </v>
      </c>
      <c r="C420" s="20" t="s">
        <v>174</v>
      </c>
    </row>
    <row r="421" spans="1:3" ht="18" customHeight="1" x14ac:dyDescent="0.2">
      <c r="A421" s="3"/>
      <c r="B421" s="6" t="str">
        <f t="shared" si="6"/>
        <v xml:space="preserve"> </v>
      </c>
      <c r="C421" s="20" t="s">
        <v>174</v>
      </c>
    </row>
    <row r="422" spans="1:3" ht="18" customHeight="1" x14ac:dyDescent="0.2">
      <c r="A422" s="3"/>
      <c r="B422" s="6" t="str">
        <f t="shared" si="6"/>
        <v xml:space="preserve"> </v>
      </c>
      <c r="C422" s="20" t="s">
        <v>174</v>
      </c>
    </row>
    <row r="423" spans="1:3" ht="18" customHeight="1" x14ac:dyDescent="0.2">
      <c r="A423" s="3"/>
      <c r="B423" s="6" t="str">
        <f t="shared" si="6"/>
        <v xml:space="preserve"> </v>
      </c>
      <c r="C423" s="20" t="s">
        <v>174</v>
      </c>
    </row>
    <row r="424" spans="1:3" ht="18" customHeight="1" x14ac:dyDescent="0.2">
      <c r="A424" s="3"/>
      <c r="B424" s="6" t="str">
        <f t="shared" si="6"/>
        <v xml:space="preserve"> </v>
      </c>
      <c r="C424" s="20" t="s">
        <v>174</v>
      </c>
    </row>
    <row r="425" spans="1:3" ht="18" customHeight="1" x14ac:dyDescent="0.2">
      <c r="A425" s="3"/>
      <c r="B425" s="6" t="str">
        <f t="shared" si="6"/>
        <v xml:space="preserve"> </v>
      </c>
      <c r="C425" s="20" t="s">
        <v>174</v>
      </c>
    </row>
    <row r="426" spans="1:3" ht="18" customHeight="1" x14ac:dyDescent="0.2">
      <c r="A426" s="3"/>
      <c r="B426" s="6" t="str">
        <f t="shared" si="6"/>
        <v xml:space="preserve"> </v>
      </c>
      <c r="C426" s="20" t="s">
        <v>174</v>
      </c>
    </row>
    <row r="427" spans="1:3" ht="18" customHeight="1" x14ac:dyDescent="0.2">
      <c r="A427" s="3"/>
      <c r="B427" s="6" t="str">
        <f t="shared" si="6"/>
        <v xml:space="preserve"> </v>
      </c>
      <c r="C427" s="20" t="s">
        <v>174</v>
      </c>
    </row>
    <row r="428" spans="1:3" ht="18" customHeight="1" x14ac:dyDescent="0.2">
      <c r="A428" s="3"/>
      <c r="B428" s="6" t="str">
        <f t="shared" si="6"/>
        <v xml:space="preserve"> </v>
      </c>
      <c r="C428" s="20" t="s">
        <v>174</v>
      </c>
    </row>
    <row r="429" spans="1:3" ht="18" customHeight="1" x14ac:dyDescent="0.2">
      <c r="A429" s="3"/>
      <c r="B429" s="6" t="str">
        <f t="shared" si="6"/>
        <v xml:space="preserve"> </v>
      </c>
      <c r="C429" s="20" t="s">
        <v>174</v>
      </c>
    </row>
    <row r="430" spans="1:3" ht="18" customHeight="1" x14ac:dyDescent="0.2">
      <c r="A430" s="3"/>
      <c r="B430" s="6" t="str">
        <f t="shared" si="6"/>
        <v xml:space="preserve"> </v>
      </c>
      <c r="C430" s="20" t="s">
        <v>174</v>
      </c>
    </row>
    <row r="431" spans="1:3" ht="18" customHeight="1" x14ac:dyDescent="0.2">
      <c r="A431" s="3"/>
      <c r="B431" s="6" t="str">
        <f t="shared" si="6"/>
        <v xml:space="preserve"> </v>
      </c>
      <c r="C431" s="20" t="s">
        <v>174</v>
      </c>
    </row>
    <row r="432" spans="1:3" ht="18" customHeight="1" x14ac:dyDescent="0.2">
      <c r="A432" s="3"/>
      <c r="B432" s="6" t="str">
        <f t="shared" si="6"/>
        <v xml:space="preserve"> </v>
      </c>
      <c r="C432" s="20" t="s">
        <v>174</v>
      </c>
    </row>
    <row r="433" spans="1:3" ht="18" customHeight="1" x14ac:dyDescent="0.2">
      <c r="A433" s="3"/>
      <c r="B433" s="6" t="str">
        <f t="shared" si="6"/>
        <v xml:space="preserve"> </v>
      </c>
      <c r="C433" s="20" t="s">
        <v>174</v>
      </c>
    </row>
    <row r="434" spans="1:3" ht="18" customHeight="1" x14ac:dyDescent="0.2">
      <c r="A434" s="3"/>
      <c r="B434" s="6" t="str">
        <f t="shared" si="6"/>
        <v xml:space="preserve"> </v>
      </c>
      <c r="C434" s="20" t="s">
        <v>174</v>
      </c>
    </row>
    <row r="435" spans="1:3" ht="18" customHeight="1" x14ac:dyDescent="0.2">
      <c r="A435" s="3"/>
      <c r="B435" s="6" t="str">
        <f t="shared" si="6"/>
        <v xml:space="preserve"> </v>
      </c>
      <c r="C435" s="20" t="s">
        <v>174</v>
      </c>
    </row>
    <row r="436" spans="1:3" ht="18" customHeight="1" x14ac:dyDescent="0.2">
      <c r="A436" s="3"/>
      <c r="B436" s="6" t="str">
        <f t="shared" si="6"/>
        <v xml:space="preserve"> </v>
      </c>
      <c r="C436" s="20" t="s">
        <v>174</v>
      </c>
    </row>
    <row r="437" spans="1:3" ht="18" customHeight="1" x14ac:dyDescent="0.2">
      <c r="A437" s="3"/>
      <c r="B437" s="6" t="str">
        <f t="shared" si="6"/>
        <v xml:space="preserve"> </v>
      </c>
      <c r="C437" s="20" t="s">
        <v>174</v>
      </c>
    </row>
    <row r="438" spans="1:3" ht="18" customHeight="1" x14ac:dyDescent="0.2">
      <c r="A438" s="3"/>
      <c r="B438" s="6" t="str">
        <f t="shared" si="6"/>
        <v xml:space="preserve"> </v>
      </c>
      <c r="C438" s="20" t="s">
        <v>174</v>
      </c>
    </row>
    <row r="439" spans="1:3" ht="18" customHeight="1" x14ac:dyDescent="0.2">
      <c r="A439" s="3"/>
      <c r="B439" s="6" t="str">
        <f t="shared" si="6"/>
        <v xml:space="preserve"> </v>
      </c>
      <c r="C439" s="20" t="s">
        <v>174</v>
      </c>
    </row>
    <row r="440" spans="1:3" ht="18" customHeight="1" x14ac:dyDescent="0.2">
      <c r="A440" s="3"/>
      <c r="B440" s="6" t="str">
        <f t="shared" si="6"/>
        <v xml:space="preserve"> </v>
      </c>
      <c r="C440" s="20" t="s">
        <v>174</v>
      </c>
    </row>
    <row r="441" spans="1:3" ht="18" customHeight="1" x14ac:dyDescent="0.2">
      <c r="A441" s="3"/>
      <c r="B441" s="6" t="str">
        <f t="shared" si="6"/>
        <v xml:space="preserve"> </v>
      </c>
      <c r="C441" s="20" t="s">
        <v>174</v>
      </c>
    </row>
    <row r="442" spans="1:3" ht="18" customHeight="1" x14ac:dyDescent="0.2">
      <c r="A442" s="3"/>
      <c r="B442" s="6" t="str">
        <f t="shared" si="6"/>
        <v xml:space="preserve"> </v>
      </c>
      <c r="C442" s="20" t="s">
        <v>174</v>
      </c>
    </row>
    <row r="443" spans="1:3" ht="18" customHeight="1" x14ac:dyDescent="0.2">
      <c r="A443" s="3"/>
      <c r="B443" s="6" t="str">
        <f t="shared" si="6"/>
        <v xml:space="preserve"> </v>
      </c>
      <c r="C443" s="20" t="s">
        <v>174</v>
      </c>
    </row>
    <row r="444" spans="1:3" ht="18" customHeight="1" x14ac:dyDescent="0.2">
      <c r="A444" s="3"/>
      <c r="B444" s="6" t="str">
        <f t="shared" si="6"/>
        <v xml:space="preserve"> </v>
      </c>
      <c r="C444" s="20" t="s">
        <v>174</v>
      </c>
    </row>
    <row r="445" spans="1:3" ht="18" customHeight="1" x14ac:dyDescent="0.2">
      <c r="A445" s="3"/>
      <c r="B445" s="6" t="str">
        <f t="shared" si="6"/>
        <v xml:space="preserve"> </v>
      </c>
      <c r="C445" s="20" t="s">
        <v>174</v>
      </c>
    </row>
    <row r="446" spans="1:3" ht="18" customHeight="1" x14ac:dyDescent="0.2">
      <c r="A446" s="3"/>
      <c r="B446" s="6" t="str">
        <f t="shared" si="6"/>
        <v xml:space="preserve"> </v>
      </c>
      <c r="C446" s="20" t="s">
        <v>174</v>
      </c>
    </row>
    <row r="447" spans="1:3" ht="18" customHeight="1" x14ac:dyDescent="0.2">
      <c r="A447" s="3"/>
      <c r="B447" s="6" t="str">
        <f t="shared" si="6"/>
        <v xml:space="preserve"> </v>
      </c>
      <c r="C447" s="20" t="s">
        <v>174</v>
      </c>
    </row>
    <row r="448" spans="1:3" ht="18" customHeight="1" x14ac:dyDescent="0.2">
      <c r="A448" s="3"/>
      <c r="B448" s="6" t="str">
        <f t="shared" si="6"/>
        <v xml:space="preserve"> </v>
      </c>
      <c r="C448" s="20" t="s">
        <v>174</v>
      </c>
    </row>
    <row r="449" spans="1:3" ht="18" customHeight="1" x14ac:dyDescent="0.2">
      <c r="A449" s="3"/>
      <c r="B449" s="6" t="str">
        <f t="shared" si="6"/>
        <v xml:space="preserve"> </v>
      </c>
      <c r="C449" s="20" t="s">
        <v>174</v>
      </c>
    </row>
    <row r="450" spans="1:3" ht="18" customHeight="1" x14ac:dyDescent="0.2">
      <c r="A450" s="3"/>
      <c r="B450" s="6" t="str">
        <f t="shared" si="6"/>
        <v xml:space="preserve"> </v>
      </c>
      <c r="C450" s="20" t="s">
        <v>174</v>
      </c>
    </row>
    <row r="451" spans="1:3" ht="18" customHeight="1" x14ac:dyDescent="0.2">
      <c r="A451" s="3"/>
      <c r="B451" s="6" t="str">
        <f t="shared" ref="B451:B514" si="7">IF(ISBLANK(A451)=TRUE,B450,B450&amp;","&amp;A451)</f>
        <v xml:space="preserve"> </v>
      </c>
      <c r="C451" s="20" t="s">
        <v>174</v>
      </c>
    </row>
    <row r="452" spans="1:3" ht="18" customHeight="1" x14ac:dyDescent="0.2">
      <c r="A452" s="3"/>
      <c r="B452" s="6" t="str">
        <f t="shared" si="7"/>
        <v xml:space="preserve"> </v>
      </c>
      <c r="C452" s="20" t="s">
        <v>174</v>
      </c>
    </row>
    <row r="453" spans="1:3" ht="18" customHeight="1" x14ac:dyDescent="0.2">
      <c r="A453" s="3"/>
      <c r="B453" s="6" t="str">
        <f t="shared" si="7"/>
        <v xml:space="preserve"> </v>
      </c>
      <c r="C453" s="20" t="s">
        <v>174</v>
      </c>
    </row>
    <row r="454" spans="1:3" ht="18" customHeight="1" x14ac:dyDescent="0.2">
      <c r="A454" s="3"/>
      <c r="B454" s="6" t="str">
        <f t="shared" si="7"/>
        <v xml:space="preserve"> </v>
      </c>
      <c r="C454" s="20" t="s">
        <v>174</v>
      </c>
    </row>
    <row r="455" spans="1:3" ht="18" customHeight="1" x14ac:dyDescent="0.2">
      <c r="A455" s="3"/>
      <c r="B455" s="6" t="str">
        <f t="shared" si="7"/>
        <v xml:space="preserve"> </v>
      </c>
      <c r="C455" s="20" t="s">
        <v>174</v>
      </c>
    </row>
    <row r="456" spans="1:3" ht="18" customHeight="1" x14ac:dyDescent="0.2">
      <c r="A456" s="3"/>
      <c r="B456" s="6" t="str">
        <f t="shared" si="7"/>
        <v xml:space="preserve"> </v>
      </c>
      <c r="C456" s="20" t="s">
        <v>174</v>
      </c>
    </row>
    <row r="457" spans="1:3" ht="18" customHeight="1" x14ac:dyDescent="0.2">
      <c r="A457" s="3"/>
      <c r="B457" s="6" t="str">
        <f t="shared" si="7"/>
        <v xml:space="preserve"> </v>
      </c>
      <c r="C457" s="20" t="s">
        <v>174</v>
      </c>
    </row>
    <row r="458" spans="1:3" ht="18" customHeight="1" x14ac:dyDescent="0.2">
      <c r="A458" s="3"/>
      <c r="B458" s="6" t="str">
        <f t="shared" si="7"/>
        <v xml:space="preserve"> </v>
      </c>
      <c r="C458" s="20" t="s">
        <v>174</v>
      </c>
    </row>
    <row r="459" spans="1:3" ht="18" customHeight="1" x14ac:dyDescent="0.2">
      <c r="A459" s="3"/>
      <c r="B459" s="6" t="str">
        <f t="shared" si="7"/>
        <v xml:space="preserve"> </v>
      </c>
      <c r="C459" s="20" t="s">
        <v>174</v>
      </c>
    </row>
    <row r="460" spans="1:3" ht="18" customHeight="1" x14ac:dyDescent="0.2">
      <c r="A460" s="3"/>
      <c r="B460" s="6" t="str">
        <f t="shared" si="7"/>
        <v xml:space="preserve"> </v>
      </c>
      <c r="C460" s="20" t="s">
        <v>174</v>
      </c>
    </row>
    <row r="461" spans="1:3" ht="18" customHeight="1" x14ac:dyDescent="0.2">
      <c r="A461" s="3"/>
      <c r="B461" s="6" t="str">
        <f t="shared" si="7"/>
        <v xml:space="preserve"> </v>
      </c>
      <c r="C461" s="20" t="s">
        <v>174</v>
      </c>
    </row>
    <row r="462" spans="1:3" ht="18" customHeight="1" x14ac:dyDescent="0.2">
      <c r="A462" s="3"/>
      <c r="B462" s="6" t="str">
        <f t="shared" si="7"/>
        <v xml:space="preserve"> </v>
      </c>
      <c r="C462" s="20" t="s">
        <v>174</v>
      </c>
    </row>
    <row r="463" spans="1:3" ht="18" customHeight="1" x14ac:dyDescent="0.2">
      <c r="A463" s="3"/>
      <c r="B463" s="6" t="str">
        <f t="shared" si="7"/>
        <v xml:space="preserve"> </v>
      </c>
      <c r="C463" s="20" t="s">
        <v>174</v>
      </c>
    </row>
    <row r="464" spans="1:3" ht="18" customHeight="1" x14ac:dyDescent="0.2">
      <c r="A464" s="3"/>
      <c r="B464" s="6" t="str">
        <f t="shared" si="7"/>
        <v xml:space="preserve"> </v>
      </c>
      <c r="C464" s="20" t="s">
        <v>174</v>
      </c>
    </row>
    <row r="465" spans="1:3" ht="18" customHeight="1" x14ac:dyDescent="0.2">
      <c r="A465" s="3"/>
      <c r="B465" s="6" t="str">
        <f t="shared" si="7"/>
        <v xml:space="preserve"> </v>
      </c>
      <c r="C465" s="20" t="s">
        <v>174</v>
      </c>
    </row>
    <row r="466" spans="1:3" ht="18" customHeight="1" x14ac:dyDescent="0.2">
      <c r="A466" s="3"/>
      <c r="B466" s="6" t="str">
        <f t="shared" si="7"/>
        <v xml:space="preserve"> </v>
      </c>
      <c r="C466" s="20" t="s">
        <v>174</v>
      </c>
    </row>
    <row r="467" spans="1:3" ht="18" customHeight="1" x14ac:dyDescent="0.2">
      <c r="A467" s="3"/>
      <c r="B467" s="6" t="str">
        <f t="shared" si="7"/>
        <v xml:space="preserve"> </v>
      </c>
      <c r="C467" s="20" t="s">
        <v>174</v>
      </c>
    </row>
    <row r="468" spans="1:3" ht="18" customHeight="1" x14ac:dyDescent="0.2">
      <c r="A468" s="3"/>
      <c r="B468" s="6" t="str">
        <f t="shared" si="7"/>
        <v xml:space="preserve"> </v>
      </c>
      <c r="C468" s="20" t="s">
        <v>174</v>
      </c>
    </row>
    <row r="469" spans="1:3" ht="18" customHeight="1" x14ac:dyDescent="0.2">
      <c r="A469" s="3"/>
      <c r="B469" s="6" t="str">
        <f t="shared" si="7"/>
        <v xml:space="preserve"> </v>
      </c>
      <c r="C469" s="20" t="s">
        <v>174</v>
      </c>
    </row>
    <row r="470" spans="1:3" ht="18" customHeight="1" x14ac:dyDescent="0.2">
      <c r="A470" s="3"/>
      <c r="B470" s="6" t="str">
        <f t="shared" si="7"/>
        <v xml:space="preserve"> </v>
      </c>
      <c r="C470" s="20" t="s">
        <v>174</v>
      </c>
    </row>
    <row r="471" spans="1:3" ht="18" customHeight="1" x14ac:dyDescent="0.2">
      <c r="A471" s="3"/>
      <c r="B471" s="6" t="str">
        <f t="shared" si="7"/>
        <v xml:space="preserve"> </v>
      </c>
      <c r="C471" s="20" t="s">
        <v>174</v>
      </c>
    </row>
    <row r="472" spans="1:3" ht="18" customHeight="1" x14ac:dyDescent="0.2">
      <c r="A472" s="3"/>
      <c r="B472" s="6" t="str">
        <f t="shared" si="7"/>
        <v xml:space="preserve"> </v>
      </c>
      <c r="C472" s="20" t="s">
        <v>174</v>
      </c>
    </row>
    <row r="473" spans="1:3" ht="18" customHeight="1" x14ac:dyDescent="0.2">
      <c r="A473" s="3"/>
      <c r="B473" s="6" t="str">
        <f t="shared" si="7"/>
        <v xml:space="preserve"> </v>
      </c>
      <c r="C473" s="20" t="s">
        <v>174</v>
      </c>
    </row>
    <row r="474" spans="1:3" ht="18" customHeight="1" x14ac:dyDescent="0.2">
      <c r="A474" s="3"/>
      <c r="B474" s="6" t="str">
        <f t="shared" si="7"/>
        <v xml:space="preserve"> </v>
      </c>
      <c r="C474" s="20" t="s">
        <v>174</v>
      </c>
    </row>
    <row r="475" spans="1:3" ht="18" customHeight="1" x14ac:dyDescent="0.2">
      <c r="A475" s="3"/>
      <c r="B475" s="6" t="str">
        <f t="shared" si="7"/>
        <v xml:space="preserve"> </v>
      </c>
      <c r="C475" s="20" t="s">
        <v>174</v>
      </c>
    </row>
    <row r="476" spans="1:3" ht="18" customHeight="1" x14ac:dyDescent="0.2">
      <c r="A476" s="3"/>
      <c r="B476" s="6" t="str">
        <f t="shared" si="7"/>
        <v xml:space="preserve"> </v>
      </c>
      <c r="C476" s="20" t="s">
        <v>174</v>
      </c>
    </row>
    <row r="477" spans="1:3" ht="18" customHeight="1" x14ac:dyDescent="0.2">
      <c r="A477" s="3"/>
      <c r="B477" s="6" t="str">
        <f t="shared" si="7"/>
        <v xml:space="preserve"> </v>
      </c>
      <c r="C477" s="20" t="s">
        <v>174</v>
      </c>
    </row>
    <row r="478" spans="1:3" ht="18" customHeight="1" x14ac:dyDescent="0.2">
      <c r="A478" s="3"/>
      <c r="B478" s="6" t="str">
        <f t="shared" si="7"/>
        <v xml:space="preserve"> </v>
      </c>
      <c r="C478" s="20" t="s">
        <v>174</v>
      </c>
    </row>
    <row r="479" spans="1:3" ht="18" customHeight="1" x14ac:dyDescent="0.2">
      <c r="A479" s="3"/>
      <c r="B479" s="6" t="str">
        <f t="shared" si="7"/>
        <v xml:space="preserve"> </v>
      </c>
      <c r="C479" s="20" t="s">
        <v>174</v>
      </c>
    </row>
    <row r="480" spans="1:3" ht="18" customHeight="1" x14ac:dyDescent="0.2">
      <c r="A480" s="3"/>
      <c r="B480" s="6" t="str">
        <f t="shared" si="7"/>
        <v xml:space="preserve"> </v>
      </c>
      <c r="C480" s="20" t="s">
        <v>174</v>
      </c>
    </row>
    <row r="481" spans="1:3" ht="18" customHeight="1" x14ac:dyDescent="0.2">
      <c r="A481" s="3"/>
      <c r="B481" s="6" t="str">
        <f t="shared" si="7"/>
        <v xml:space="preserve"> </v>
      </c>
      <c r="C481" s="20" t="s">
        <v>174</v>
      </c>
    </row>
    <row r="482" spans="1:3" ht="18" customHeight="1" x14ac:dyDescent="0.2">
      <c r="A482" s="3"/>
      <c r="B482" s="6" t="str">
        <f t="shared" si="7"/>
        <v xml:space="preserve"> </v>
      </c>
      <c r="C482" s="20" t="s">
        <v>174</v>
      </c>
    </row>
    <row r="483" spans="1:3" ht="18" customHeight="1" x14ac:dyDescent="0.2">
      <c r="A483" s="3"/>
      <c r="B483" s="6" t="str">
        <f t="shared" si="7"/>
        <v xml:space="preserve"> </v>
      </c>
      <c r="C483" s="20" t="s">
        <v>174</v>
      </c>
    </row>
    <row r="484" spans="1:3" ht="18" customHeight="1" x14ac:dyDescent="0.2">
      <c r="A484" s="3"/>
      <c r="B484" s="6" t="str">
        <f t="shared" si="7"/>
        <v xml:space="preserve"> </v>
      </c>
      <c r="C484" s="20" t="s">
        <v>174</v>
      </c>
    </row>
    <row r="485" spans="1:3" ht="18" customHeight="1" x14ac:dyDescent="0.2">
      <c r="A485" s="3"/>
      <c r="B485" s="6" t="str">
        <f t="shared" si="7"/>
        <v xml:space="preserve"> </v>
      </c>
      <c r="C485" s="20" t="s">
        <v>174</v>
      </c>
    </row>
    <row r="486" spans="1:3" ht="18" customHeight="1" x14ac:dyDescent="0.2">
      <c r="A486" s="3"/>
      <c r="B486" s="6" t="str">
        <f t="shared" si="7"/>
        <v xml:space="preserve"> </v>
      </c>
      <c r="C486" s="20" t="s">
        <v>174</v>
      </c>
    </row>
    <row r="487" spans="1:3" ht="18" customHeight="1" x14ac:dyDescent="0.2">
      <c r="A487" s="3"/>
      <c r="B487" s="6" t="str">
        <f t="shared" si="7"/>
        <v xml:space="preserve"> </v>
      </c>
      <c r="C487" s="20" t="s">
        <v>174</v>
      </c>
    </row>
    <row r="488" spans="1:3" ht="18" customHeight="1" x14ac:dyDescent="0.2">
      <c r="A488" s="3"/>
      <c r="B488" s="6" t="str">
        <f t="shared" si="7"/>
        <v xml:space="preserve"> </v>
      </c>
      <c r="C488" s="20" t="s">
        <v>174</v>
      </c>
    </row>
    <row r="489" spans="1:3" ht="18" customHeight="1" x14ac:dyDescent="0.2">
      <c r="A489" s="3"/>
      <c r="B489" s="6" t="str">
        <f t="shared" si="7"/>
        <v xml:space="preserve"> </v>
      </c>
      <c r="C489" s="20" t="s">
        <v>174</v>
      </c>
    </row>
    <row r="490" spans="1:3" ht="18" customHeight="1" x14ac:dyDescent="0.2">
      <c r="A490" s="3"/>
      <c r="B490" s="6" t="str">
        <f t="shared" si="7"/>
        <v xml:space="preserve"> </v>
      </c>
      <c r="C490" s="20" t="s">
        <v>174</v>
      </c>
    </row>
    <row r="491" spans="1:3" ht="18" customHeight="1" x14ac:dyDescent="0.2">
      <c r="A491" s="3"/>
      <c r="B491" s="6" t="str">
        <f t="shared" si="7"/>
        <v xml:space="preserve"> </v>
      </c>
      <c r="C491" s="20" t="s">
        <v>174</v>
      </c>
    </row>
    <row r="492" spans="1:3" ht="18" customHeight="1" x14ac:dyDescent="0.2">
      <c r="A492" s="3"/>
      <c r="B492" s="6" t="str">
        <f t="shared" si="7"/>
        <v xml:space="preserve"> </v>
      </c>
      <c r="C492" s="20" t="s">
        <v>174</v>
      </c>
    </row>
    <row r="493" spans="1:3" ht="18" customHeight="1" x14ac:dyDescent="0.2">
      <c r="A493" s="3"/>
      <c r="B493" s="6" t="str">
        <f t="shared" si="7"/>
        <v xml:space="preserve"> </v>
      </c>
      <c r="C493" s="20" t="s">
        <v>174</v>
      </c>
    </row>
    <row r="494" spans="1:3" ht="18" customHeight="1" x14ac:dyDescent="0.2">
      <c r="A494" s="3"/>
      <c r="B494" s="6" t="str">
        <f t="shared" si="7"/>
        <v xml:space="preserve"> </v>
      </c>
      <c r="C494" s="20" t="s">
        <v>174</v>
      </c>
    </row>
    <row r="495" spans="1:3" ht="18" customHeight="1" x14ac:dyDescent="0.2">
      <c r="A495" s="3"/>
      <c r="B495" s="6" t="str">
        <f t="shared" si="7"/>
        <v xml:space="preserve"> </v>
      </c>
      <c r="C495" s="20" t="s">
        <v>174</v>
      </c>
    </row>
    <row r="496" spans="1:3" ht="18" customHeight="1" x14ac:dyDescent="0.2">
      <c r="A496" s="3"/>
      <c r="B496" s="6" t="str">
        <f t="shared" si="7"/>
        <v xml:space="preserve"> </v>
      </c>
      <c r="C496" s="20" t="s">
        <v>174</v>
      </c>
    </row>
    <row r="497" spans="1:3" ht="18" customHeight="1" x14ac:dyDescent="0.2">
      <c r="A497" s="3"/>
      <c r="B497" s="6" t="str">
        <f t="shared" si="7"/>
        <v xml:space="preserve"> </v>
      </c>
      <c r="C497" s="20" t="s">
        <v>174</v>
      </c>
    </row>
    <row r="498" spans="1:3" ht="18" customHeight="1" x14ac:dyDescent="0.2">
      <c r="A498" s="3"/>
      <c r="B498" s="6" t="str">
        <f t="shared" si="7"/>
        <v xml:space="preserve"> </v>
      </c>
      <c r="C498" s="20" t="s">
        <v>174</v>
      </c>
    </row>
    <row r="499" spans="1:3" ht="18" customHeight="1" x14ac:dyDescent="0.2">
      <c r="A499" s="3"/>
      <c r="B499" s="6" t="str">
        <f t="shared" si="7"/>
        <v xml:space="preserve"> </v>
      </c>
      <c r="C499" s="20" t="s">
        <v>174</v>
      </c>
    </row>
    <row r="500" spans="1:3" ht="18" customHeight="1" x14ac:dyDescent="0.2">
      <c r="A500" s="3"/>
      <c r="B500" s="6" t="str">
        <f t="shared" si="7"/>
        <v xml:space="preserve"> </v>
      </c>
      <c r="C500" s="20" t="s">
        <v>174</v>
      </c>
    </row>
    <row r="501" spans="1:3" ht="18" customHeight="1" x14ac:dyDescent="0.2">
      <c r="A501" s="3"/>
      <c r="B501" s="6" t="str">
        <f t="shared" si="7"/>
        <v xml:space="preserve"> </v>
      </c>
      <c r="C501" s="20" t="s">
        <v>174</v>
      </c>
    </row>
    <row r="502" spans="1:3" ht="18" customHeight="1" x14ac:dyDescent="0.2">
      <c r="A502" s="3"/>
      <c r="B502" s="6" t="str">
        <f t="shared" si="7"/>
        <v xml:space="preserve"> </v>
      </c>
      <c r="C502" s="20" t="s">
        <v>174</v>
      </c>
    </row>
    <row r="503" spans="1:3" ht="18" customHeight="1" x14ac:dyDescent="0.2">
      <c r="A503" s="3"/>
      <c r="B503" s="6" t="str">
        <f t="shared" si="7"/>
        <v xml:space="preserve"> </v>
      </c>
      <c r="C503" s="20" t="s">
        <v>174</v>
      </c>
    </row>
    <row r="504" spans="1:3" ht="18" customHeight="1" x14ac:dyDescent="0.2">
      <c r="A504" s="3"/>
      <c r="B504" s="6" t="str">
        <f t="shared" si="7"/>
        <v xml:space="preserve"> </v>
      </c>
      <c r="C504" s="20" t="s">
        <v>174</v>
      </c>
    </row>
    <row r="505" spans="1:3" ht="18" customHeight="1" x14ac:dyDescent="0.2">
      <c r="A505" s="3"/>
      <c r="B505" s="6" t="str">
        <f t="shared" si="7"/>
        <v xml:space="preserve"> </v>
      </c>
      <c r="C505" s="20" t="s">
        <v>174</v>
      </c>
    </row>
    <row r="506" spans="1:3" ht="18" customHeight="1" x14ac:dyDescent="0.2">
      <c r="A506" s="3"/>
      <c r="B506" s="6" t="str">
        <f t="shared" si="7"/>
        <v xml:space="preserve"> </v>
      </c>
      <c r="C506" s="20" t="s">
        <v>174</v>
      </c>
    </row>
    <row r="507" spans="1:3" ht="18" customHeight="1" x14ac:dyDescent="0.2">
      <c r="A507" s="3"/>
      <c r="B507" s="6" t="str">
        <f t="shared" si="7"/>
        <v xml:space="preserve"> </v>
      </c>
      <c r="C507" s="20" t="s">
        <v>174</v>
      </c>
    </row>
    <row r="508" spans="1:3" ht="18" customHeight="1" x14ac:dyDescent="0.2">
      <c r="A508" s="3"/>
      <c r="B508" s="6" t="str">
        <f t="shared" si="7"/>
        <v xml:space="preserve"> </v>
      </c>
      <c r="C508" s="20" t="s">
        <v>174</v>
      </c>
    </row>
    <row r="509" spans="1:3" ht="18" customHeight="1" x14ac:dyDescent="0.2">
      <c r="A509" s="3"/>
      <c r="B509" s="6" t="str">
        <f t="shared" si="7"/>
        <v xml:space="preserve"> </v>
      </c>
      <c r="C509" s="20" t="s">
        <v>174</v>
      </c>
    </row>
    <row r="510" spans="1:3" ht="18" customHeight="1" x14ac:dyDescent="0.2">
      <c r="A510" s="3"/>
      <c r="B510" s="6" t="str">
        <f t="shared" si="7"/>
        <v xml:space="preserve"> </v>
      </c>
      <c r="C510" s="20" t="s">
        <v>174</v>
      </c>
    </row>
    <row r="511" spans="1:3" ht="18" customHeight="1" x14ac:dyDescent="0.2">
      <c r="A511" s="3"/>
      <c r="B511" s="6" t="str">
        <f t="shared" si="7"/>
        <v xml:space="preserve"> </v>
      </c>
      <c r="C511" s="20" t="s">
        <v>174</v>
      </c>
    </row>
    <row r="512" spans="1:3" ht="18" customHeight="1" x14ac:dyDescent="0.2">
      <c r="A512" s="3"/>
      <c r="B512" s="6" t="str">
        <f t="shared" si="7"/>
        <v xml:space="preserve"> </v>
      </c>
      <c r="C512" s="20" t="s">
        <v>174</v>
      </c>
    </row>
    <row r="513" spans="1:3" ht="18" customHeight="1" x14ac:dyDescent="0.2">
      <c r="A513" s="3"/>
      <c r="B513" s="6" t="str">
        <f t="shared" si="7"/>
        <v xml:space="preserve"> </v>
      </c>
      <c r="C513" s="20" t="s">
        <v>174</v>
      </c>
    </row>
    <row r="514" spans="1:3" ht="18" customHeight="1" x14ac:dyDescent="0.2">
      <c r="A514" s="3"/>
      <c r="B514" s="6" t="str">
        <f t="shared" si="7"/>
        <v xml:space="preserve"> </v>
      </c>
      <c r="C514" s="20" t="s">
        <v>174</v>
      </c>
    </row>
    <row r="515" spans="1:3" ht="18" customHeight="1" x14ac:dyDescent="0.2">
      <c r="A515" s="3"/>
      <c r="B515" s="6" t="str">
        <f t="shared" ref="B515:B578" si="8">IF(ISBLANK(A515)=TRUE,B514,B514&amp;","&amp;A515)</f>
        <v xml:space="preserve"> </v>
      </c>
      <c r="C515" s="20" t="s">
        <v>174</v>
      </c>
    </row>
    <row r="516" spans="1:3" ht="18" customHeight="1" x14ac:dyDescent="0.2">
      <c r="A516" s="3"/>
      <c r="B516" s="6" t="str">
        <f t="shared" si="8"/>
        <v xml:space="preserve"> </v>
      </c>
      <c r="C516" s="20" t="s">
        <v>174</v>
      </c>
    </row>
    <row r="517" spans="1:3" ht="18" customHeight="1" x14ac:dyDescent="0.2">
      <c r="A517" s="3"/>
      <c r="B517" s="6" t="str">
        <f t="shared" si="8"/>
        <v xml:space="preserve"> </v>
      </c>
      <c r="C517" s="20" t="s">
        <v>174</v>
      </c>
    </row>
    <row r="518" spans="1:3" ht="18" customHeight="1" x14ac:dyDescent="0.2">
      <c r="A518" s="3"/>
      <c r="B518" s="6" t="str">
        <f t="shared" si="8"/>
        <v xml:space="preserve"> </v>
      </c>
      <c r="C518" s="20" t="s">
        <v>174</v>
      </c>
    </row>
    <row r="519" spans="1:3" ht="18" customHeight="1" x14ac:dyDescent="0.2">
      <c r="A519" s="3"/>
      <c r="B519" s="6" t="str">
        <f t="shared" si="8"/>
        <v xml:space="preserve"> </v>
      </c>
      <c r="C519" s="20" t="s">
        <v>174</v>
      </c>
    </row>
    <row r="520" spans="1:3" ht="18" customHeight="1" x14ac:dyDescent="0.2">
      <c r="A520" s="3"/>
      <c r="B520" s="6" t="str">
        <f t="shared" si="8"/>
        <v xml:space="preserve"> </v>
      </c>
      <c r="C520" s="20" t="s">
        <v>174</v>
      </c>
    </row>
    <row r="521" spans="1:3" ht="18" customHeight="1" x14ac:dyDescent="0.2">
      <c r="A521" s="3"/>
      <c r="B521" s="6" t="str">
        <f t="shared" si="8"/>
        <v xml:space="preserve"> </v>
      </c>
      <c r="C521" s="20" t="s">
        <v>174</v>
      </c>
    </row>
    <row r="522" spans="1:3" ht="18" customHeight="1" x14ac:dyDescent="0.2">
      <c r="A522" s="3"/>
      <c r="B522" s="6" t="str">
        <f t="shared" si="8"/>
        <v xml:space="preserve"> </v>
      </c>
      <c r="C522" s="20" t="s">
        <v>174</v>
      </c>
    </row>
    <row r="523" spans="1:3" ht="18" customHeight="1" x14ac:dyDescent="0.2">
      <c r="A523" s="3"/>
      <c r="B523" s="6" t="str">
        <f t="shared" si="8"/>
        <v xml:space="preserve"> </v>
      </c>
      <c r="C523" s="20" t="s">
        <v>174</v>
      </c>
    </row>
    <row r="524" spans="1:3" ht="18" customHeight="1" x14ac:dyDescent="0.2">
      <c r="A524" s="3"/>
      <c r="B524" s="6" t="str">
        <f t="shared" si="8"/>
        <v xml:space="preserve"> </v>
      </c>
      <c r="C524" s="20" t="s">
        <v>174</v>
      </c>
    </row>
    <row r="525" spans="1:3" ht="18" customHeight="1" x14ac:dyDescent="0.2">
      <c r="A525" s="3"/>
      <c r="B525" s="6" t="str">
        <f t="shared" si="8"/>
        <v xml:space="preserve"> </v>
      </c>
      <c r="C525" s="20" t="s">
        <v>174</v>
      </c>
    </row>
    <row r="526" spans="1:3" ht="18" customHeight="1" x14ac:dyDescent="0.2">
      <c r="A526" s="3"/>
      <c r="B526" s="6" t="str">
        <f t="shared" si="8"/>
        <v xml:space="preserve"> </v>
      </c>
      <c r="C526" s="20" t="s">
        <v>174</v>
      </c>
    </row>
    <row r="527" spans="1:3" ht="18" customHeight="1" x14ac:dyDescent="0.2">
      <c r="A527" s="3"/>
      <c r="B527" s="6" t="str">
        <f t="shared" si="8"/>
        <v xml:space="preserve"> </v>
      </c>
      <c r="C527" s="20" t="s">
        <v>174</v>
      </c>
    </row>
    <row r="528" spans="1:3" ht="18" customHeight="1" x14ac:dyDescent="0.2">
      <c r="A528" s="3"/>
      <c r="B528" s="6" t="str">
        <f t="shared" si="8"/>
        <v xml:space="preserve"> </v>
      </c>
      <c r="C528" s="20" t="s">
        <v>174</v>
      </c>
    </row>
    <row r="529" spans="1:3" ht="18" customHeight="1" x14ac:dyDescent="0.2">
      <c r="A529" s="3"/>
      <c r="B529" s="6" t="str">
        <f t="shared" si="8"/>
        <v xml:space="preserve"> </v>
      </c>
      <c r="C529" s="20" t="s">
        <v>174</v>
      </c>
    </row>
    <row r="530" spans="1:3" ht="18" customHeight="1" x14ac:dyDescent="0.2">
      <c r="A530" s="3"/>
      <c r="B530" s="6" t="str">
        <f t="shared" si="8"/>
        <v xml:space="preserve"> </v>
      </c>
      <c r="C530" s="20" t="s">
        <v>174</v>
      </c>
    </row>
    <row r="531" spans="1:3" ht="18" customHeight="1" x14ac:dyDescent="0.2">
      <c r="A531" s="3"/>
      <c r="B531" s="6" t="str">
        <f t="shared" si="8"/>
        <v xml:space="preserve"> </v>
      </c>
      <c r="C531" s="20" t="s">
        <v>174</v>
      </c>
    </row>
    <row r="532" spans="1:3" ht="18" customHeight="1" x14ac:dyDescent="0.2">
      <c r="A532" s="3"/>
      <c r="B532" s="6" t="str">
        <f t="shared" si="8"/>
        <v xml:space="preserve"> </v>
      </c>
      <c r="C532" s="20" t="s">
        <v>174</v>
      </c>
    </row>
    <row r="533" spans="1:3" ht="18" customHeight="1" x14ac:dyDescent="0.2">
      <c r="A533" s="3"/>
      <c r="B533" s="6" t="str">
        <f t="shared" si="8"/>
        <v xml:space="preserve"> </v>
      </c>
      <c r="C533" s="20" t="s">
        <v>174</v>
      </c>
    </row>
    <row r="534" spans="1:3" ht="18" customHeight="1" x14ac:dyDescent="0.2">
      <c r="A534" s="3"/>
      <c r="B534" s="6" t="str">
        <f t="shared" si="8"/>
        <v xml:space="preserve"> </v>
      </c>
      <c r="C534" s="20" t="s">
        <v>174</v>
      </c>
    </row>
    <row r="535" spans="1:3" ht="18" customHeight="1" x14ac:dyDescent="0.2">
      <c r="A535" s="3"/>
      <c r="B535" s="6" t="str">
        <f t="shared" si="8"/>
        <v xml:space="preserve"> </v>
      </c>
      <c r="C535" s="20" t="s">
        <v>174</v>
      </c>
    </row>
    <row r="536" spans="1:3" ht="18" customHeight="1" x14ac:dyDescent="0.2">
      <c r="A536" s="3"/>
      <c r="B536" s="6" t="str">
        <f t="shared" si="8"/>
        <v xml:space="preserve"> </v>
      </c>
      <c r="C536" s="20" t="s">
        <v>174</v>
      </c>
    </row>
    <row r="537" spans="1:3" ht="18" customHeight="1" x14ac:dyDescent="0.2">
      <c r="A537" s="3"/>
      <c r="B537" s="6" t="str">
        <f t="shared" si="8"/>
        <v xml:space="preserve"> </v>
      </c>
      <c r="C537" s="20" t="s">
        <v>174</v>
      </c>
    </row>
    <row r="538" spans="1:3" ht="18" customHeight="1" x14ac:dyDescent="0.2">
      <c r="A538" s="3"/>
      <c r="B538" s="6" t="str">
        <f t="shared" si="8"/>
        <v xml:space="preserve"> </v>
      </c>
      <c r="C538" s="20" t="s">
        <v>174</v>
      </c>
    </row>
    <row r="539" spans="1:3" ht="18" customHeight="1" x14ac:dyDescent="0.2">
      <c r="A539" s="3"/>
      <c r="B539" s="6" t="str">
        <f t="shared" si="8"/>
        <v xml:space="preserve"> </v>
      </c>
      <c r="C539" s="20" t="s">
        <v>174</v>
      </c>
    </row>
    <row r="540" spans="1:3" ht="18" customHeight="1" x14ac:dyDescent="0.2">
      <c r="A540" s="3"/>
      <c r="B540" s="6" t="str">
        <f t="shared" si="8"/>
        <v xml:space="preserve"> </v>
      </c>
      <c r="C540" s="20" t="s">
        <v>174</v>
      </c>
    </row>
    <row r="541" spans="1:3" ht="18" customHeight="1" x14ac:dyDescent="0.2">
      <c r="A541" s="3"/>
      <c r="B541" s="6" t="str">
        <f t="shared" si="8"/>
        <v xml:space="preserve"> </v>
      </c>
      <c r="C541" s="20" t="s">
        <v>174</v>
      </c>
    </row>
    <row r="542" spans="1:3" ht="18" customHeight="1" x14ac:dyDescent="0.2">
      <c r="A542" s="3"/>
      <c r="B542" s="6" t="str">
        <f t="shared" si="8"/>
        <v xml:space="preserve"> </v>
      </c>
      <c r="C542" s="20" t="s">
        <v>174</v>
      </c>
    </row>
    <row r="543" spans="1:3" ht="18" customHeight="1" x14ac:dyDescent="0.2">
      <c r="A543" s="3"/>
      <c r="B543" s="6" t="str">
        <f t="shared" si="8"/>
        <v xml:space="preserve"> </v>
      </c>
      <c r="C543" s="20" t="s">
        <v>174</v>
      </c>
    </row>
    <row r="544" spans="1:3" ht="18" customHeight="1" x14ac:dyDescent="0.2">
      <c r="A544" s="3"/>
      <c r="B544" s="6" t="str">
        <f t="shared" si="8"/>
        <v xml:space="preserve"> </v>
      </c>
      <c r="C544" s="20" t="s">
        <v>174</v>
      </c>
    </row>
    <row r="545" spans="1:3" ht="18" customHeight="1" x14ac:dyDescent="0.2">
      <c r="A545" s="3"/>
      <c r="B545" s="6" t="str">
        <f t="shared" si="8"/>
        <v xml:space="preserve"> </v>
      </c>
      <c r="C545" s="20" t="s">
        <v>174</v>
      </c>
    </row>
    <row r="546" spans="1:3" ht="18" customHeight="1" x14ac:dyDescent="0.2">
      <c r="A546" s="3"/>
      <c r="B546" s="6" t="str">
        <f t="shared" si="8"/>
        <v xml:space="preserve"> </v>
      </c>
      <c r="C546" s="20" t="s">
        <v>174</v>
      </c>
    </row>
    <row r="547" spans="1:3" ht="18" customHeight="1" x14ac:dyDescent="0.2">
      <c r="A547" s="3"/>
      <c r="B547" s="6" t="str">
        <f t="shared" si="8"/>
        <v xml:space="preserve"> </v>
      </c>
      <c r="C547" s="20" t="s">
        <v>174</v>
      </c>
    </row>
    <row r="548" spans="1:3" ht="18" customHeight="1" x14ac:dyDescent="0.2">
      <c r="A548" s="3"/>
      <c r="B548" s="6" t="str">
        <f t="shared" si="8"/>
        <v xml:space="preserve"> </v>
      </c>
      <c r="C548" s="20" t="s">
        <v>174</v>
      </c>
    </row>
    <row r="549" spans="1:3" ht="18" customHeight="1" x14ac:dyDescent="0.2">
      <c r="A549" s="3"/>
      <c r="B549" s="6" t="str">
        <f t="shared" si="8"/>
        <v xml:space="preserve"> </v>
      </c>
      <c r="C549" s="20" t="s">
        <v>174</v>
      </c>
    </row>
    <row r="550" spans="1:3" ht="18" customHeight="1" x14ac:dyDescent="0.2">
      <c r="A550" s="3"/>
      <c r="B550" s="6" t="str">
        <f t="shared" si="8"/>
        <v xml:space="preserve"> </v>
      </c>
      <c r="C550" s="20" t="s">
        <v>174</v>
      </c>
    </row>
    <row r="551" spans="1:3" ht="18" customHeight="1" x14ac:dyDescent="0.2">
      <c r="A551" s="3"/>
      <c r="B551" s="6" t="str">
        <f t="shared" si="8"/>
        <v xml:space="preserve"> </v>
      </c>
      <c r="C551" s="20" t="s">
        <v>174</v>
      </c>
    </row>
    <row r="552" spans="1:3" ht="18" customHeight="1" x14ac:dyDescent="0.2">
      <c r="A552" s="3"/>
      <c r="B552" s="6" t="str">
        <f t="shared" si="8"/>
        <v xml:space="preserve"> </v>
      </c>
      <c r="C552" s="20" t="s">
        <v>174</v>
      </c>
    </row>
    <row r="553" spans="1:3" ht="18" customHeight="1" x14ac:dyDescent="0.2">
      <c r="A553" s="3"/>
      <c r="B553" s="6" t="str">
        <f t="shared" si="8"/>
        <v xml:space="preserve"> </v>
      </c>
      <c r="C553" s="20" t="s">
        <v>174</v>
      </c>
    </row>
    <row r="554" spans="1:3" ht="18" customHeight="1" x14ac:dyDescent="0.2">
      <c r="A554" s="3"/>
      <c r="B554" s="6" t="str">
        <f t="shared" si="8"/>
        <v xml:space="preserve"> </v>
      </c>
      <c r="C554" s="20" t="s">
        <v>174</v>
      </c>
    </row>
    <row r="555" spans="1:3" ht="18" customHeight="1" x14ac:dyDescent="0.2">
      <c r="A555" s="3"/>
      <c r="B555" s="6" t="str">
        <f t="shared" si="8"/>
        <v xml:space="preserve"> </v>
      </c>
      <c r="C555" s="20" t="s">
        <v>174</v>
      </c>
    </row>
    <row r="556" spans="1:3" ht="18" customHeight="1" x14ac:dyDescent="0.2">
      <c r="A556" s="3"/>
      <c r="B556" s="6" t="str">
        <f t="shared" si="8"/>
        <v xml:space="preserve"> </v>
      </c>
      <c r="C556" s="20" t="s">
        <v>174</v>
      </c>
    </row>
    <row r="557" spans="1:3" ht="18" customHeight="1" x14ac:dyDescent="0.2">
      <c r="A557" s="3"/>
      <c r="B557" s="6" t="str">
        <f t="shared" si="8"/>
        <v xml:space="preserve"> </v>
      </c>
      <c r="C557" s="20" t="s">
        <v>174</v>
      </c>
    </row>
    <row r="558" spans="1:3" ht="18" customHeight="1" x14ac:dyDescent="0.2">
      <c r="A558" s="3"/>
      <c r="B558" s="6" t="str">
        <f t="shared" si="8"/>
        <v xml:space="preserve"> </v>
      </c>
      <c r="C558" s="20" t="s">
        <v>174</v>
      </c>
    </row>
    <row r="559" spans="1:3" ht="18" customHeight="1" x14ac:dyDescent="0.2">
      <c r="A559" s="3"/>
      <c r="B559" s="6" t="str">
        <f t="shared" si="8"/>
        <v xml:space="preserve"> </v>
      </c>
      <c r="C559" s="20" t="s">
        <v>174</v>
      </c>
    </row>
    <row r="560" spans="1:3" ht="18" customHeight="1" x14ac:dyDescent="0.2">
      <c r="A560" s="3"/>
      <c r="B560" s="6" t="str">
        <f t="shared" si="8"/>
        <v xml:space="preserve"> </v>
      </c>
      <c r="C560" s="20" t="s">
        <v>174</v>
      </c>
    </row>
    <row r="561" spans="1:3" ht="18" customHeight="1" x14ac:dyDescent="0.2">
      <c r="A561" s="3"/>
      <c r="B561" s="6" t="str">
        <f t="shared" si="8"/>
        <v xml:space="preserve"> </v>
      </c>
      <c r="C561" s="20" t="s">
        <v>174</v>
      </c>
    </row>
    <row r="562" spans="1:3" ht="18" customHeight="1" x14ac:dyDescent="0.2">
      <c r="A562" s="3"/>
      <c r="B562" s="6" t="str">
        <f t="shared" si="8"/>
        <v xml:space="preserve"> </v>
      </c>
      <c r="C562" s="20" t="s">
        <v>174</v>
      </c>
    </row>
    <row r="563" spans="1:3" ht="18" customHeight="1" x14ac:dyDescent="0.2">
      <c r="A563" s="3"/>
      <c r="B563" s="6" t="str">
        <f t="shared" si="8"/>
        <v xml:space="preserve"> </v>
      </c>
      <c r="C563" s="20" t="s">
        <v>174</v>
      </c>
    </row>
    <row r="564" spans="1:3" ht="18" customHeight="1" x14ac:dyDescent="0.2">
      <c r="A564" s="3"/>
      <c r="B564" s="6" t="str">
        <f t="shared" si="8"/>
        <v xml:space="preserve"> </v>
      </c>
      <c r="C564" s="20" t="s">
        <v>174</v>
      </c>
    </row>
    <row r="565" spans="1:3" ht="18" customHeight="1" x14ac:dyDescent="0.2">
      <c r="A565" s="3"/>
      <c r="B565" s="6" t="str">
        <f t="shared" si="8"/>
        <v xml:space="preserve"> </v>
      </c>
      <c r="C565" s="20" t="s">
        <v>174</v>
      </c>
    </row>
    <row r="566" spans="1:3" ht="18" customHeight="1" x14ac:dyDescent="0.2">
      <c r="A566" s="3"/>
      <c r="B566" s="6" t="str">
        <f t="shared" si="8"/>
        <v xml:space="preserve"> </v>
      </c>
      <c r="C566" s="20" t="s">
        <v>174</v>
      </c>
    </row>
    <row r="567" spans="1:3" ht="18" customHeight="1" x14ac:dyDescent="0.2">
      <c r="A567" s="3"/>
      <c r="B567" s="6" t="str">
        <f t="shared" si="8"/>
        <v xml:space="preserve"> </v>
      </c>
      <c r="C567" s="20" t="s">
        <v>174</v>
      </c>
    </row>
    <row r="568" spans="1:3" ht="18" customHeight="1" x14ac:dyDescent="0.2">
      <c r="A568" s="3"/>
      <c r="B568" s="6" t="str">
        <f t="shared" si="8"/>
        <v xml:space="preserve"> </v>
      </c>
      <c r="C568" s="20" t="s">
        <v>174</v>
      </c>
    </row>
    <row r="569" spans="1:3" ht="18" customHeight="1" x14ac:dyDescent="0.2">
      <c r="A569" s="3"/>
      <c r="B569" s="6" t="str">
        <f t="shared" si="8"/>
        <v xml:space="preserve"> </v>
      </c>
      <c r="C569" s="20" t="s">
        <v>174</v>
      </c>
    </row>
    <row r="570" spans="1:3" ht="18" customHeight="1" x14ac:dyDescent="0.2">
      <c r="A570" s="3"/>
      <c r="B570" s="6" t="str">
        <f t="shared" si="8"/>
        <v xml:space="preserve"> </v>
      </c>
      <c r="C570" s="20" t="s">
        <v>174</v>
      </c>
    </row>
    <row r="571" spans="1:3" ht="18" customHeight="1" x14ac:dyDescent="0.2">
      <c r="A571" s="3"/>
      <c r="B571" s="6" t="str">
        <f t="shared" si="8"/>
        <v xml:space="preserve"> </v>
      </c>
      <c r="C571" s="20" t="s">
        <v>174</v>
      </c>
    </row>
    <row r="572" spans="1:3" ht="18" customHeight="1" x14ac:dyDescent="0.2">
      <c r="A572" s="3"/>
      <c r="B572" s="6" t="str">
        <f t="shared" si="8"/>
        <v xml:space="preserve"> </v>
      </c>
      <c r="C572" s="20" t="s">
        <v>174</v>
      </c>
    </row>
    <row r="573" spans="1:3" ht="18" customHeight="1" x14ac:dyDescent="0.2">
      <c r="A573" s="3"/>
      <c r="B573" s="6" t="str">
        <f t="shared" si="8"/>
        <v xml:space="preserve"> </v>
      </c>
      <c r="C573" s="20" t="s">
        <v>174</v>
      </c>
    </row>
    <row r="574" spans="1:3" ht="18" customHeight="1" x14ac:dyDescent="0.2">
      <c r="A574" s="3"/>
      <c r="B574" s="6" t="str">
        <f t="shared" si="8"/>
        <v xml:space="preserve"> </v>
      </c>
      <c r="C574" s="20" t="s">
        <v>174</v>
      </c>
    </row>
    <row r="575" spans="1:3" ht="18" customHeight="1" x14ac:dyDescent="0.2">
      <c r="A575" s="3"/>
      <c r="B575" s="6" t="str">
        <f t="shared" si="8"/>
        <v xml:space="preserve"> </v>
      </c>
      <c r="C575" s="20" t="s">
        <v>174</v>
      </c>
    </row>
    <row r="576" spans="1:3" ht="18" customHeight="1" x14ac:dyDescent="0.2">
      <c r="A576" s="3"/>
      <c r="B576" s="6" t="str">
        <f t="shared" si="8"/>
        <v xml:space="preserve"> </v>
      </c>
      <c r="C576" s="20" t="s">
        <v>174</v>
      </c>
    </row>
    <row r="577" spans="1:3" ht="18" customHeight="1" x14ac:dyDescent="0.2">
      <c r="A577" s="3"/>
      <c r="B577" s="6" t="str">
        <f t="shared" si="8"/>
        <v xml:space="preserve"> </v>
      </c>
      <c r="C577" s="20" t="s">
        <v>174</v>
      </c>
    </row>
    <row r="578" spans="1:3" ht="18" customHeight="1" x14ac:dyDescent="0.2">
      <c r="A578" s="3"/>
      <c r="B578" s="6" t="str">
        <f t="shared" si="8"/>
        <v xml:space="preserve"> </v>
      </c>
      <c r="C578" s="20" t="s">
        <v>174</v>
      </c>
    </row>
    <row r="579" spans="1:3" ht="18" customHeight="1" x14ac:dyDescent="0.2">
      <c r="A579" s="3"/>
      <c r="B579" s="6" t="str">
        <f t="shared" ref="B579:B642" si="9">IF(ISBLANK(A579)=TRUE,B578,B578&amp;","&amp;A579)</f>
        <v xml:space="preserve"> </v>
      </c>
      <c r="C579" s="20" t="s">
        <v>174</v>
      </c>
    </row>
    <row r="580" spans="1:3" ht="18" customHeight="1" x14ac:dyDescent="0.2">
      <c r="A580" s="3"/>
      <c r="B580" s="6" t="str">
        <f t="shared" si="9"/>
        <v xml:space="preserve"> </v>
      </c>
      <c r="C580" s="20" t="s">
        <v>174</v>
      </c>
    </row>
    <row r="581" spans="1:3" ht="18" customHeight="1" x14ac:dyDescent="0.2">
      <c r="A581" s="3"/>
      <c r="B581" s="6" t="str">
        <f t="shared" si="9"/>
        <v xml:space="preserve"> </v>
      </c>
      <c r="C581" s="20" t="s">
        <v>174</v>
      </c>
    </row>
    <row r="582" spans="1:3" ht="18" customHeight="1" x14ac:dyDescent="0.2">
      <c r="A582" s="3"/>
      <c r="B582" s="6" t="str">
        <f t="shared" si="9"/>
        <v xml:space="preserve"> </v>
      </c>
      <c r="C582" s="20" t="s">
        <v>174</v>
      </c>
    </row>
    <row r="583" spans="1:3" ht="18" customHeight="1" x14ac:dyDescent="0.2">
      <c r="A583" s="3"/>
      <c r="B583" s="6" t="str">
        <f t="shared" si="9"/>
        <v xml:space="preserve"> </v>
      </c>
      <c r="C583" s="20" t="s">
        <v>174</v>
      </c>
    </row>
    <row r="584" spans="1:3" ht="18" customHeight="1" x14ac:dyDescent="0.2">
      <c r="A584" s="3"/>
      <c r="B584" s="6" t="str">
        <f t="shared" si="9"/>
        <v xml:space="preserve"> </v>
      </c>
      <c r="C584" s="20" t="s">
        <v>174</v>
      </c>
    </row>
    <row r="585" spans="1:3" ht="18" customHeight="1" x14ac:dyDescent="0.2">
      <c r="A585" s="3"/>
      <c r="B585" s="6" t="str">
        <f t="shared" si="9"/>
        <v xml:space="preserve"> </v>
      </c>
      <c r="C585" s="20" t="s">
        <v>174</v>
      </c>
    </row>
    <row r="586" spans="1:3" ht="18" customHeight="1" x14ac:dyDescent="0.2">
      <c r="A586" s="3"/>
      <c r="B586" s="6" t="str">
        <f t="shared" si="9"/>
        <v xml:space="preserve"> </v>
      </c>
      <c r="C586" s="20" t="s">
        <v>174</v>
      </c>
    </row>
    <row r="587" spans="1:3" ht="18" customHeight="1" x14ac:dyDescent="0.2">
      <c r="A587" s="3"/>
      <c r="B587" s="6" t="str">
        <f t="shared" si="9"/>
        <v xml:space="preserve"> </v>
      </c>
      <c r="C587" s="20" t="s">
        <v>174</v>
      </c>
    </row>
    <row r="588" spans="1:3" ht="18" customHeight="1" x14ac:dyDescent="0.2">
      <c r="A588" s="3"/>
      <c r="B588" s="6" t="str">
        <f t="shared" si="9"/>
        <v xml:space="preserve"> </v>
      </c>
      <c r="C588" s="20" t="s">
        <v>174</v>
      </c>
    </row>
    <row r="589" spans="1:3" ht="18" customHeight="1" x14ac:dyDescent="0.2">
      <c r="A589" s="3"/>
      <c r="B589" s="6" t="str">
        <f t="shared" si="9"/>
        <v xml:space="preserve"> </v>
      </c>
      <c r="C589" s="20" t="s">
        <v>174</v>
      </c>
    </row>
    <row r="590" spans="1:3" ht="18" customHeight="1" x14ac:dyDescent="0.2">
      <c r="A590" s="3"/>
      <c r="B590" s="6" t="str">
        <f t="shared" si="9"/>
        <v xml:space="preserve"> </v>
      </c>
      <c r="C590" s="20" t="s">
        <v>174</v>
      </c>
    </row>
    <row r="591" spans="1:3" ht="18" customHeight="1" x14ac:dyDescent="0.2">
      <c r="A591" s="3"/>
      <c r="B591" s="6" t="str">
        <f t="shared" si="9"/>
        <v xml:space="preserve"> </v>
      </c>
      <c r="C591" s="20" t="s">
        <v>174</v>
      </c>
    </row>
    <row r="592" spans="1:3" ht="18" customHeight="1" x14ac:dyDescent="0.2">
      <c r="A592" s="3"/>
      <c r="B592" s="6" t="str">
        <f t="shared" si="9"/>
        <v xml:space="preserve"> </v>
      </c>
      <c r="C592" s="20" t="s">
        <v>174</v>
      </c>
    </row>
    <row r="593" spans="1:3" ht="18" customHeight="1" x14ac:dyDescent="0.2">
      <c r="A593" s="3"/>
      <c r="B593" s="6" t="str">
        <f t="shared" si="9"/>
        <v xml:space="preserve"> </v>
      </c>
      <c r="C593" s="20" t="s">
        <v>174</v>
      </c>
    </row>
    <row r="594" spans="1:3" ht="18" customHeight="1" x14ac:dyDescent="0.2">
      <c r="A594" s="3"/>
      <c r="B594" s="6" t="str">
        <f t="shared" si="9"/>
        <v xml:space="preserve"> </v>
      </c>
      <c r="C594" s="20" t="s">
        <v>174</v>
      </c>
    </row>
    <row r="595" spans="1:3" ht="18" customHeight="1" x14ac:dyDescent="0.2">
      <c r="A595" s="3"/>
      <c r="B595" s="6" t="str">
        <f t="shared" si="9"/>
        <v xml:space="preserve"> </v>
      </c>
      <c r="C595" s="20" t="s">
        <v>174</v>
      </c>
    </row>
    <row r="596" spans="1:3" ht="18" customHeight="1" x14ac:dyDescent="0.2">
      <c r="A596" s="3"/>
      <c r="B596" s="6" t="str">
        <f t="shared" si="9"/>
        <v xml:space="preserve"> </v>
      </c>
      <c r="C596" s="20" t="s">
        <v>174</v>
      </c>
    </row>
    <row r="597" spans="1:3" ht="18" customHeight="1" x14ac:dyDescent="0.2">
      <c r="A597" s="3"/>
      <c r="B597" s="6" t="str">
        <f t="shared" si="9"/>
        <v xml:space="preserve"> </v>
      </c>
      <c r="C597" s="20" t="s">
        <v>174</v>
      </c>
    </row>
    <row r="598" spans="1:3" ht="18" customHeight="1" x14ac:dyDescent="0.2">
      <c r="A598" s="3"/>
      <c r="B598" s="6" t="str">
        <f t="shared" si="9"/>
        <v xml:space="preserve"> </v>
      </c>
      <c r="C598" s="20" t="s">
        <v>174</v>
      </c>
    </row>
    <row r="599" spans="1:3" ht="18" customHeight="1" x14ac:dyDescent="0.2">
      <c r="A599" s="3"/>
      <c r="B599" s="6" t="str">
        <f t="shared" si="9"/>
        <v xml:space="preserve"> </v>
      </c>
      <c r="C599" s="20" t="s">
        <v>174</v>
      </c>
    </row>
    <row r="600" spans="1:3" ht="18" customHeight="1" x14ac:dyDescent="0.2">
      <c r="A600" s="3"/>
      <c r="B600" s="6" t="str">
        <f t="shared" si="9"/>
        <v xml:space="preserve"> </v>
      </c>
      <c r="C600" s="20" t="s">
        <v>174</v>
      </c>
    </row>
    <row r="601" spans="1:3" ht="18" customHeight="1" x14ac:dyDescent="0.2">
      <c r="A601" s="3"/>
      <c r="B601" s="6" t="str">
        <f t="shared" si="9"/>
        <v xml:space="preserve"> </v>
      </c>
      <c r="C601" s="20" t="s">
        <v>174</v>
      </c>
    </row>
    <row r="602" spans="1:3" ht="18" customHeight="1" x14ac:dyDescent="0.2">
      <c r="A602" s="3"/>
      <c r="B602" s="6" t="str">
        <f t="shared" si="9"/>
        <v xml:space="preserve"> </v>
      </c>
      <c r="C602" s="20" t="s">
        <v>174</v>
      </c>
    </row>
    <row r="603" spans="1:3" ht="18" customHeight="1" x14ac:dyDescent="0.2">
      <c r="A603" s="3"/>
      <c r="B603" s="6" t="str">
        <f t="shared" si="9"/>
        <v xml:space="preserve"> </v>
      </c>
      <c r="C603" s="20" t="s">
        <v>174</v>
      </c>
    </row>
    <row r="604" spans="1:3" ht="18" customHeight="1" x14ac:dyDescent="0.2">
      <c r="A604" s="3"/>
      <c r="B604" s="6" t="str">
        <f t="shared" si="9"/>
        <v xml:space="preserve"> </v>
      </c>
      <c r="C604" s="20" t="s">
        <v>174</v>
      </c>
    </row>
    <row r="605" spans="1:3" ht="18" customHeight="1" x14ac:dyDescent="0.2">
      <c r="A605" s="3"/>
      <c r="B605" s="6" t="str">
        <f t="shared" si="9"/>
        <v xml:space="preserve"> </v>
      </c>
      <c r="C605" s="20" t="s">
        <v>174</v>
      </c>
    </row>
    <row r="606" spans="1:3" ht="18" customHeight="1" x14ac:dyDescent="0.2">
      <c r="A606" s="3"/>
      <c r="B606" s="6" t="str">
        <f t="shared" si="9"/>
        <v xml:space="preserve"> </v>
      </c>
      <c r="C606" s="20" t="s">
        <v>174</v>
      </c>
    </row>
    <row r="607" spans="1:3" ht="18" customHeight="1" x14ac:dyDescent="0.2">
      <c r="A607" s="3"/>
      <c r="B607" s="6" t="str">
        <f t="shared" si="9"/>
        <v xml:space="preserve"> </v>
      </c>
      <c r="C607" s="20" t="s">
        <v>174</v>
      </c>
    </row>
    <row r="608" spans="1:3" ht="18" customHeight="1" x14ac:dyDescent="0.2">
      <c r="A608" s="3"/>
      <c r="B608" s="6" t="str">
        <f t="shared" si="9"/>
        <v xml:space="preserve"> </v>
      </c>
      <c r="C608" s="20" t="s">
        <v>174</v>
      </c>
    </row>
    <row r="609" spans="1:3" ht="18" customHeight="1" x14ac:dyDescent="0.2">
      <c r="A609" s="3"/>
      <c r="B609" s="6" t="str">
        <f t="shared" si="9"/>
        <v xml:space="preserve"> </v>
      </c>
      <c r="C609" s="20" t="s">
        <v>174</v>
      </c>
    </row>
    <row r="610" spans="1:3" ht="18" customHeight="1" x14ac:dyDescent="0.2">
      <c r="A610" s="3"/>
      <c r="B610" s="6" t="str">
        <f t="shared" si="9"/>
        <v xml:space="preserve"> </v>
      </c>
      <c r="C610" s="20" t="s">
        <v>174</v>
      </c>
    </row>
    <row r="611" spans="1:3" ht="18" customHeight="1" x14ac:dyDescent="0.2">
      <c r="A611" s="3"/>
      <c r="B611" s="6" t="str">
        <f t="shared" si="9"/>
        <v xml:space="preserve"> </v>
      </c>
      <c r="C611" s="20" t="s">
        <v>174</v>
      </c>
    </row>
    <row r="612" spans="1:3" ht="18" customHeight="1" x14ac:dyDescent="0.2">
      <c r="A612" s="3"/>
      <c r="B612" s="6" t="str">
        <f t="shared" si="9"/>
        <v xml:space="preserve"> </v>
      </c>
      <c r="C612" s="20" t="s">
        <v>174</v>
      </c>
    </row>
    <row r="613" spans="1:3" ht="18" customHeight="1" x14ac:dyDescent="0.2">
      <c r="A613" s="3"/>
      <c r="B613" s="6" t="str">
        <f t="shared" si="9"/>
        <v xml:space="preserve"> </v>
      </c>
      <c r="C613" s="20" t="s">
        <v>174</v>
      </c>
    </row>
    <row r="614" spans="1:3" ht="18" customHeight="1" x14ac:dyDescent="0.2">
      <c r="A614" s="3"/>
      <c r="B614" s="6" t="str">
        <f t="shared" si="9"/>
        <v xml:space="preserve"> </v>
      </c>
      <c r="C614" s="20" t="s">
        <v>174</v>
      </c>
    </row>
    <row r="615" spans="1:3" ht="18" customHeight="1" x14ac:dyDescent="0.2">
      <c r="A615" s="3"/>
      <c r="B615" s="6" t="str">
        <f t="shared" si="9"/>
        <v xml:space="preserve"> </v>
      </c>
      <c r="C615" s="20" t="s">
        <v>174</v>
      </c>
    </row>
    <row r="616" spans="1:3" ht="18" customHeight="1" x14ac:dyDescent="0.2">
      <c r="A616" s="3"/>
      <c r="B616" s="6" t="str">
        <f t="shared" si="9"/>
        <v xml:space="preserve"> </v>
      </c>
      <c r="C616" s="20" t="s">
        <v>174</v>
      </c>
    </row>
    <row r="617" spans="1:3" ht="18" customHeight="1" x14ac:dyDescent="0.2">
      <c r="A617" s="3"/>
      <c r="B617" s="6" t="str">
        <f t="shared" si="9"/>
        <v xml:space="preserve"> </v>
      </c>
      <c r="C617" s="20" t="s">
        <v>174</v>
      </c>
    </row>
    <row r="618" spans="1:3" ht="18" customHeight="1" x14ac:dyDescent="0.2">
      <c r="A618" s="3"/>
      <c r="B618" s="6" t="str">
        <f t="shared" si="9"/>
        <v xml:space="preserve"> </v>
      </c>
      <c r="C618" s="20" t="s">
        <v>174</v>
      </c>
    </row>
    <row r="619" spans="1:3" ht="18" customHeight="1" x14ac:dyDescent="0.2">
      <c r="A619" s="3"/>
      <c r="B619" s="6" t="str">
        <f t="shared" si="9"/>
        <v xml:space="preserve"> </v>
      </c>
      <c r="C619" s="20" t="s">
        <v>174</v>
      </c>
    </row>
    <row r="620" spans="1:3" ht="18" customHeight="1" x14ac:dyDescent="0.2">
      <c r="A620" s="3"/>
      <c r="B620" s="6" t="str">
        <f t="shared" si="9"/>
        <v xml:space="preserve"> </v>
      </c>
      <c r="C620" s="20" t="s">
        <v>174</v>
      </c>
    </row>
    <row r="621" spans="1:3" ht="18" customHeight="1" x14ac:dyDescent="0.2">
      <c r="A621" s="3"/>
      <c r="B621" s="6" t="str">
        <f t="shared" si="9"/>
        <v xml:space="preserve"> </v>
      </c>
      <c r="C621" s="20" t="s">
        <v>174</v>
      </c>
    </row>
    <row r="622" spans="1:3" ht="18" customHeight="1" x14ac:dyDescent="0.2">
      <c r="A622" s="3"/>
      <c r="B622" s="6" t="str">
        <f t="shared" si="9"/>
        <v xml:space="preserve"> </v>
      </c>
      <c r="C622" s="20" t="s">
        <v>174</v>
      </c>
    </row>
    <row r="623" spans="1:3" ht="18" customHeight="1" x14ac:dyDescent="0.2">
      <c r="A623" s="3"/>
      <c r="B623" s="6" t="str">
        <f t="shared" si="9"/>
        <v xml:space="preserve"> </v>
      </c>
      <c r="C623" s="20" t="s">
        <v>174</v>
      </c>
    </row>
    <row r="624" spans="1:3" ht="18" customHeight="1" x14ac:dyDescent="0.2">
      <c r="A624" s="3"/>
      <c r="B624" s="6" t="str">
        <f t="shared" si="9"/>
        <v xml:space="preserve"> </v>
      </c>
      <c r="C624" s="20" t="s">
        <v>174</v>
      </c>
    </row>
    <row r="625" spans="1:3" ht="18" customHeight="1" x14ac:dyDescent="0.2">
      <c r="A625" s="3"/>
      <c r="B625" s="6" t="str">
        <f t="shared" si="9"/>
        <v xml:space="preserve"> </v>
      </c>
      <c r="C625" s="20" t="s">
        <v>174</v>
      </c>
    </row>
    <row r="626" spans="1:3" ht="18" customHeight="1" x14ac:dyDescent="0.2">
      <c r="A626" s="3"/>
      <c r="B626" s="6" t="str">
        <f t="shared" si="9"/>
        <v xml:space="preserve"> </v>
      </c>
      <c r="C626" s="20" t="s">
        <v>174</v>
      </c>
    </row>
    <row r="627" spans="1:3" ht="18" customHeight="1" x14ac:dyDescent="0.2">
      <c r="A627" s="3"/>
      <c r="B627" s="6" t="str">
        <f t="shared" si="9"/>
        <v xml:space="preserve"> </v>
      </c>
      <c r="C627" s="20" t="s">
        <v>174</v>
      </c>
    </row>
    <row r="628" spans="1:3" ht="18" customHeight="1" x14ac:dyDescent="0.2">
      <c r="A628" s="3"/>
      <c r="B628" s="6" t="str">
        <f t="shared" si="9"/>
        <v xml:space="preserve"> </v>
      </c>
      <c r="C628" s="20" t="s">
        <v>174</v>
      </c>
    </row>
    <row r="629" spans="1:3" ht="18" customHeight="1" x14ac:dyDescent="0.2">
      <c r="A629" s="3"/>
      <c r="B629" s="6" t="str">
        <f t="shared" si="9"/>
        <v xml:space="preserve"> </v>
      </c>
      <c r="C629" s="20" t="s">
        <v>174</v>
      </c>
    </row>
    <row r="630" spans="1:3" ht="18" customHeight="1" x14ac:dyDescent="0.2">
      <c r="A630" s="3"/>
      <c r="B630" s="6" t="str">
        <f t="shared" si="9"/>
        <v xml:space="preserve"> </v>
      </c>
      <c r="C630" s="20" t="s">
        <v>174</v>
      </c>
    </row>
    <row r="631" spans="1:3" ht="18" customHeight="1" x14ac:dyDescent="0.2">
      <c r="A631" s="3"/>
      <c r="B631" s="6" t="str">
        <f t="shared" si="9"/>
        <v xml:space="preserve"> </v>
      </c>
      <c r="C631" s="20" t="s">
        <v>174</v>
      </c>
    </row>
    <row r="632" spans="1:3" ht="18" customHeight="1" x14ac:dyDescent="0.2">
      <c r="A632" s="3"/>
      <c r="B632" s="6" t="str">
        <f t="shared" si="9"/>
        <v xml:space="preserve"> </v>
      </c>
      <c r="C632" s="20" t="s">
        <v>174</v>
      </c>
    </row>
    <row r="633" spans="1:3" ht="18" customHeight="1" x14ac:dyDescent="0.2">
      <c r="A633" s="3"/>
      <c r="B633" s="6" t="str">
        <f t="shared" si="9"/>
        <v xml:space="preserve"> </v>
      </c>
      <c r="C633" s="20" t="s">
        <v>174</v>
      </c>
    </row>
    <row r="634" spans="1:3" ht="18" customHeight="1" x14ac:dyDescent="0.2">
      <c r="A634" s="3"/>
      <c r="B634" s="6" t="str">
        <f t="shared" si="9"/>
        <v xml:space="preserve"> </v>
      </c>
      <c r="C634" s="20" t="s">
        <v>174</v>
      </c>
    </row>
    <row r="635" spans="1:3" ht="18" customHeight="1" x14ac:dyDescent="0.2">
      <c r="A635" s="3"/>
      <c r="B635" s="6" t="str">
        <f t="shared" si="9"/>
        <v xml:space="preserve"> </v>
      </c>
      <c r="C635" s="20" t="s">
        <v>174</v>
      </c>
    </row>
    <row r="636" spans="1:3" ht="18" customHeight="1" x14ac:dyDescent="0.2">
      <c r="A636" s="3"/>
      <c r="B636" s="6" t="str">
        <f t="shared" si="9"/>
        <v xml:space="preserve"> </v>
      </c>
      <c r="C636" s="20" t="s">
        <v>174</v>
      </c>
    </row>
    <row r="637" spans="1:3" ht="18" customHeight="1" x14ac:dyDescent="0.2">
      <c r="A637" s="3"/>
      <c r="B637" s="6" t="str">
        <f t="shared" si="9"/>
        <v xml:space="preserve"> </v>
      </c>
      <c r="C637" s="20" t="s">
        <v>174</v>
      </c>
    </row>
    <row r="638" spans="1:3" ht="18" customHeight="1" x14ac:dyDescent="0.2">
      <c r="A638" s="3"/>
      <c r="B638" s="6" t="str">
        <f t="shared" si="9"/>
        <v xml:space="preserve"> </v>
      </c>
      <c r="C638" s="20" t="s">
        <v>174</v>
      </c>
    </row>
    <row r="639" spans="1:3" ht="18" customHeight="1" x14ac:dyDescent="0.2">
      <c r="A639" s="3"/>
      <c r="B639" s="6" t="str">
        <f t="shared" si="9"/>
        <v xml:space="preserve"> </v>
      </c>
      <c r="C639" s="20" t="s">
        <v>174</v>
      </c>
    </row>
    <row r="640" spans="1:3" ht="18" customHeight="1" x14ac:dyDescent="0.2">
      <c r="A640" s="3"/>
      <c r="B640" s="6" t="str">
        <f t="shared" si="9"/>
        <v xml:space="preserve"> </v>
      </c>
      <c r="C640" s="20" t="s">
        <v>174</v>
      </c>
    </row>
    <row r="641" spans="1:3" ht="18" customHeight="1" x14ac:dyDescent="0.2">
      <c r="A641" s="3"/>
      <c r="B641" s="6" t="str">
        <f t="shared" si="9"/>
        <v xml:space="preserve"> </v>
      </c>
      <c r="C641" s="20" t="s">
        <v>174</v>
      </c>
    </row>
    <row r="642" spans="1:3" ht="18" customHeight="1" x14ac:dyDescent="0.2">
      <c r="A642" s="3"/>
      <c r="B642" s="6" t="str">
        <f t="shared" si="9"/>
        <v xml:space="preserve"> </v>
      </c>
      <c r="C642" s="20" t="s">
        <v>174</v>
      </c>
    </row>
    <row r="643" spans="1:3" ht="18" customHeight="1" x14ac:dyDescent="0.2">
      <c r="A643" s="3"/>
      <c r="B643" s="6" t="str">
        <f t="shared" ref="B643:B706" si="10">IF(ISBLANK(A643)=TRUE,B642,B642&amp;","&amp;A643)</f>
        <v xml:space="preserve"> </v>
      </c>
      <c r="C643" s="20" t="s">
        <v>174</v>
      </c>
    </row>
    <row r="644" spans="1:3" ht="18" customHeight="1" x14ac:dyDescent="0.2">
      <c r="A644" s="3"/>
      <c r="B644" s="6" t="str">
        <f t="shared" si="10"/>
        <v xml:space="preserve"> </v>
      </c>
      <c r="C644" s="20" t="s">
        <v>174</v>
      </c>
    </row>
    <row r="645" spans="1:3" ht="18" customHeight="1" x14ac:dyDescent="0.2">
      <c r="A645" s="3"/>
      <c r="B645" s="6" t="str">
        <f t="shared" si="10"/>
        <v xml:space="preserve"> </v>
      </c>
      <c r="C645" s="20" t="s">
        <v>174</v>
      </c>
    </row>
    <row r="646" spans="1:3" ht="18" customHeight="1" x14ac:dyDescent="0.2">
      <c r="A646" s="3"/>
      <c r="B646" s="6" t="str">
        <f t="shared" si="10"/>
        <v xml:space="preserve"> </v>
      </c>
      <c r="C646" s="20" t="s">
        <v>174</v>
      </c>
    </row>
    <row r="647" spans="1:3" ht="18" customHeight="1" x14ac:dyDescent="0.2">
      <c r="A647" s="3"/>
      <c r="B647" s="6" t="str">
        <f t="shared" si="10"/>
        <v xml:space="preserve"> </v>
      </c>
      <c r="C647" s="20" t="s">
        <v>174</v>
      </c>
    </row>
    <row r="648" spans="1:3" ht="18" customHeight="1" x14ac:dyDescent="0.2">
      <c r="A648" s="3"/>
      <c r="B648" s="6" t="str">
        <f t="shared" si="10"/>
        <v xml:space="preserve"> </v>
      </c>
      <c r="C648" s="20" t="s">
        <v>174</v>
      </c>
    </row>
    <row r="649" spans="1:3" ht="18" customHeight="1" x14ac:dyDescent="0.2">
      <c r="A649" s="3"/>
      <c r="B649" s="6" t="str">
        <f t="shared" si="10"/>
        <v xml:space="preserve"> </v>
      </c>
      <c r="C649" s="20" t="s">
        <v>174</v>
      </c>
    </row>
    <row r="650" spans="1:3" ht="18" customHeight="1" x14ac:dyDescent="0.2">
      <c r="A650" s="3"/>
      <c r="B650" s="6" t="str">
        <f t="shared" si="10"/>
        <v xml:space="preserve"> </v>
      </c>
      <c r="C650" s="20" t="s">
        <v>174</v>
      </c>
    </row>
    <row r="651" spans="1:3" ht="18" customHeight="1" x14ac:dyDescent="0.2">
      <c r="A651" s="3"/>
      <c r="B651" s="6" t="str">
        <f t="shared" si="10"/>
        <v xml:space="preserve"> </v>
      </c>
      <c r="C651" s="20" t="s">
        <v>174</v>
      </c>
    </row>
    <row r="652" spans="1:3" ht="18" customHeight="1" x14ac:dyDescent="0.2">
      <c r="A652" s="3"/>
      <c r="B652" s="6" t="str">
        <f t="shared" si="10"/>
        <v xml:space="preserve"> </v>
      </c>
      <c r="C652" s="20" t="s">
        <v>174</v>
      </c>
    </row>
    <row r="653" spans="1:3" ht="18" customHeight="1" x14ac:dyDescent="0.2">
      <c r="A653" s="3"/>
      <c r="B653" s="6" t="str">
        <f t="shared" si="10"/>
        <v xml:space="preserve"> </v>
      </c>
      <c r="C653" s="20" t="s">
        <v>174</v>
      </c>
    </row>
    <row r="654" spans="1:3" ht="18" customHeight="1" x14ac:dyDescent="0.2">
      <c r="A654" s="3"/>
      <c r="B654" s="6" t="str">
        <f t="shared" si="10"/>
        <v xml:space="preserve"> </v>
      </c>
      <c r="C654" s="20" t="s">
        <v>174</v>
      </c>
    </row>
    <row r="655" spans="1:3" ht="18" customHeight="1" x14ac:dyDescent="0.2">
      <c r="A655" s="3"/>
      <c r="B655" s="6" t="str">
        <f t="shared" si="10"/>
        <v xml:space="preserve"> </v>
      </c>
      <c r="C655" s="20" t="s">
        <v>174</v>
      </c>
    </row>
    <row r="656" spans="1:3" ht="18" customHeight="1" x14ac:dyDescent="0.2">
      <c r="A656" s="3"/>
      <c r="B656" s="6" t="str">
        <f t="shared" si="10"/>
        <v xml:space="preserve"> </v>
      </c>
      <c r="C656" s="20" t="s">
        <v>174</v>
      </c>
    </row>
    <row r="657" spans="1:3" ht="18" customHeight="1" x14ac:dyDescent="0.2">
      <c r="A657" s="3"/>
      <c r="B657" s="6" t="str">
        <f t="shared" si="10"/>
        <v xml:space="preserve"> </v>
      </c>
      <c r="C657" s="20" t="s">
        <v>174</v>
      </c>
    </row>
    <row r="658" spans="1:3" ht="18" customHeight="1" x14ac:dyDescent="0.2">
      <c r="A658" s="3"/>
      <c r="B658" s="6" t="str">
        <f t="shared" si="10"/>
        <v xml:space="preserve"> </v>
      </c>
      <c r="C658" s="20" t="s">
        <v>174</v>
      </c>
    </row>
    <row r="659" spans="1:3" ht="18" customHeight="1" x14ac:dyDescent="0.2">
      <c r="A659" s="3"/>
      <c r="B659" s="6" t="str">
        <f t="shared" si="10"/>
        <v xml:space="preserve"> </v>
      </c>
      <c r="C659" s="20" t="s">
        <v>174</v>
      </c>
    </row>
    <row r="660" spans="1:3" ht="18" customHeight="1" x14ac:dyDescent="0.2">
      <c r="A660" s="3"/>
      <c r="B660" s="6" t="str">
        <f t="shared" si="10"/>
        <v xml:space="preserve"> </v>
      </c>
      <c r="C660" s="20" t="s">
        <v>174</v>
      </c>
    </row>
    <row r="661" spans="1:3" ht="18" customHeight="1" x14ac:dyDescent="0.2">
      <c r="A661" s="3"/>
      <c r="B661" s="6" t="str">
        <f t="shared" si="10"/>
        <v xml:space="preserve"> </v>
      </c>
      <c r="C661" s="20" t="s">
        <v>174</v>
      </c>
    </row>
    <row r="662" spans="1:3" ht="18" customHeight="1" x14ac:dyDescent="0.2">
      <c r="A662" s="3"/>
      <c r="B662" s="6" t="str">
        <f t="shared" si="10"/>
        <v xml:space="preserve"> </v>
      </c>
      <c r="C662" s="20" t="s">
        <v>174</v>
      </c>
    </row>
    <row r="663" spans="1:3" ht="18" customHeight="1" x14ac:dyDescent="0.2">
      <c r="A663" s="3"/>
      <c r="B663" s="6" t="str">
        <f t="shared" si="10"/>
        <v xml:space="preserve"> </v>
      </c>
      <c r="C663" s="20" t="s">
        <v>174</v>
      </c>
    </row>
    <row r="664" spans="1:3" ht="18" customHeight="1" x14ac:dyDescent="0.2">
      <c r="A664" s="3"/>
      <c r="B664" s="6" t="str">
        <f t="shared" si="10"/>
        <v xml:space="preserve"> </v>
      </c>
      <c r="C664" s="20" t="s">
        <v>174</v>
      </c>
    </row>
    <row r="665" spans="1:3" ht="18" customHeight="1" x14ac:dyDescent="0.2">
      <c r="A665" s="3"/>
      <c r="B665" s="6" t="str">
        <f t="shared" si="10"/>
        <v xml:space="preserve"> </v>
      </c>
      <c r="C665" s="20" t="s">
        <v>174</v>
      </c>
    </row>
    <row r="666" spans="1:3" ht="18" customHeight="1" x14ac:dyDescent="0.2">
      <c r="A666" s="3"/>
      <c r="B666" s="6" t="str">
        <f t="shared" si="10"/>
        <v xml:space="preserve"> </v>
      </c>
      <c r="C666" s="20" t="s">
        <v>174</v>
      </c>
    </row>
    <row r="667" spans="1:3" ht="18" customHeight="1" x14ac:dyDescent="0.2">
      <c r="A667" s="3"/>
      <c r="B667" s="6" t="str">
        <f t="shared" si="10"/>
        <v xml:space="preserve"> </v>
      </c>
      <c r="C667" s="20" t="s">
        <v>174</v>
      </c>
    </row>
    <row r="668" spans="1:3" ht="18" customHeight="1" x14ac:dyDescent="0.2">
      <c r="A668" s="3"/>
      <c r="B668" s="6" t="str">
        <f t="shared" si="10"/>
        <v xml:space="preserve"> </v>
      </c>
      <c r="C668" s="20" t="s">
        <v>174</v>
      </c>
    </row>
    <row r="669" spans="1:3" ht="18" customHeight="1" x14ac:dyDescent="0.2">
      <c r="A669" s="3"/>
      <c r="B669" s="6" t="str">
        <f t="shared" si="10"/>
        <v xml:space="preserve"> </v>
      </c>
      <c r="C669" s="20" t="s">
        <v>174</v>
      </c>
    </row>
    <row r="670" spans="1:3" ht="18" customHeight="1" x14ac:dyDescent="0.2">
      <c r="A670" s="3"/>
      <c r="B670" s="6" t="str">
        <f t="shared" si="10"/>
        <v xml:space="preserve"> </v>
      </c>
      <c r="C670" s="20" t="s">
        <v>174</v>
      </c>
    </row>
    <row r="671" spans="1:3" ht="18" customHeight="1" x14ac:dyDescent="0.2">
      <c r="A671" s="3"/>
      <c r="B671" s="6" t="str">
        <f t="shared" si="10"/>
        <v xml:space="preserve"> </v>
      </c>
      <c r="C671" s="20" t="s">
        <v>174</v>
      </c>
    </row>
    <row r="672" spans="1:3" ht="18" customHeight="1" x14ac:dyDescent="0.2">
      <c r="A672" s="3"/>
      <c r="B672" s="6" t="str">
        <f t="shared" si="10"/>
        <v xml:space="preserve"> </v>
      </c>
      <c r="C672" s="20" t="s">
        <v>174</v>
      </c>
    </row>
    <row r="673" spans="1:3" ht="18" customHeight="1" x14ac:dyDescent="0.2">
      <c r="A673" s="3"/>
      <c r="B673" s="6" t="str">
        <f t="shared" si="10"/>
        <v xml:space="preserve"> </v>
      </c>
      <c r="C673" s="20" t="s">
        <v>174</v>
      </c>
    </row>
    <row r="674" spans="1:3" ht="18" customHeight="1" x14ac:dyDescent="0.2">
      <c r="A674" s="3"/>
      <c r="B674" s="6" t="str">
        <f t="shared" si="10"/>
        <v xml:space="preserve"> </v>
      </c>
      <c r="C674" s="20" t="s">
        <v>174</v>
      </c>
    </row>
    <row r="675" spans="1:3" ht="18" customHeight="1" x14ac:dyDescent="0.2">
      <c r="A675" s="3"/>
      <c r="B675" s="6" t="str">
        <f t="shared" si="10"/>
        <v xml:space="preserve"> </v>
      </c>
      <c r="C675" s="20" t="s">
        <v>174</v>
      </c>
    </row>
    <row r="676" spans="1:3" ht="18" customHeight="1" x14ac:dyDescent="0.2">
      <c r="A676" s="3"/>
      <c r="B676" s="6" t="str">
        <f t="shared" si="10"/>
        <v xml:space="preserve"> </v>
      </c>
      <c r="C676" s="20" t="s">
        <v>174</v>
      </c>
    </row>
    <row r="677" spans="1:3" ht="18" customHeight="1" x14ac:dyDescent="0.2">
      <c r="A677" s="3"/>
      <c r="B677" s="6" t="str">
        <f t="shared" si="10"/>
        <v xml:space="preserve"> </v>
      </c>
      <c r="C677" s="20" t="s">
        <v>174</v>
      </c>
    </row>
    <row r="678" spans="1:3" ht="18" customHeight="1" x14ac:dyDescent="0.2">
      <c r="A678" s="3"/>
      <c r="B678" s="6" t="str">
        <f t="shared" si="10"/>
        <v xml:space="preserve"> </v>
      </c>
      <c r="C678" s="20" t="s">
        <v>174</v>
      </c>
    </row>
    <row r="679" spans="1:3" ht="18" customHeight="1" x14ac:dyDescent="0.2">
      <c r="A679" s="3"/>
      <c r="B679" s="6" t="str">
        <f t="shared" si="10"/>
        <v xml:space="preserve"> </v>
      </c>
      <c r="C679" s="20" t="s">
        <v>174</v>
      </c>
    </row>
    <row r="680" spans="1:3" ht="18" customHeight="1" x14ac:dyDescent="0.2">
      <c r="A680" s="3"/>
      <c r="B680" s="6" t="str">
        <f t="shared" si="10"/>
        <v xml:space="preserve"> </v>
      </c>
      <c r="C680" s="20" t="s">
        <v>174</v>
      </c>
    </row>
    <row r="681" spans="1:3" ht="18" customHeight="1" x14ac:dyDescent="0.2">
      <c r="A681" s="3"/>
      <c r="B681" s="6" t="str">
        <f t="shared" si="10"/>
        <v xml:space="preserve"> </v>
      </c>
      <c r="C681" s="20" t="s">
        <v>174</v>
      </c>
    </row>
    <row r="682" spans="1:3" ht="18" customHeight="1" x14ac:dyDescent="0.2">
      <c r="A682" s="3"/>
      <c r="B682" s="6" t="str">
        <f t="shared" si="10"/>
        <v xml:space="preserve"> </v>
      </c>
      <c r="C682" s="20" t="s">
        <v>174</v>
      </c>
    </row>
    <row r="683" spans="1:3" ht="18" customHeight="1" x14ac:dyDescent="0.2">
      <c r="A683" s="3"/>
      <c r="B683" s="6" t="str">
        <f t="shared" si="10"/>
        <v xml:space="preserve"> </v>
      </c>
      <c r="C683" s="20" t="s">
        <v>174</v>
      </c>
    </row>
    <row r="684" spans="1:3" ht="18" customHeight="1" x14ac:dyDescent="0.2">
      <c r="A684" s="3"/>
      <c r="B684" s="6" t="str">
        <f t="shared" si="10"/>
        <v xml:space="preserve"> </v>
      </c>
      <c r="C684" s="20" t="s">
        <v>174</v>
      </c>
    </row>
    <row r="685" spans="1:3" ht="18" customHeight="1" x14ac:dyDescent="0.2">
      <c r="A685" s="3"/>
      <c r="B685" s="6" t="str">
        <f t="shared" si="10"/>
        <v xml:space="preserve"> </v>
      </c>
      <c r="C685" s="20" t="s">
        <v>174</v>
      </c>
    </row>
    <row r="686" spans="1:3" ht="18" customHeight="1" x14ac:dyDescent="0.2">
      <c r="A686" s="3"/>
      <c r="B686" s="6" t="str">
        <f t="shared" si="10"/>
        <v xml:space="preserve"> </v>
      </c>
      <c r="C686" s="20" t="s">
        <v>174</v>
      </c>
    </row>
    <row r="687" spans="1:3" ht="18" customHeight="1" x14ac:dyDescent="0.2">
      <c r="A687" s="3"/>
      <c r="B687" s="6" t="str">
        <f t="shared" si="10"/>
        <v xml:space="preserve"> </v>
      </c>
      <c r="C687" s="20" t="s">
        <v>174</v>
      </c>
    </row>
    <row r="688" spans="1:3" ht="18" customHeight="1" x14ac:dyDescent="0.2">
      <c r="A688" s="3"/>
      <c r="B688" s="6" t="str">
        <f t="shared" si="10"/>
        <v xml:space="preserve"> </v>
      </c>
      <c r="C688" s="20" t="s">
        <v>174</v>
      </c>
    </row>
    <row r="689" spans="1:3" ht="18" customHeight="1" x14ac:dyDescent="0.2">
      <c r="A689" s="3"/>
      <c r="B689" s="6" t="str">
        <f t="shared" si="10"/>
        <v xml:space="preserve"> </v>
      </c>
      <c r="C689" s="20" t="s">
        <v>174</v>
      </c>
    </row>
    <row r="690" spans="1:3" ht="18" customHeight="1" x14ac:dyDescent="0.2">
      <c r="A690" s="3"/>
      <c r="B690" s="6" t="str">
        <f t="shared" si="10"/>
        <v xml:space="preserve"> </v>
      </c>
      <c r="C690" s="20" t="s">
        <v>174</v>
      </c>
    </row>
    <row r="691" spans="1:3" ht="18" customHeight="1" x14ac:dyDescent="0.2">
      <c r="A691" s="3"/>
      <c r="B691" s="6" t="str">
        <f t="shared" si="10"/>
        <v xml:space="preserve"> </v>
      </c>
      <c r="C691" s="20" t="s">
        <v>174</v>
      </c>
    </row>
    <row r="692" spans="1:3" ht="18" customHeight="1" x14ac:dyDescent="0.2">
      <c r="A692" s="3"/>
      <c r="B692" s="6" t="str">
        <f t="shared" si="10"/>
        <v xml:space="preserve"> </v>
      </c>
      <c r="C692" s="20" t="s">
        <v>174</v>
      </c>
    </row>
    <row r="693" spans="1:3" ht="18" customHeight="1" x14ac:dyDescent="0.2">
      <c r="A693" s="3"/>
      <c r="B693" s="6" t="str">
        <f t="shared" si="10"/>
        <v xml:space="preserve"> </v>
      </c>
      <c r="C693" s="20" t="s">
        <v>174</v>
      </c>
    </row>
    <row r="694" spans="1:3" ht="18" customHeight="1" x14ac:dyDescent="0.2">
      <c r="A694" s="3"/>
      <c r="B694" s="6" t="str">
        <f t="shared" si="10"/>
        <v xml:space="preserve"> </v>
      </c>
      <c r="C694" s="20" t="s">
        <v>174</v>
      </c>
    </row>
    <row r="695" spans="1:3" ht="18" customHeight="1" x14ac:dyDescent="0.2">
      <c r="A695" s="3"/>
      <c r="B695" s="6" t="str">
        <f t="shared" si="10"/>
        <v xml:space="preserve"> </v>
      </c>
      <c r="C695" s="20" t="s">
        <v>174</v>
      </c>
    </row>
    <row r="696" spans="1:3" ht="18" customHeight="1" x14ac:dyDescent="0.2">
      <c r="A696" s="3"/>
      <c r="B696" s="6" t="str">
        <f t="shared" si="10"/>
        <v xml:space="preserve"> </v>
      </c>
      <c r="C696" s="20" t="s">
        <v>174</v>
      </c>
    </row>
    <row r="697" spans="1:3" ht="18" customHeight="1" x14ac:dyDescent="0.2">
      <c r="A697" s="3"/>
      <c r="B697" s="6" t="str">
        <f t="shared" si="10"/>
        <v xml:space="preserve"> </v>
      </c>
      <c r="C697" s="20" t="s">
        <v>174</v>
      </c>
    </row>
    <row r="698" spans="1:3" ht="18" customHeight="1" x14ac:dyDescent="0.2">
      <c r="A698" s="3"/>
      <c r="B698" s="6" t="str">
        <f t="shared" si="10"/>
        <v xml:space="preserve"> </v>
      </c>
      <c r="C698" s="20" t="s">
        <v>174</v>
      </c>
    </row>
    <row r="699" spans="1:3" ht="18" customHeight="1" x14ac:dyDescent="0.2">
      <c r="A699" s="3"/>
      <c r="B699" s="6" t="str">
        <f t="shared" si="10"/>
        <v xml:space="preserve"> </v>
      </c>
      <c r="C699" s="20" t="s">
        <v>174</v>
      </c>
    </row>
    <row r="700" spans="1:3" ht="18" customHeight="1" x14ac:dyDescent="0.2">
      <c r="A700" s="3"/>
      <c r="B700" s="6" t="str">
        <f t="shared" si="10"/>
        <v xml:space="preserve"> </v>
      </c>
      <c r="C700" s="20" t="s">
        <v>174</v>
      </c>
    </row>
    <row r="701" spans="1:3" ht="18" customHeight="1" x14ac:dyDescent="0.2">
      <c r="A701" s="3"/>
      <c r="B701" s="6" t="str">
        <f t="shared" si="10"/>
        <v xml:space="preserve"> </v>
      </c>
      <c r="C701" s="20" t="s">
        <v>174</v>
      </c>
    </row>
    <row r="702" spans="1:3" ht="18" customHeight="1" x14ac:dyDescent="0.2">
      <c r="A702" s="3"/>
      <c r="B702" s="6" t="str">
        <f t="shared" si="10"/>
        <v xml:space="preserve"> </v>
      </c>
      <c r="C702" s="20" t="s">
        <v>174</v>
      </c>
    </row>
    <row r="703" spans="1:3" ht="18" customHeight="1" x14ac:dyDescent="0.2">
      <c r="A703" s="3"/>
      <c r="B703" s="6" t="str">
        <f t="shared" si="10"/>
        <v xml:space="preserve"> </v>
      </c>
      <c r="C703" s="20" t="s">
        <v>174</v>
      </c>
    </row>
    <row r="704" spans="1:3" ht="18" customHeight="1" x14ac:dyDescent="0.2">
      <c r="A704" s="3"/>
      <c r="B704" s="6" t="str">
        <f t="shared" si="10"/>
        <v xml:space="preserve"> </v>
      </c>
      <c r="C704" s="20" t="s">
        <v>174</v>
      </c>
    </row>
    <row r="705" spans="1:3" ht="18" customHeight="1" x14ac:dyDescent="0.2">
      <c r="A705" s="3"/>
      <c r="B705" s="6" t="str">
        <f t="shared" si="10"/>
        <v xml:space="preserve"> </v>
      </c>
      <c r="C705" s="20" t="s">
        <v>174</v>
      </c>
    </row>
    <row r="706" spans="1:3" ht="18" customHeight="1" x14ac:dyDescent="0.2">
      <c r="A706" s="3"/>
      <c r="B706" s="6" t="str">
        <f t="shared" si="10"/>
        <v xml:space="preserve"> </v>
      </c>
      <c r="C706" s="20" t="s">
        <v>174</v>
      </c>
    </row>
    <row r="707" spans="1:3" ht="18" customHeight="1" x14ac:dyDescent="0.2">
      <c r="A707" s="3"/>
      <c r="B707" s="6" t="str">
        <f t="shared" ref="B707:B770" si="11">IF(ISBLANK(A707)=TRUE,B706,B706&amp;","&amp;A707)</f>
        <v xml:space="preserve"> </v>
      </c>
      <c r="C707" s="20" t="s">
        <v>174</v>
      </c>
    </row>
    <row r="708" spans="1:3" ht="18" customHeight="1" x14ac:dyDescent="0.2">
      <c r="A708" s="3"/>
      <c r="B708" s="6" t="str">
        <f t="shared" si="11"/>
        <v xml:space="preserve"> </v>
      </c>
      <c r="C708" s="20" t="s">
        <v>174</v>
      </c>
    </row>
    <row r="709" spans="1:3" ht="18" customHeight="1" x14ac:dyDescent="0.2">
      <c r="A709" s="3"/>
      <c r="B709" s="6" t="str">
        <f t="shared" si="11"/>
        <v xml:space="preserve"> </v>
      </c>
      <c r="C709" s="20" t="s">
        <v>174</v>
      </c>
    </row>
    <row r="710" spans="1:3" ht="18" customHeight="1" x14ac:dyDescent="0.2">
      <c r="A710" s="3"/>
      <c r="B710" s="6" t="str">
        <f t="shared" si="11"/>
        <v xml:space="preserve"> </v>
      </c>
      <c r="C710" s="20" t="s">
        <v>174</v>
      </c>
    </row>
    <row r="711" spans="1:3" ht="18" customHeight="1" x14ac:dyDescent="0.2">
      <c r="A711" s="3"/>
      <c r="B711" s="6" t="str">
        <f t="shared" si="11"/>
        <v xml:space="preserve"> </v>
      </c>
      <c r="C711" s="20" t="s">
        <v>174</v>
      </c>
    </row>
    <row r="712" spans="1:3" ht="18" customHeight="1" x14ac:dyDescent="0.2">
      <c r="A712" s="3"/>
      <c r="B712" s="6" t="str">
        <f t="shared" si="11"/>
        <v xml:space="preserve"> </v>
      </c>
      <c r="C712" s="20" t="s">
        <v>174</v>
      </c>
    </row>
    <row r="713" spans="1:3" ht="18" customHeight="1" x14ac:dyDescent="0.2">
      <c r="A713" s="3"/>
      <c r="B713" s="6" t="str">
        <f t="shared" si="11"/>
        <v xml:space="preserve"> </v>
      </c>
      <c r="C713" s="20" t="s">
        <v>174</v>
      </c>
    </row>
    <row r="714" spans="1:3" ht="18" customHeight="1" x14ac:dyDescent="0.2">
      <c r="A714" s="3"/>
      <c r="B714" s="6" t="str">
        <f t="shared" si="11"/>
        <v xml:space="preserve"> </v>
      </c>
      <c r="C714" s="20" t="s">
        <v>174</v>
      </c>
    </row>
    <row r="715" spans="1:3" ht="18" customHeight="1" x14ac:dyDescent="0.2">
      <c r="A715" s="3"/>
      <c r="B715" s="6" t="str">
        <f t="shared" si="11"/>
        <v xml:space="preserve"> </v>
      </c>
      <c r="C715" s="20" t="s">
        <v>174</v>
      </c>
    </row>
    <row r="716" spans="1:3" ht="18" customHeight="1" x14ac:dyDescent="0.2">
      <c r="A716" s="3"/>
      <c r="B716" s="6" t="str">
        <f t="shared" si="11"/>
        <v xml:space="preserve"> </v>
      </c>
      <c r="C716" s="20" t="s">
        <v>174</v>
      </c>
    </row>
    <row r="717" spans="1:3" ht="18" customHeight="1" x14ac:dyDescent="0.2">
      <c r="A717" s="3"/>
      <c r="B717" s="6" t="str">
        <f t="shared" si="11"/>
        <v xml:space="preserve"> </v>
      </c>
      <c r="C717" s="20" t="s">
        <v>174</v>
      </c>
    </row>
    <row r="718" spans="1:3" ht="18" customHeight="1" x14ac:dyDescent="0.2">
      <c r="A718" s="3"/>
      <c r="B718" s="6" t="str">
        <f t="shared" si="11"/>
        <v xml:space="preserve"> </v>
      </c>
      <c r="C718" s="20" t="s">
        <v>174</v>
      </c>
    </row>
    <row r="719" spans="1:3" ht="18" customHeight="1" x14ac:dyDescent="0.2">
      <c r="A719" s="3"/>
      <c r="B719" s="6" t="str">
        <f t="shared" si="11"/>
        <v xml:space="preserve"> </v>
      </c>
      <c r="C719" s="20" t="s">
        <v>174</v>
      </c>
    </row>
    <row r="720" spans="1:3" ht="18" customHeight="1" x14ac:dyDescent="0.2">
      <c r="A720" s="3"/>
      <c r="B720" s="6" t="str">
        <f t="shared" si="11"/>
        <v xml:space="preserve"> </v>
      </c>
      <c r="C720" s="20" t="s">
        <v>174</v>
      </c>
    </row>
    <row r="721" spans="1:3" ht="18" customHeight="1" x14ac:dyDescent="0.2">
      <c r="A721" s="3"/>
      <c r="B721" s="6" t="str">
        <f t="shared" si="11"/>
        <v xml:space="preserve"> </v>
      </c>
      <c r="C721" s="20" t="s">
        <v>174</v>
      </c>
    </row>
    <row r="722" spans="1:3" ht="18" customHeight="1" x14ac:dyDescent="0.2">
      <c r="A722" s="3"/>
      <c r="B722" s="6" t="str">
        <f t="shared" si="11"/>
        <v xml:space="preserve"> </v>
      </c>
      <c r="C722" s="20" t="s">
        <v>174</v>
      </c>
    </row>
    <row r="723" spans="1:3" ht="18" customHeight="1" x14ac:dyDescent="0.2">
      <c r="A723" s="3"/>
      <c r="B723" s="6" t="str">
        <f t="shared" si="11"/>
        <v xml:space="preserve"> </v>
      </c>
      <c r="C723" s="20" t="s">
        <v>174</v>
      </c>
    </row>
    <row r="724" spans="1:3" ht="18" customHeight="1" x14ac:dyDescent="0.2">
      <c r="A724" s="3"/>
      <c r="B724" s="6" t="str">
        <f t="shared" si="11"/>
        <v xml:space="preserve"> </v>
      </c>
      <c r="C724" s="20" t="s">
        <v>174</v>
      </c>
    </row>
    <row r="725" spans="1:3" ht="18" customHeight="1" x14ac:dyDescent="0.2">
      <c r="A725" s="3"/>
      <c r="B725" s="6" t="str">
        <f t="shared" si="11"/>
        <v xml:space="preserve"> </v>
      </c>
      <c r="C725" s="20" t="s">
        <v>174</v>
      </c>
    </row>
    <row r="726" spans="1:3" ht="18" customHeight="1" x14ac:dyDescent="0.2">
      <c r="A726" s="3"/>
      <c r="B726" s="6" t="str">
        <f t="shared" si="11"/>
        <v xml:space="preserve"> </v>
      </c>
      <c r="C726" s="20" t="s">
        <v>174</v>
      </c>
    </row>
    <row r="727" spans="1:3" ht="18" customHeight="1" x14ac:dyDescent="0.2">
      <c r="A727" s="3"/>
      <c r="B727" s="6" t="str">
        <f t="shared" si="11"/>
        <v xml:space="preserve"> </v>
      </c>
      <c r="C727" s="20" t="s">
        <v>174</v>
      </c>
    </row>
    <row r="728" spans="1:3" ht="18" customHeight="1" x14ac:dyDescent="0.2">
      <c r="A728" s="3"/>
      <c r="B728" s="6" t="str">
        <f t="shared" si="11"/>
        <v xml:space="preserve"> </v>
      </c>
      <c r="C728" s="20" t="s">
        <v>174</v>
      </c>
    </row>
    <row r="729" spans="1:3" ht="18" customHeight="1" x14ac:dyDescent="0.2">
      <c r="A729" s="3"/>
      <c r="B729" s="6" t="str">
        <f t="shared" si="11"/>
        <v xml:space="preserve"> </v>
      </c>
      <c r="C729" s="20" t="s">
        <v>174</v>
      </c>
    </row>
    <row r="730" spans="1:3" ht="18" customHeight="1" x14ac:dyDescent="0.2">
      <c r="A730" s="3"/>
      <c r="B730" s="6" t="str">
        <f t="shared" si="11"/>
        <v xml:space="preserve"> </v>
      </c>
      <c r="C730" s="20" t="s">
        <v>174</v>
      </c>
    </row>
    <row r="731" spans="1:3" ht="18" customHeight="1" x14ac:dyDescent="0.2">
      <c r="A731" s="3"/>
      <c r="B731" s="6" t="str">
        <f t="shared" si="11"/>
        <v xml:space="preserve"> </v>
      </c>
      <c r="C731" s="20" t="s">
        <v>174</v>
      </c>
    </row>
    <row r="732" spans="1:3" ht="18" customHeight="1" x14ac:dyDescent="0.2">
      <c r="A732" s="3"/>
      <c r="B732" s="6" t="str">
        <f t="shared" si="11"/>
        <v xml:space="preserve"> </v>
      </c>
      <c r="C732" s="20" t="s">
        <v>174</v>
      </c>
    </row>
    <row r="733" spans="1:3" ht="18" customHeight="1" x14ac:dyDescent="0.2">
      <c r="A733" s="3"/>
      <c r="B733" s="6" t="str">
        <f t="shared" si="11"/>
        <v xml:space="preserve"> </v>
      </c>
      <c r="C733" s="20" t="s">
        <v>174</v>
      </c>
    </row>
    <row r="734" spans="1:3" ht="18" customHeight="1" x14ac:dyDescent="0.2">
      <c r="A734" s="3"/>
      <c r="B734" s="6" t="str">
        <f t="shared" si="11"/>
        <v xml:space="preserve"> </v>
      </c>
      <c r="C734" s="20" t="s">
        <v>174</v>
      </c>
    </row>
    <row r="735" spans="1:3" ht="18" customHeight="1" x14ac:dyDescent="0.2">
      <c r="A735" s="3"/>
      <c r="B735" s="6" t="str">
        <f t="shared" si="11"/>
        <v xml:space="preserve"> </v>
      </c>
      <c r="C735" s="20" t="s">
        <v>174</v>
      </c>
    </row>
    <row r="736" spans="1:3" ht="18" customHeight="1" x14ac:dyDescent="0.2">
      <c r="A736" s="3"/>
      <c r="B736" s="6" t="str">
        <f t="shared" si="11"/>
        <v xml:space="preserve"> </v>
      </c>
      <c r="C736" s="20" t="s">
        <v>174</v>
      </c>
    </row>
    <row r="737" spans="1:3" ht="18" customHeight="1" x14ac:dyDescent="0.2">
      <c r="A737" s="3"/>
      <c r="B737" s="6" t="str">
        <f t="shared" si="11"/>
        <v xml:space="preserve"> </v>
      </c>
      <c r="C737" s="20" t="s">
        <v>174</v>
      </c>
    </row>
    <row r="738" spans="1:3" ht="18" customHeight="1" x14ac:dyDescent="0.2">
      <c r="A738" s="3"/>
      <c r="B738" s="6" t="str">
        <f t="shared" si="11"/>
        <v xml:space="preserve"> </v>
      </c>
      <c r="C738" s="20" t="s">
        <v>174</v>
      </c>
    </row>
    <row r="739" spans="1:3" ht="18" customHeight="1" x14ac:dyDescent="0.2">
      <c r="A739" s="3"/>
      <c r="B739" s="6" t="str">
        <f t="shared" si="11"/>
        <v xml:space="preserve"> </v>
      </c>
      <c r="C739" s="20" t="s">
        <v>174</v>
      </c>
    </row>
    <row r="740" spans="1:3" ht="18" customHeight="1" x14ac:dyDescent="0.2">
      <c r="A740" s="3"/>
      <c r="B740" s="6" t="str">
        <f t="shared" si="11"/>
        <v xml:space="preserve"> </v>
      </c>
      <c r="C740" s="20" t="s">
        <v>174</v>
      </c>
    </row>
    <row r="741" spans="1:3" ht="18" customHeight="1" x14ac:dyDescent="0.2">
      <c r="A741" s="3"/>
      <c r="B741" s="6" t="str">
        <f t="shared" si="11"/>
        <v xml:space="preserve"> </v>
      </c>
      <c r="C741" s="20" t="s">
        <v>174</v>
      </c>
    </row>
    <row r="742" spans="1:3" ht="18" customHeight="1" x14ac:dyDescent="0.2">
      <c r="A742" s="3"/>
      <c r="B742" s="6" t="str">
        <f t="shared" si="11"/>
        <v xml:space="preserve"> </v>
      </c>
      <c r="C742" s="20" t="s">
        <v>174</v>
      </c>
    </row>
    <row r="743" spans="1:3" ht="18" customHeight="1" x14ac:dyDescent="0.2">
      <c r="A743" s="3"/>
      <c r="B743" s="6" t="str">
        <f t="shared" si="11"/>
        <v xml:space="preserve"> </v>
      </c>
      <c r="C743" s="20" t="s">
        <v>174</v>
      </c>
    </row>
    <row r="744" spans="1:3" ht="18" customHeight="1" x14ac:dyDescent="0.2">
      <c r="A744" s="3"/>
      <c r="B744" s="6" t="str">
        <f t="shared" si="11"/>
        <v xml:space="preserve"> </v>
      </c>
      <c r="C744" s="20" t="s">
        <v>174</v>
      </c>
    </row>
    <row r="745" spans="1:3" ht="18" customHeight="1" x14ac:dyDescent="0.2">
      <c r="A745" s="3"/>
      <c r="B745" s="6" t="str">
        <f t="shared" si="11"/>
        <v xml:space="preserve"> </v>
      </c>
      <c r="C745" s="20" t="s">
        <v>174</v>
      </c>
    </row>
    <row r="746" spans="1:3" ht="18" customHeight="1" x14ac:dyDescent="0.2">
      <c r="A746" s="3"/>
      <c r="B746" s="6" t="str">
        <f t="shared" si="11"/>
        <v xml:space="preserve"> </v>
      </c>
      <c r="C746" s="20" t="s">
        <v>174</v>
      </c>
    </row>
    <row r="747" spans="1:3" ht="18" customHeight="1" x14ac:dyDescent="0.2">
      <c r="A747" s="3"/>
      <c r="B747" s="6" t="str">
        <f t="shared" si="11"/>
        <v xml:space="preserve"> </v>
      </c>
      <c r="C747" s="20" t="s">
        <v>174</v>
      </c>
    </row>
    <row r="748" spans="1:3" ht="18" customHeight="1" x14ac:dyDescent="0.2">
      <c r="A748" s="3"/>
      <c r="B748" s="6" t="str">
        <f t="shared" si="11"/>
        <v xml:space="preserve"> </v>
      </c>
      <c r="C748" s="20" t="s">
        <v>174</v>
      </c>
    </row>
    <row r="749" spans="1:3" ht="18" customHeight="1" x14ac:dyDescent="0.2">
      <c r="A749" s="3"/>
      <c r="B749" s="6" t="str">
        <f t="shared" si="11"/>
        <v xml:space="preserve"> </v>
      </c>
      <c r="C749" s="20" t="s">
        <v>174</v>
      </c>
    </row>
    <row r="750" spans="1:3" ht="18" customHeight="1" x14ac:dyDescent="0.2">
      <c r="A750" s="3"/>
      <c r="B750" s="6" t="str">
        <f t="shared" si="11"/>
        <v xml:space="preserve"> </v>
      </c>
      <c r="C750" s="20" t="s">
        <v>174</v>
      </c>
    </row>
    <row r="751" spans="1:3" ht="18" customHeight="1" x14ac:dyDescent="0.2">
      <c r="A751" s="3"/>
      <c r="B751" s="6" t="str">
        <f t="shared" si="11"/>
        <v xml:space="preserve"> </v>
      </c>
      <c r="C751" s="20" t="s">
        <v>174</v>
      </c>
    </row>
    <row r="752" spans="1:3" ht="18" customHeight="1" x14ac:dyDescent="0.2">
      <c r="A752" s="3"/>
      <c r="B752" s="6" t="str">
        <f t="shared" si="11"/>
        <v xml:space="preserve"> </v>
      </c>
      <c r="C752" s="20" t="s">
        <v>174</v>
      </c>
    </row>
    <row r="753" spans="1:3" ht="18" customHeight="1" x14ac:dyDescent="0.2">
      <c r="A753" s="3"/>
      <c r="B753" s="6" t="str">
        <f t="shared" si="11"/>
        <v xml:space="preserve"> </v>
      </c>
      <c r="C753" s="20" t="s">
        <v>174</v>
      </c>
    </row>
    <row r="754" spans="1:3" ht="18" customHeight="1" x14ac:dyDescent="0.2">
      <c r="A754" s="3"/>
      <c r="B754" s="6" t="str">
        <f t="shared" si="11"/>
        <v xml:space="preserve"> </v>
      </c>
      <c r="C754" s="20" t="s">
        <v>174</v>
      </c>
    </row>
    <row r="755" spans="1:3" ht="18" customHeight="1" x14ac:dyDescent="0.2">
      <c r="A755" s="3"/>
      <c r="B755" s="6" t="str">
        <f t="shared" si="11"/>
        <v xml:space="preserve"> </v>
      </c>
      <c r="C755" s="20" t="s">
        <v>174</v>
      </c>
    </row>
    <row r="756" spans="1:3" ht="18" customHeight="1" x14ac:dyDescent="0.2">
      <c r="A756" s="3"/>
      <c r="B756" s="6" t="str">
        <f t="shared" si="11"/>
        <v xml:space="preserve"> </v>
      </c>
      <c r="C756" s="20" t="s">
        <v>174</v>
      </c>
    </row>
    <row r="757" spans="1:3" ht="18" customHeight="1" x14ac:dyDescent="0.2">
      <c r="A757" s="3"/>
      <c r="B757" s="6" t="str">
        <f t="shared" si="11"/>
        <v xml:space="preserve"> </v>
      </c>
      <c r="C757" s="20" t="s">
        <v>174</v>
      </c>
    </row>
    <row r="758" spans="1:3" ht="18" customHeight="1" x14ac:dyDescent="0.2">
      <c r="A758" s="3"/>
      <c r="B758" s="6" t="str">
        <f t="shared" si="11"/>
        <v xml:space="preserve"> </v>
      </c>
      <c r="C758" s="20" t="s">
        <v>174</v>
      </c>
    </row>
    <row r="759" spans="1:3" ht="18" customHeight="1" x14ac:dyDescent="0.2">
      <c r="A759" s="3"/>
      <c r="B759" s="6" t="str">
        <f t="shared" si="11"/>
        <v xml:space="preserve"> </v>
      </c>
      <c r="C759" s="20" t="s">
        <v>174</v>
      </c>
    </row>
    <row r="760" spans="1:3" ht="18" customHeight="1" x14ac:dyDescent="0.2">
      <c r="A760" s="3"/>
      <c r="B760" s="6" t="str">
        <f t="shared" si="11"/>
        <v xml:space="preserve"> </v>
      </c>
      <c r="C760" s="20" t="s">
        <v>174</v>
      </c>
    </row>
    <row r="761" spans="1:3" ht="18" customHeight="1" x14ac:dyDescent="0.2">
      <c r="A761" s="3"/>
      <c r="B761" s="6" t="str">
        <f t="shared" si="11"/>
        <v xml:space="preserve"> </v>
      </c>
      <c r="C761" s="20" t="s">
        <v>174</v>
      </c>
    </row>
    <row r="762" spans="1:3" ht="18" customHeight="1" x14ac:dyDescent="0.2">
      <c r="A762" s="3"/>
      <c r="B762" s="6" t="str">
        <f t="shared" si="11"/>
        <v xml:space="preserve"> </v>
      </c>
      <c r="C762" s="20" t="s">
        <v>174</v>
      </c>
    </row>
    <row r="763" spans="1:3" ht="18" customHeight="1" x14ac:dyDescent="0.2">
      <c r="A763" s="3"/>
      <c r="B763" s="6" t="str">
        <f t="shared" si="11"/>
        <v xml:space="preserve"> </v>
      </c>
      <c r="C763" s="20" t="s">
        <v>174</v>
      </c>
    </row>
    <row r="764" spans="1:3" ht="18" customHeight="1" x14ac:dyDescent="0.2">
      <c r="A764" s="3"/>
      <c r="B764" s="6" t="str">
        <f t="shared" si="11"/>
        <v xml:space="preserve"> </v>
      </c>
      <c r="C764" s="20" t="s">
        <v>174</v>
      </c>
    </row>
    <row r="765" spans="1:3" ht="18" customHeight="1" x14ac:dyDescent="0.2">
      <c r="A765" s="3"/>
      <c r="B765" s="6" t="str">
        <f t="shared" si="11"/>
        <v xml:space="preserve"> </v>
      </c>
      <c r="C765" s="20" t="s">
        <v>174</v>
      </c>
    </row>
    <row r="766" spans="1:3" ht="18" customHeight="1" x14ac:dyDescent="0.2">
      <c r="A766" s="3"/>
      <c r="B766" s="6" t="str">
        <f t="shared" si="11"/>
        <v xml:space="preserve"> </v>
      </c>
      <c r="C766" s="20" t="s">
        <v>174</v>
      </c>
    </row>
    <row r="767" spans="1:3" ht="18" customHeight="1" x14ac:dyDescent="0.2">
      <c r="A767" s="3"/>
      <c r="B767" s="6" t="str">
        <f t="shared" si="11"/>
        <v xml:space="preserve"> </v>
      </c>
      <c r="C767" s="20" t="s">
        <v>174</v>
      </c>
    </row>
    <row r="768" spans="1:3" ht="18" customHeight="1" x14ac:dyDescent="0.2">
      <c r="A768" s="3"/>
      <c r="B768" s="6" t="str">
        <f t="shared" si="11"/>
        <v xml:space="preserve"> </v>
      </c>
      <c r="C768" s="20" t="s">
        <v>174</v>
      </c>
    </row>
    <row r="769" spans="1:3" ht="18" customHeight="1" x14ac:dyDescent="0.2">
      <c r="A769" s="3"/>
      <c r="B769" s="6" t="str">
        <f t="shared" si="11"/>
        <v xml:space="preserve"> </v>
      </c>
      <c r="C769" s="20" t="s">
        <v>174</v>
      </c>
    </row>
    <row r="770" spans="1:3" ht="18" customHeight="1" x14ac:dyDescent="0.2">
      <c r="A770" s="3"/>
      <c r="B770" s="6" t="str">
        <f t="shared" si="11"/>
        <v xml:space="preserve"> </v>
      </c>
      <c r="C770" s="20" t="s">
        <v>174</v>
      </c>
    </row>
    <row r="771" spans="1:3" ht="18" customHeight="1" x14ac:dyDescent="0.2">
      <c r="A771" s="3"/>
      <c r="B771" s="6" t="str">
        <f t="shared" ref="B771:B834" si="12">IF(ISBLANK(A771)=TRUE,B770,B770&amp;","&amp;A771)</f>
        <v xml:space="preserve"> </v>
      </c>
      <c r="C771" s="20" t="s">
        <v>174</v>
      </c>
    </row>
    <row r="772" spans="1:3" ht="18" customHeight="1" x14ac:dyDescent="0.2">
      <c r="A772" s="3"/>
      <c r="B772" s="6" t="str">
        <f t="shared" si="12"/>
        <v xml:space="preserve"> </v>
      </c>
      <c r="C772" s="20" t="s">
        <v>174</v>
      </c>
    </row>
    <row r="773" spans="1:3" ht="18" customHeight="1" x14ac:dyDescent="0.2">
      <c r="A773" s="3"/>
      <c r="B773" s="6" t="str">
        <f t="shared" si="12"/>
        <v xml:space="preserve"> </v>
      </c>
      <c r="C773" s="20" t="s">
        <v>174</v>
      </c>
    </row>
    <row r="774" spans="1:3" ht="18" customHeight="1" x14ac:dyDescent="0.2">
      <c r="A774" s="3"/>
      <c r="B774" s="6" t="str">
        <f t="shared" si="12"/>
        <v xml:space="preserve"> </v>
      </c>
      <c r="C774" s="20" t="s">
        <v>174</v>
      </c>
    </row>
    <row r="775" spans="1:3" ht="18" customHeight="1" x14ac:dyDescent="0.2">
      <c r="A775" s="3"/>
      <c r="B775" s="6" t="str">
        <f t="shared" si="12"/>
        <v xml:space="preserve"> </v>
      </c>
      <c r="C775" s="20" t="s">
        <v>174</v>
      </c>
    </row>
    <row r="776" spans="1:3" ht="18" customHeight="1" x14ac:dyDescent="0.2">
      <c r="A776" s="3"/>
      <c r="B776" s="6" t="str">
        <f t="shared" si="12"/>
        <v xml:space="preserve"> </v>
      </c>
      <c r="C776" s="20" t="s">
        <v>174</v>
      </c>
    </row>
    <row r="777" spans="1:3" ht="18" customHeight="1" x14ac:dyDescent="0.2">
      <c r="A777" s="3"/>
      <c r="B777" s="6" t="str">
        <f t="shared" si="12"/>
        <v xml:space="preserve"> </v>
      </c>
      <c r="C777" s="20" t="s">
        <v>174</v>
      </c>
    </row>
    <row r="778" spans="1:3" ht="18" customHeight="1" x14ac:dyDescent="0.2">
      <c r="A778" s="3"/>
      <c r="B778" s="6" t="str">
        <f t="shared" si="12"/>
        <v xml:space="preserve"> </v>
      </c>
      <c r="C778" s="20" t="s">
        <v>174</v>
      </c>
    </row>
    <row r="779" spans="1:3" ht="18" customHeight="1" x14ac:dyDescent="0.2">
      <c r="A779" s="3"/>
      <c r="B779" s="6" t="str">
        <f t="shared" si="12"/>
        <v xml:space="preserve"> </v>
      </c>
      <c r="C779" s="20" t="s">
        <v>174</v>
      </c>
    </row>
    <row r="780" spans="1:3" ht="18" customHeight="1" x14ac:dyDescent="0.2">
      <c r="A780" s="3"/>
      <c r="B780" s="6" t="str">
        <f t="shared" si="12"/>
        <v xml:space="preserve"> </v>
      </c>
      <c r="C780" s="20" t="s">
        <v>174</v>
      </c>
    </row>
    <row r="781" spans="1:3" ht="18" customHeight="1" x14ac:dyDescent="0.2">
      <c r="A781" s="3"/>
      <c r="B781" s="6" t="str">
        <f t="shared" si="12"/>
        <v xml:space="preserve"> </v>
      </c>
      <c r="C781" s="20" t="s">
        <v>174</v>
      </c>
    </row>
    <row r="782" spans="1:3" ht="18" customHeight="1" x14ac:dyDescent="0.2">
      <c r="A782" s="3"/>
      <c r="B782" s="6" t="str">
        <f t="shared" si="12"/>
        <v xml:space="preserve"> </v>
      </c>
      <c r="C782" s="20" t="s">
        <v>174</v>
      </c>
    </row>
    <row r="783" spans="1:3" ht="18" customHeight="1" x14ac:dyDescent="0.2">
      <c r="A783" s="3"/>
      <c r="B783" s="6" t="str">
        <f t="shared" si="12"/>
        <v xml:space="preserve"> </v>
      </c>
      <c r="C783" s="20" t="s">
        <v>174</v>
      </c>
    </row>
    <row r="784" spans="1:3" ht="18" customHeight="1" x14ac:dyDescent="0.2">
      <c r="A784" s="3"/>
      <c r="B784" s="6" t="str">
        <f t="shared" si="12"/>
        <v xml:space="preserve"> </v>
      </c>
      <c r="C784" s="20" t="s">
        <v>174</v>
      </c>
    </row>
    <row r="785" spans="1:3" ht="18" customHeight="1" x14ac:dyDescent="0.2">
      <c r="A785" s="3"/>
      <c r="B785" s="6" t="str">
        <f t="shared" si="12"/>
        <v xml:space="preserve"> </v>
      </c>
      <c r="C785" s="20" t="s">
        <v>174</v>
      </c>
    </row>
    <row r="786" spans="1:3" ht="18" customHeight="1" x14ac:dyDescent="0.2">
      <c r="A786" s="3"/>
      <c r="B786" s="6" t="str">
        <f t="shared" si="12"/>
        <v xml:space="preserve"> </v>
      </c>
      <c r="C786" s="20" t="s">
        <v>174</v>
      </c>
    </row>
    <row r="787" spans="1:3" ht="18" customHeight="1" x14ac:dyDescent="0.2">
      <c r="A787" s="3"/>
      <c r="B787" s="6" t="str">
        <f t="shared" si="12"/>
        <v xml:space="preserve"> </v>
      </c>
      <c r="C787" s="20" t="s">
        <v>174</v>
      </c>
    </row>
    <row r="788" spans="1:3" ht="18" customHeight="1" x14ac:dyDescent="0.2">
      <c r="A788" s="3"/>
      <c r="B788" s="6" t="str">
        <f t="shared" si="12"/>
        <v xml:space="preserve"> </v>
      </c>
      <c r="C788" s="20" t="s">
        <v>174</v>
      </c>
    </row>
    <row r="789" spans="1:3" ht="18" customHeight="1" x14ac:dyDescent="0.2">
      <c r="A789" s="3"/>
      <c r="B789" s="6" t="str">
        <f t="shared" si="12"/>
        <v xml:space="preserve"> </v>
      </c>
      <c r="C789" s="20" t="s">
        <v>174</v>
      </c>
    </row>
    <row r="790" spans="1:3" ht="18" customHeight="1" x14ac:dyDescent="0.2">
      <c r="A790" s="3"/>
      <c r="B790" s="6" t="str">
        <f t="shared" si="12"/>
        <v xml:space="preserve"> </v>
      </c>
      <c r="C790" s="20" t="s">
        <v>174</v>
      </c>
    </row>
    <row r="791" spans="1:3" ht="18" customHeight="1" x14ac:dyDescent="0.2">
      <c r="A791" s="3"/>
      <c r="B791" s="6" t="str">
        <f t="shared" si="12"/>
        <v xml:space="preserve"> </v>
      </c>
      <c r="C791" s="20" t="s">
        <v>174</v>
      </c>
    </row>
    <row r="792" spans="1:3" ht="18" customHeight="1" x14ac:dyDescent="0.2">
      <c r="A792" s="3"/>
      <c r="B792" s="6" t="str">
        <f t="shared" si="12"/>
        <v xml:space="preserve"> </v>
      </c>
      <c r="C792" s="20" t="s">
        <v>174</v>
      </c>
    </row>
    <row r="793" spans="1:3" ht="18" customHeight="1" x14ac:dyDescent="0.2">
      <c r="A793" s="3"/>
      <c r="B793" s="6" t="str">
        <f t="shared" si="12"/>
        <v xml:space="preserve"> </v>
      </c>
      <c r="C793" s="20" t="s">
        <v>174</v>
      </c>
    </row>
    <row r="794" spans="1:3" ht="18" customHeight="1" x14ac:dyDescent="0.2">
      <c r="A794" s="3"/>
      <c r="B794" s="6" t="str">
        <f t="shared" si="12"/>
        <v xml:space="preserve"> </v>
      </c>
      <c r="C794" s="20" t="s">
        <v>174</v>
      </c>
    </row>
    <row r="795" spans="1:3" ht="18" customHeight="1" x14ac:dyDescent="0.2">
      <c r="A795" s="3"/>
      <c r="B795" s="6" t="str">
        <f t="shared" si="12"/>
        <v xml:space="preserve"> </v>
      </c>
      <c r="C795" s="20" t="s">
        <v>174</v>
      </c>
    </row>
    <row r="796" spans="1:3" ht="18" customHeight="1" x14ac:dyDescent="0.2">
      <c r="A796" s="3"/>
      <c r="B796" s="6" t="str">
        <f t="shared" si="12"/>
        <v xml:space="preserve"> </v>
      </c>
      <c r="C796" s="20" t="s">
        <v>174</v>
      </c>
    </row>
    <row r="797" spans="1:3" ht="18" customHeight="1" x14ac:dyDescent="0.2">
      <c r="A797" s="3"/>
      <c r="B797" s="6" t="str">
        <f t="shared" si="12"/>
        <v xml:space="preserve"> </v>
      </c>
      <c r="C797" s="20" t="s">
        <v>174</v>
      </c>
    </row>
    <row r="798" spans="1:3" ht="18" customHeight="1" x14ac:dyDescent="0.2">
      <c r="A798" s="3"/>
      <c r="B798" s="6" t="str">
        <f t="shared" si="12"/>
        <v xml:space="preserve"> </v>
      </c>
      <c r="C798" s="20" t="s">
        <v>174</v>
      </c>
    </row>
    <row r="799" spans="1:3" ht="18" customHeight="1" x14ac:dyDescent="0.2">
      <c r="A799" s="3"/>
      <c r="B799" s="6" t="str">
        <f t="shared" si="12"/>
        <v xml:space="preserve"> </v>
      </c>
      <c r="C799" s="20" t="s">
        <v>174</v>
      </c>
    </row>
    <row r="800" spans="1:3" ht="18" customHeight="1" x14ac:dyDescent="0.2">
      <c r="A800" s="3"/>
      <c r="B800" s="6" t="str">
        <f t="shared" si="12"/>
        <v xml:space="preserve"> </v>
      </c>
      <c r="C800" s="20" t="s">
        <v>174</v>
      </c>
    </row>
    <row r="801" spans="1:3" ht="18" customHeight="1" x14ac:dyDescent="0.2">
      <c r="A801" s="3"/>
      <c r="B801" s="6" t="str">
        <f t="shared" si="12"/>
        <v xml:space="preserve"> </v>
      </c>
      <c r="C801" s="20" t="s">
        <v>174</v>
      </c>
    </row>
    <row r="802" spans="1:3" ht="18" customHeight="1" x14ac:dyDescent="0.2">
      <c r="A802" s="3"/>
      <c r="B802" s="6" t="str">
        <f t="shared" si="12"/>
        <v xml:space="preserve"> </v>
      </c>
      <c r="C802" s="20" t="s">
        <v>174</v>
      </c>
    </row>
    <row r="803" spans="1:3" ht="18" customHeight="1" x14ac:dyDescent="0.2">
      <c r="A803" s="3"/>
      <c r="B803" s="6" t="str">
        <f t="shared" si="12"/>
        <v xml:space="preserve"> </v>
      </c>
      <c r="C803" s="20" t="s">
        <v>174</v>
      </c>
    </row>
    <row r="804" spans="1:3" ht="18" customHeight="1" x14ac:dyDescent="0.2">
      <c r="A804" s="3"/>
      <c r="B804" s="6" t="str">
        <f t="shared" si="12"/>
        <v xml:space="preserve"> </v>
      </c>
      <c r="C804" s="20" t="s">
        <v>174</v>
      </c>
    </row>
    <row r="805" spans="1:3" ht="18" customHeight="1" x14ac:dyDescent="0.2">
      <c r="A805" s="3"/>
      <c r="B805" s="6" t="str">
        <f t="shared" si="12"/>
        <v xml:space="preserve"> </v>
      </c>
      <c r="C805" s="20" t="s">
        <v>174</v>
      </c>
    </row>
    <row r="806" spans="1:3" ht="18" customHeight="1" x14ac:dyDescent="0.2">
      <c r="A806" s="3"/>
      <c r="B806" s="6" t="str">
        <f t="shared" si="12"/>
        <v xml:space="preserve"> </v>
      </c>
      <c r="C806" s="20" t="s">
        <v>174</v>
      </c>
    </row>
    <row r="807" spans="1:3" ht="18" customHeight="1" x14ac:dyDescent="0.2">
      <c r="A807" s="3"/>
      <c r="B807" s="6" t="str">
        <f t="shared" si="12"/>
        <v xml:space="preserve"> </v>
      </c>
      <c r="C807" s="20" t="s">
        <v>174</v>
      </c>
    </row>
    <row r="808" spans="1:3" ht="18" customHeight="1" x14ac:dyDescent="0.2">
      <c r="A808" s="3"/>
      <c r="B808" s="6" t="str">
        <f t="shared" si="12"/>
        <v xml:space="preserve"> </v>
      </c>
      <c r="C808" s="20" t="s">
        <v>174</v>
      </c>
    </row>
    <row r="809" spans="1:3" ht="18" customHeight="1" x14ac:dyDescent="0.2">
      <c r="A809" s="3"/>
      <c r="B809" s="6" t="str">
        <f t="shared" si="12"/>
        <v xml:space="preserve"> </v>
      </c>
      <c r="C809" s="20" t="s">
        <v>174</v>
      </c>
    </row>
    <row r="810" spans="1:3" ht="18" customHeight="1" x14ac:dyDescent="0.2">
      <c r="A810" s="3"/>
      <c r="B810" s="6" t="str">
        <f t="shared" si="12"/>
        <v xml:space="preserve"> </v>
      </c>
      <c r="C810" s="20" t="s">
        <v>174</v>
      </c>
    </row>
    <row r="811" spans="1:3" ht="18" customHeight="1" x14ac:dyDescent="0.2">
      <c r="A811" s="3"/>
      <c r="B811" s="6" t="str">
        <f t="shared" si="12"/>
        <v xml:space="preserve"> </v>
      </c>
      <c r="C811" s="20" t="s">
        <v>174</v>
      </c>
    </row>
    <row r="812" spans="1:3" ht="18" customHeight="1" x14ac:dyDescent="0.2">
      <c r="A812" s="3"/>
      <c r="B812" s="6" t="str">
        <f t="shared" si="12"/>
        <v xml:space="preserve"> </v>
      </c>
      <c r="C812" s="20" t="s">
        <v>174</v>
      </c>
    </row>
    <row r="813" spans="1:3" ht="18" customHeight="1" x14ac:dyDescent="0.2">
      <c r="A813" s="3"/>
      <c r="B813" s="6" t="str">
        <f t="shared" si="12"/>
        <v xml:space="preserve"> </v>
      </c>
      <c r="C813" s="20" t="s">
        <v>174</v>
      </c>
    </row>
    <row r="814" spans="1:3" ht="18" customHeight="1" x14ac:dyDescent="0.2">
      <c r="A814" s="3"/>
      <c r="B814" s="6" t="str">
        <f t="shared" si="12"/>
        <v xml:space="preserve"> </v>
      </c>
      <c r="C814" s="20" t="s">
        <v>174</v>
      </c>
    </row>
    <row r="815" spans="1:3" ht="18" customHeight="1" x14ac:dyDescent="0.2">
      <c r="A815" s="3"/>
      <c r="B815" s="6" t="str">
        <f t="shared" si="12"/>
        <v xml:space="preserve"> </v>
      </c>
      <c r="C815" s="20" t="s">
        <v>174</v>
      </c>
    </row>
    <row r="816" spans="1:3" ht="18" customHeight="1" x14ac:dyDescent="0.2">
      <c r="A816" s="3"/>
      <c r="B816" s="6" t="str">
        <f t="shared" si="12"/>
        <v xml:space="preserve"> </v>
      </c>
      <c r="C816" s="20" t="s">
        <v>174</v>
      </c>
    </row>
    <row r="817" spans="1:3" ht="18" customHeight="1" x14ac:dyDescent="0.2">
      <c r="A817" s="3"/>
      <c r="B817" s="6" t="str">
        <f t="shared" si="12"/>
        <v xml:space="preserve"> </v>
      </c>
      <c r="C817" s="20" t="s">
        <v>174</v>
      </c>
    </row>
    <row r="818" spans="1:3" ht="18" customHeight="1" x14ac:dyDescent="0.2">
      <c r="A818" s="3"/>
      <c r="B818" s="6" t="str">
        <f t="shared" si="12"/>
        <v xml:space="preserve"> </v>
      </c>
      <c r="C818" s="20" t="s">
        <v>174</v>
      </c>
    </row>
    <row r="819" spans="1:3" ht="18" customHeight="1" x14ac:dyDescent="0.2">
      <c r="A819" s="3"/>
      <c r="B819" s="6" t="str">
        <f t="shared" si="12"/>
        <v xml:space="preserve"> </v>
      </c>
      <c r="C819" s="20" t="s">
        <v>174</v>
      </c>
    </row>
    <row r="820" spans="1:3" ht="18" customHeight="1" x14ac:dyDescent="0.2">
      <c r="A820" s="3"/>
      <c r="B820" s="6" t="str">
        <f t="shared" si="12"/>
        <v xml:space="preserve"> </v>
      </c>
      <c r="C820" s="20" t="s">
        <v>174</v>
      </c>
    </row>
    <row r="821" spans="1:3" ht="18" customHeight="1" x14ac:dyDescent="0.2">
      <c r="A821" s="3"/>
      <c r="B821" s="6" t="str">
        <f t="shared" si="12"/>
        <v xml:space="preserve"> </v>
      </c>
      <c r="C821" s="20" t="s">
        <v>174</v>
      </c>
    </row>
    <row r="822" spans="1:3" ht="18" customHeight="1" x14ac:dyDescent="0.2">
      <c r="A822" s="3"/>
      <c r="B822" s="6" t="str">
        <f t="shared" si="12"/>
        <v xml:space="preserve"> </v>
      </c>
      <c r="C822" s="20" t="s">
        <v>174</v>
      </c>
    </row>
    <row r="823" spans="1:3" ht="18" customHeight="1" x14ac:dyDescent="0.2">
      <c r="A823" s="3"/>
      <c r="B823" s="6" t="str">
        <f t="shared" si="12"/>
        <v xml:space="preserve"> </v>
      </c>
      <c r="C823" s="20" t="s">
        <v>174</v>
      </c>
    </row>
    <row r="824" spans="1:3" ht="18" customHeight="1" x14ac:dyDescent="0.2">
      <c r="A824" s="3"/>
      <c r="B824" s="6" t="str">
        <f t="shared" si="12"/>
        <v xml:space="preserve"> </v>
      </c>
      <c r="C824" s="20" t="s">
        <v>174</v>
      </c>
    </row>
    <row r="825" spans="1:3" ht="18" customHeight="1" x14ac:dyDescent="0.2">
      <c r="A825" s="3"/>
      <c r="B825" s="6" t="str">
        <f t="shared" si="12"/>
        <v xml:space="preserve"> </v>
      </c>
      <c r="C825" s="20" t="s">
        <v>174</v>
      </c>
    </row>
    <row r="826" spans="1:3" ht="18" customHeight="1" x14ac:dyDescent="0.2">
      <c r="A826" s="3"/>
      <c r="B826" s="6" t="str">
        <f t="shared" si="12"/>
        <v xml:space="preserve"> </v>
      </c>
      <c r="C826" s="20" t="s">
        <v>174</v>
      </c>
    </row>
    <row r="827" spans="1:3" ht="18" customHeight="1" x14ac:dyDescent="0.2">
      <c r="A827" s="3"/>
      <c r="B827" s="6" t="str">
        <f t="shared" si="12"/>
        <v xml:space="preserve"> </v>
      </c>
      <c r="C827" s="20" t="s">
        <v>174</v>
      </c>
    </row>
    <row r="828" spans="1:3" ht="18" customHeight="1" x14ac:dyDescent="0.2">
      <c r="A828" s="3"/>
      <c r="B828" s="6" t="str">
        <f t="shared" si="12"/>
        <v xml:space="preserve"> </v>
      </c>
      <c r="C828" s="20" t="s">
        <v>174</v>
      </c>
    </row>
    <row r="829" spans="1:3" ht="18" customHeight="1" x14ac:dyDescent="0.2">
      <c r="A829" s="3"/>
      <c r="B829" s="6" t="str">
        <f t="shared" si="12"/>
        <v xml:space="preserve"> </v>
      </c>
      <c r="C829" s="20" t="s">
        <v>174</v>
      </c>
    </row>
    <row r="830" spans="1:3" ht="18" customHeight="1" x14ac:dyDescent="0.2">
      <c r="A830" s="3"/>
      <c r="B830" s="6" t="str">
        <f t="shared" si="12"/>
        <v xml:space="preserve"> </v>
      </c>
      <c r="C830" s="20" t="s">
        <v>174</v>
      </c>
    </row>
    <row r="831" spans="1:3" ht="18" customHeight="1" x14ac:dyDescent="0.2">
      <c r="A831" s="3"/>
      <c r="B831" s="6" t="str">
        <f t="shared" si="12"/>
        <v xml:space="preserve"> </v>
      </c>
      <c r="C831" s="20" t="s">
        <v>174</v>
      </c>
    </row>
    <row r="832" spans="1:3" ht="18" customHeight="1" x14ac:dyDescent="0.2">
      <c r="A832" s="3"/>
      <c r="B832" s="6" t="str">
        <f t="shared" si="12"/>
        <v xml:space="preserve"> </v>
      </c>
      <c r="C832" s="20" t="s">
        <v>174</v>
      </c>
    </row>
    <row r="833" spans="1:3" ht="18" customHeight="1" x14ac:dyDescent="0.2">
      <c r="A833" s="3"/>
      <c r="B833" s="6" t="str">
        <f t="shared" si="12"/>
        <v xml:space="preserve"> </v>
      </c>
      <c r="C833" s="20" t="s">
        <v>174</v>
      </c>
    </row>
    <row r="834" spans="1:3" ht="18" customHeight="1" x14ac:dyDescent="0.2">
      <c r="A834" s="3"/>
      <c r="B834" s="6" t="str">
        <f t="shared" si="12"/>
        <v xml:space="preserve"> </v>
      </c>
      <c r="C834" s="20" t="s">
        <v>174</v>
      </c>
    </row>
    <row r="835" spans="1:3" ht="18" customHeight="1" x14ac:dyDescent="0.2">
      <c r="A835" s="3"/>
      <c r="B835" s="6" t="str">
        <f t="shared" ref="B835:B898" si="13">IF(ISBLANK(A835)=TRUE,B834,B834&amp;","&amp;A835)</f>
        <v xml:space="preserve"> </v>
      </c>
      <c r="C835" s="20" t="s">
        <v>174</v>
      </c>
    </row>
    <row r="836" spans="1:3" ht="18" customHeight="1" x14ac:dyDescent="0.2">
      <c r="A836" s="3"/>
      <c r="B836" s="6" t="str">
        <f t="shared" si="13"/>
        <v xml:space="preserve"> </v>
      </c>
      <c r="C836" s="20" t="s">
        <v>174</v>
      </c>
    </row>
    <row r="837" spans="1:3" ht="18" customHeight="1" x14ac:dyDescent="0.2">
      <c r="A837" s="3"/>
      <c r="B837" s="6" t="str">
        <f t="shared" si="13"/>
        <v xml:space="preserve"> </v>
      </c>
      <c r="C837" s="20" t="s">
        <v>174</v>
      </c>
    </row>
    <row r="838" spans="1:3" ht="18" customHeight="1" x14ac:dyDescent="0.2">
      <c r="A838" s="3"/>
      <c r="B838" s="6" t="str">
        <f t="shared" si="13"/>
        <v xml:space="preserve"> </v>
      </c>
      <c r="C838" s="20" t="s">
        <v>174</v>
      </c>
    </row>
    <row r="839" spans="1:3" ht="18" customHeight="1" x14ac:dyDescent="0.2">
      <c r="A839" s="3"/>
      <c r="B839" s="6" t="str">
        <f t="shared" si="13"/>
        <v xml:space="preserve"> </v>
      </c>
      <c r="C839" s="20" t="s">
        <v>174</v>
      </c>
    </row>
    <row r="840" spans="1:3" ht="18" customHeight="1" x14ac:dyDescent="0.2">
      <c r="A840" s="3"/>
      <c r="B840" s="6" t="str">
        <f t="shared" si="13"/>
        <v xml:space="preserve"> </v>
      </c>
      <c r="C840" s="20" t="s">
        <v>174</v>
      </c>
    </row>
    <row r="841" spans="1:3" ht="18" customHeight="1" x14ac:dyDescent="0.2">
      <c r="A841" s="3"/>
      <c r="B841" s="6" t="str">
        <f t="shared" si="13"/>
        <v xml:space="preserve"> </v>
      </c>
      <c r="C841" s="20" t="s">
        <v>174</v>
      </c>
    </row>
    <row r="842" spans="1:3" ht="18" customHeight="1" x14ac:dyDescent="0.2">
      <c r="A842" s="3"/>
      <c r="B842" s="6" t="str">
        <f t="shared" si="13"/>
        <v xml:space="preserve"> </v>
      </c>
      <c r="C842" s="20" t="s">
        <v>174</v>
      </c>
    </row>
    <row r="843" spans="1:3" ht="18" customHeight="1" x14ac:dyDescent="0.2">
      <c r="A843" s="3"/>
      <c r="B843" s="6" t="str">
        <f t="shared" si="13"/>
        <v xml:space="preserve"> </v>
      </c>
      <c r="C843" s="20" t="s">
        <v>174</v>
      </c>
    </row>
    <row r="844" spans="1:3" ht="18" customHeight="1" x14ac:dyDescent="0.2">
      <c r="A844" s="3"/>
      <c r="B844" s="6" t="str">
        <f t="shared" si="13"/>
        <v xml:space="preserve"> </v>
      </c>
      <c r="C844" s="20" t="s">
        <v>174</v>
      </c>
    </row>
    <row r="845" spans="1:3" ht="18" customHeight="1" x14ac:dyDescent="0.2">
      <c r="A845" s="3"/>
      <c r="B845" s="6" t="str">
        <f t="shared" si="13"/>
        <v xml:space="preserve"> </v>
      </c>
      <c r="C845" s="20" t="s">
        <v>174</v>
      </c>
    </row>
    <row r="846" spans="1:3" ht="18" customHeight="1" x14ac:dyDescent="0.2">
      <c r="A846" s="3"/>
      <c r="B846" s="6" t="str">
        <f t="shared" si="13"/>
        <v xml:space="preserve"> </v>
      </c>
      <c r="C846" s="20" t="s">
        <v>174</v>
      </c>
    </row>
    <row r="847" spans="1:3" ht="18" customHeight="1" x14ac:dyDescent="0.2">
      <c r="A847" s="3"/>
      <c r="B847" s="6" t="str">
        <f t="shared" si="13"/>
        <v xml:space="preserve"> </v>
      </c>
      <c r="C847" s="20" t="s">
        <v>174</v>
      </c>
    </row>
    <row r="848" spans="1:3" ht="18" customHeight="1" x14ac:dyDescent="0.2">
      <c r="A848" s="3"/>
      <c r="B848" s="6" t="str">
        <f t="shared" si="13"/>
        <v xml:space="preserve"> </v>
      </c>
      <c r="C848" s="20" t="s">
        <v>174</v>
      </c>
    </row>
    <row r="849" spans="1:3" ht="18" customHeight="1" x14ac:dyDescent="0.2">
      <c r="A849" s="3"/>
      <c r="B849" s="6" t="str">
        <f t="shared" si="13"/>
        <v xml:space="preserve"> </v>
      </c>
      <c r="C849" s="20" t="s">
        <v>174</v>
      </c>
    </row>
    <row r="850" spans="1:3" ht="18" customHeight="1" x14ac:dyDescent="0.2">
      <c r="A850" s="3"/>
      <c r="B850" s="6" t="str">
        <f t="shared" si="13"/>
        <v xml:space="preserve"> </v>
      </c>
      <c r="C850" s="20" t="s">
        <v>174</v>
      </c>
    </row>
    <row r="851" spans="1:3" ht="18" customHeight="1" x14ac:dyDescent="0.2">
      <c r="A851" s="3"/>
      <c r="B851" s="6" t="str">
        <f t="shared" si="13"/>
        <v xml:space="preserve"> </v>
      </c>
      <c r="C851" s="20" t="s">
        <v>174</v>
      </c>
    </row>
    <row r="852" spans="1:3" ht="18" customHeight="1" x14ac:dyDescent="0.2">
      <c r="A852" s="3"/>
      <c r="B852" s="6" t="str">
        <f t="shared" si="13"/>
        <v xml:space="preserve"> </v>
      </c>
      <c r="C852" s="20" t="s">
        <v>174</v>
      </c>
    </row>
    <row r="853" spans="1:3" ht="18" customHeight="1" x14ac:dyDescent="0.2">
      <c r="A853" s="3"/>
      <c r="B853" s="6" t="str">
        <f t="shared" si="13"/>
        <v xml:space="preserve"> </v>
      </c>
      <c r="C853" s="20" t="s">
        <v>174</v>
      </c>
    </row>
    <row r="854" spans="1:3" ht="18" customHeight="1" x14ac:dyDescent="0.2">
      <c r="A854" s="3"/>
      <c r="B854" s="6" t="str">
        <f t="shared" si="13"/>
        <v xml:space="preserve"> </v>
      </c>
      <c r="C854" s="20" t="s">
        <v>174</v>
      </c>
    </row>
    <row r="855" spans="1:3" ht="18" customHeight="1" x14ac:dyDescent="0.2">
      <c r="A855" s="3"/>
      <c r="B855" s="6" t="str">
        <f t="shared" si="13"/>
        <v xml:space="preserve"> </v>
      </c>
      <c r="C855" s="20" t="s">
        <v>174</v>
      </c>
    </row>
    <row r="856" spans="1:3" ht="18" customHeight="1" x14ac:dyDescent="0.2">
      <c r="A856" s="3"/>
      <c r="B856" s="6" t="str">
        <f t="shared" si="13"/>
        <v xml:space="preserve"> </v>
      </c>
      <c r="C856" s="20" t="s">
        <v>174</v>
      </c>
    </row>
    <row r="857" spans="1:3" ht="18" customHeight="1" x14ac:dyDescent="0.2">
      <c r="A857" s="3"/>
      <c r="B857" s="6" t="str">
        <f t="shared" si="13"/>
        <v xml:space="preserve"> </v>
      </c>
      <c r="C857" s="20" t="s">
        <v>174</v>
      </c>
    </row>
    <row r="858" spans="1:3" ht="18" customHeight="1" x14ac:dyDescent="0.2">
      <c r="A858" s="3"/>
      <c r="B858" s="6" t="str">
        <f t="shared" si="13"/>
        <v xml:space="preserve"> </v>
      </c>
      <c r="C858" s="20" t="s">
        <v>174</v>
      </c>
    </row>
    <row r="859" spans="1:3" ht="18" customHeight="1" x14ac:dyDescent="0.2">
      <c r="A859" s="3"/>
      <c r="B859" s="6" t="str">
        <f t="shared" si="13"/>
        <v xml:space="preserve"> </v>
      </c>
      <c r="C859" s="20" t="s">
        <v>174</v>
      </c>
    </row>
    <row r="860" spans="1:3" ht="18" customHeight="1" x14ac:dyDescent="0.2">
      <c r="A860" s="3"/>
      <c r="B860" s="6" t="str">
        <f t="shared" si="13"/>
        <v xml:space="preserve"> </v>
      </c>
      <c r="C860" s="20" t="s">
        <v>174</v>
      </c>
    </row>
    <row r="861" spans="1:3" ht="18" customHeight="1" x14ac:dyDescent="0.2">
      <c r="A861" s="3"/>
      <c r="B861" s="6" t="str">
        <f t="shared" si="13"/>
        <v xml:space="preserve"> </v>
      </c>
      <c r="C861" s="20" t="s">
        <v>174</v>
      </c>
    </row>
    <row r="862" spans="1:3" ht="18" customHeight="1" x14ac:dyDescent="0.2">
      <c r="A862" s="3"/>
      <c r="B862" s="6" t="str">
        <f t="shared" si="13"/>
        <v xml:space="preserve"> </v>
      </c>
      <c r="C862" s="20" t="s">
        <v>174</v>
      </c>
    </row>
    <row r="863" spans="1:3" ht="18" customHeight="1" x14ac:dyDescent="0.2">
      <c r="A863" s="3"/>
      <c r="B863" s="6" t="str">
        <f t="shared" si="13"/>
        <v xml:space="preserve"> </v>
      </c>
      <c r="C863" s="20" t="s">
        <v>174</v>
      </c>
    </row>
    <row r="864" spans="1:3" ht="18" customHeight="1" x14ac:dyDescent="0.2">
      <c r="A864" s="3"/>
      <c r="B864" s="6" t="str">
        <f t="shared" si="13"/>
        <v xml:space="preserve"> </v>
      </c>
      <c r="C864" s="20" t="s">
        <v>174</v>
      </c>
    </row>
    <row r="865" spans="1:3" ht="18" customHeight="1" x14ac:dyDescent="0.2">
      <c r="A865" s="3"/>
      <c r="B865" s="6" t="str">
        <f t="shared" si="13"/>
        <v xml:space="preserve"> </v>
      </c>
      <c r="C865" s="20" t="s">
        <v>174</v>
      </c>
    </row>
    <row r="866" spans="1:3" ht="18" customHeight="1" x14ac:dyDescent="0.2">
      <c r="A866" s="3"/>
      <c r="B866" s="6" t="str">
        <f t="shared" si="13"/>
        <v xml:space="preserve"> </v>
      </c>
      <c r="C866" s="20" t="s">
        <v>174</v>
      </c>
    </row>
    <row r="867" spans="1:3" ht="18" customHeight="1" x14ac:dyDescent="0.2">
      <c r="A867" s="3"/>
      <c r="B867" s="6" t="str">
        <f t="shared" si="13"/>
        <v xml:space="preserve"> </v>
      </c>
      <c r="C867" s="20" t="s">
        <v>174</v>
      </c>
    </row>
    <row r="868" spans="1:3" ht="18" customHeight="1" x14ac:dyDescent="0.2">
      <c r="A868" s="3"/>
      <c r="B868" s="6" t="str">
        <f t="shared" si="13"/>
        <v xml:space="preserve"> </v>
      </c>
      <c r="C868" s="20" t="s">
        <v>174</v>
      </c>
    </row>
    <row r="869" spans="1:3" ht="18" customHeight="1" x14ac:dyDescent="0.2">
      <c r="A869" s="3"/>
      <c r="B869" s="6" t="str">
        <f t="shared" si="13"/>
        <v xml:space="preserve"> </v>
      </c>
      <c r="C869" s="20" t="s">
        <v>174</v>
      </c>
    </row>
    <row r="870" spans="1:3" ht="18" customHeight="1" x14ac:dyDescent="0.2">
      <c r="A870" s="3"/>
      <c r="B870" s="6" t="str">
        <f t="shared" si="13"/>
        <v xml:space="preserve"> </v>
      </c>
      <c r="C870" s="20" t="s">
        <v>174</v>
      </c>
    </row>
    <row r="871" spans="1:3" ht="18" customHeight="1" x14ac:dyDescent="0.2">
      <c r="A871" s="3"/>
      <c r="B871" s="6" t="str">
        <f t="shared" si="13"/>
        <v xml:space="preserve"> </v>
      </c>
      <c r="C871" s="20" t="s">
        <v>174</v>
      </c>
    </row>
    <row r="872" spans="1:3" ht="18" customHeight="1" x14ac:dyDescent="0.2">
      <c r="A872" s="3"/>
      <c r="B872" s="6" t="str">
        <f t="shared" si="13"/>
        <v xml:space="preserve"> </v>
      </c>
      <c r="C872" s="20" t="s">
        <v>174</v>
      </c>
    </row>
    <row r="873" spans="1:3" ht="18" customHeight="1" x14ac:dyDescent="0.2">
      <c r="A873" s="3"/>
      <c r="B873" s="6" t="str">
        <f t="shared" si="13"/>
        <v xml:space="preserve"> </v>
      </c>
      <c r="C873" s="20" t="s">
        <v>174</v>
      </c>
    </row>
    <row r="874" spans="1:3" ht="18" customHeight="1" x14ac:dyDescent="0.2">
      <c r="A874" s="3"/>
      <c r="B874" s="6" t="str">
        <f t="shared" si="13"/>
        <v xml:space="preserve"> </v>
      </c>
      <c r="C874" s="20" t="s">
        <v>174</v>
      </c>
    </row>
    <row r="875" spans="1:3" ht="18" customHeight="1" x14ac:dyDescent="0.2">
      <c r="A875" s="3"/>
      <c r="B875" s="6" t="str">
        <f t="shared" si="13"/>
        <v xml:space="preserve"> </v>
      </c>
      <c r="C875" s="20" t="s">
        <v>174</v>
      </c>
    </row>
    <row r="876" spans="1:3" ht="18" customHeight="1" x14ac:dyDescent="0.2">
      <c r="A876" s="3"/>
      <c r="B876" s="6" t="str">
        <f t="shared" si="13"/>
        <v xml:space="preserve"> </v>
      </c>
      <c r="C876" s="20" t="s">
        <v>174</v>
      </c>
    </row>
    <row r="877" spans="1:3" ht="18" customHeight="1" x14ac:dyDescent="0.2">
      <c r="A877" s="3"/>
      <c r="B877" s="6" t="str">
        <f t="shared" si="13"/>
        <v xml:space="preserve"> </v>
      </c>
      <c r="C877" s="20" t="s">
        <v>174</v>
      </c>
    </row>
    <row r="878" spans="1:3" ht="18" customHeight="1" x14ac:dyDescent="0.2">
      <c r="A878" s="3"/>
      <c r="B878" s="6" t="str">
        <f t="shared" si="13"/>
        <v xml:space="preserve"> </v>
      </c>
      <c r="C878" s="20" t="s">
        <v>174</v>
      </c>
    </row>
    <row r="879" spans="1:3" ht="18" customHeight="1" x14ac:dyDescent="0.2">
      <c r="A879" s="3"/>
      <c r="B879" s="6" t="str">
        <f t="shared" si="13"/>
        <v xml:space="preserve"> </v>
      </c>
      <c r="C879" s="20" t="s">
        <v>174</v>
      </c>
    </row>
    <row r="880" spans="1:3" ht="18" customHeight="1" x14ac:dyDescent="0.2">
      <c r="A880" s="3"/>
      <c r="B880" s="6" t="str">
        <f t="shared" si="13"/>
        <v xml:space="preserve"> </v>
      </c>
      <c r="C880" s="20" t="s">
        <v>174</v>
      </c>
    </row>
    <row r="881" spans="1:3" ht="18" customHeight="1" x14ac:dyDescent="0.2">
      <c r="A881" s="3"/>
      <c r="B881" s="6" t="str">
        <f t="shared" si="13"/>
        <v xml:space="preserve"> </v>
      </c>
      <c r="C881" s="20" t="s">
        <v>174</v>
      </c>
    </row>
    <row r="882" spans="1:3" ht="18" customHeight="1" x14ac:dyDescent="0.2">
      <c r="A882" s="3"/>
      <c r="B882" s="6" t="str">
        <f t="shared" si="13"/>
        <v xml:space="preserve"> </v>
      </c>
      <c r="C882" s="20" t="s">
        <v>174</v>
      </c>
    </row>
    <row r="883" spans="1:3" ht="18" customHeight="1" x14ac:dyDescent="0.2">
      <c r="A883" s="3"/>
      <c r="B883" s="6" t="str">
        <f t="shared" si="13"/>
        <v xml:space="preserve"> </v>
      </c>
      <c r="C883" s="20" t="s">
        <v>174</v>
      </c>
    </row>
    <row r="884" spans="1:3" ht="18" customHeight="1" x14ac:dyDescent="0.2">
      <c r="A884" s="3"/>
      <c r="B884" s="6" t="str">
        <f t="shared" si="13"/>
        <v xml:space="preserve"> </v>
      </c>
      <c r="C884" s="20" t="s">
        <v>174</v>
      </c>
    </row>
    <row r="885" spans="1:3" ht="18" customHeight="1" x14ac:dyDescent="0.2">
      <c r="A885" s="3"/>
      <c r="B885" s="6" t="str">
        <f t="shared" si="13"/>
        <v xml:space="preserve"> </v>
      </c>
      <c r="C885" s="20" t="s">
        <v>174</v>
      </c>
    </row>
    <row r="886" spans="1:3" ht="18" customHeight="1" x14ac:dyDescent="0.2">
      <c r="A886" s="3"/>
      <c r="B886" s="6" t="str">
        <f t="shared" si="13"/>
        <v xml:space="preserve"> </v>
      </c>
      <c r="C886" s="20" t="s">
        <v>174</v>
      </c>
    </row>
    <row r="887" spans="1:3" ht="18" customHeight="1" x14ac:dyDescent="0.2">
      <c r="A887" s="3"/>
      <c r="B887" s="6" t="str">
        <f t="shared" si="13"/>
        <v xml:space="preserve"> </v>
      </c>
      <c r="C887" s="20" t="s">
        <v>174</v>
      </c>
    </row>
    <row r="888" spans="1:3" ht="18" customHeight="1" x14ac:dyDescent="0.2">
      <c r="A888" s="3"/>
      <c r="B888" s="6" t="str">
        <f t="shared" si="13"/>
        <v xml:space="preserve"> </v>
      </c>
      <c r="C888" s="20" t="s">
        <v>174</v>
      </c>
    </row>
    <row r="889" spans="1:3" ht="18" customHeight="1" x14ac:dyDescent="0.2">
      <c r="A889" s="3"/>
      <c r="B889" s="6" t="str">
        <f t="shared" si="13"/>
        <v xml:space="preserve"> </v>
      </c>
      <c r="C889" s="20" t="s">
        <v>174</v>
      </c>
    </row>
    <row r="890" spans="1:3" ht="18" customHeight="1" x14ac:dyDescent="0.2">
      <c r="A890" s="3"/>
      <c r="B890" s="6" t="str">
        <f t="shared" si="13"/>
        <v xml:space="preserve"> </v>
      </c>
      <c r="C890" s="20" t="s">
        <v>174</v>
      </c>
    </row>
    <row r="891" spans="1:3" ht="18" customHeight="1" x14ac:dyDescent="0.2">
      <c r="A891" s="3"/>
      <c r="B891" s="6" t="str">
        <f t="shared" si="13"/>
        <v xml:space="preserve"> </v>
      </c>
      <c r="C891" s="20" t="s">
        <v>174</v>
      </c>
    </row>
    <row r="892" spans="1:3" ht="18" customHeight="1" x14ac:dyDescent="0.2">
      <c r="A892" s="3"/>
      <c r="B892" s="6" t="str">
        <f t="shared" si="13"/>
        <v xml:space="preserve"> </v>
      </c>
      <c r="C892" s="20" t="s">
        <v>174</v>
      </c>
    </row>
    <row r="893" spans="1:3" ht="18" customHeight="1" x14ac:dyDescent="0.2">
      <c r="A893" s="3"/>
      <c r="B893" s="6" t="str">
        <f t="shared" si="13"/>
        <v xml:space="preserve"> </v>
      </c>
      <c r="C893" s="20" t="s">
        <v>174</v>
      </c>
    </row>
    <row r="894" spans="1:3" ht="18" customHeight="1" x14ac:dyDescent="0.2">
      <c r="A894" s="3"/>
      <c r="B894" s="6" t="str">
        <f t="shared" si="13"/>
        <v xml:space="preserve"> </v>
      </c>
      <c r="C894" s="20" t="s">
        <v>174</v>
      </c>
    </row>
    <row r="895" spans="1:3" ht="18" customHeight="1" x14ac:dyDescent="0.2">
      <c r="A895" s="3"/>
      <c r="B895" s="6" t="str">
        <f t="shared" si="13"/>
        <v xml:space="preserve"> </v>
      </c>
      <c r="C895" s="20" t="s">
        <v>174</v>
      </c>
    </row>
    <row r="896" spans="1:3" ht="18" customHeight="1" x14ac:dyDescent="0.2">
      <c r="A896" s="3"/>
      <c r="B896" s="6" t="str">
        <f t="shared" si="13"/>
        <v xml:space="preserve"> </v>
      </c>
      <c r="C896" s="20" t="s">
        <v>174</v>
      </c>
    </row>
    <row r="897" spans="1:3" ht="18" customHeight="1" x14ac:dyDescent="0.2">
      <c r="A897" s="3"/>
      <c r="B897" s="6" t="str">
        <f t="shared" si="13"/>
        <v xml:space="preserve"> </v>
      </c>
      <c r="C897" s="20" t="s">
        <v>174</v>
      </c>
    </row>
    <row r="898" spans="1:3" ht="18" customHeight="1" x14ac:dyDescent="0.2">
      <c r="A898" s="3"/>
      <c r="B898" s="6" t="str">
        <f t="shared" si="13"/>
        <v xml:space="preserve"> </v>
      </c>
      <c r="C898" s="20" t="s">
        <v>174</v>
      </c>
    </row>
    <row r="899" spans="1:3" ht="18" customHeight="1" x14ac:dyDescent="0.2">
      <c r="A899" s="3"/>
      <c r="B899" s="6" t="str">
        <f t="shared" ref="B899:B962" si="14">IF(ISBLANK(A899)=TRUE,B898,B898&amp;","&amp;A899)</f>
        <v xml:space="preserve"> </v>
      </c>
      <c r="C899" s="20" t="s">
        <v>174</v>
      </c>
    </row>
    <row r="900" spans="1:3" ht="18" customHeight="1" x14ac:dyDescent="0.2">
      <c r="A900" s="3"/>
      <c r="B900" s="6" t="str">
        <f t="shared" si="14"/>
        <v xml:space="preserve"> </v>
      </c>
      <c r="C900" s="20" t="s">
        <v>174</v>
      </c>
    </row>
    <row r="901" spans="1:3" ht="18" customHeight="1" x14ac:dyDescent="0.2">
      <c r="A901" s="3"/>
      <c r="B901" s="6" t="str">
        <f t="shared" si="14"/>
        <v xml:space="preserve"> </v>
      </c>
      <c r="C901" s="20" t="s">
        <v>174</v>
      </c>
    </row>
    <row r="902" spans="1:3" ht="18" customHeight="1" x14ac:dyDescent="0.2">
      <c r="A902" s="3"/>
      <c r="B902" s="6" t="str">
        <f t="shared" si="14"/>
        <v xml:space="preserve"> </v>
      </c>
      <c r="C902" s="20" t="s">
        <v>174</v>
      </c>
    </row>
    <row r="903" spans="1:3" ht="18" customHeight="1" x14ac:dyDescent="0.2">
      <c r="A903" s="3"/>
      <c r="B903" s="6" t="str">
        <f t="shared" si="14"/>
        <v xml:space="preserve"> </v>
      </c>
      <c r="C903" s="20" t="s">
        <v>174</v>
      </c>
    </row>
    <row r="904" spans="1:3" ht="18" customHeight="1" x14ac:dyDescent="0.2">
      <c r="A904" s="3"/>
      <c r="B904" s="6" t="str">
        <f t="shared" si="14"/>
        <v xml:space="preserve"> </v>
      </c>
      <c r="C904" s="20" t="s">
        <v>174</v>
      </c>
    </row>
    <row r="905" spans="1:3" ht="18" customHeight="1" x14ac:dyDescent="0.2">
      <c r="A905" s="3"/>
      <c r="B905" s="6" t="str">
        <f t="shared" si="14"/>
        <v xml:space="preserve"> </v>
      </c>
      <c r="C905" s="20" t="s">
        <v>174</v>
      </c>
    </row>
    <row r="906" spans="1:3" ht="18" customHeight="1" x14ac:dyDescent="0.2">
      <c r="A906" s="3"/>
      <c r="B906" s="6" t="str">
        <f t="shared" si="14"/>
        <v xml:space="preserve"> </v>
      </c>
      <c r="C906" s="20" t="s">
        <v>174</v>
      </c>
    </row>
    <row r="907" spans="1:3" ht="18" customHeight="1" x14ac:dyDescent="0.2">
      <c r="A907" s="3"/>
      <c r="B907" s="6" t="str">
        <f t="shared" si="14"/>
        <v xml:space="preserve"> </v>
      </c>
      <c r="C907" s="20" t="s">
        <v>174</v>
      </c>
    </row>
    <row r="908" spans="1:3" ht="18" customHeight="1" x14ac:dyDescent="0.2">
      <c r="A908" s="3"/>
      <c r="B908" s="6" t="str">
        <f t="shared" si="14"/>
        <v xml:space="preserve"> </v>
      </c>
      <c r="C908" s="20" t="s">
        <v>174</v>
      </c>
    </row>
    <row r="909" spans="1:3" ht="18" customHeight="1" x14ac:dyDescent="0.2">
      <c r="A909" s="3"/>
      <c r="B909" s="6" t="str">
        <f t="shared" si="14"/>
        <v xml:space="preserve"> </v>
      </c>
      <c r="C909" s="20" t="s">
        <v>174</v>
      </c>
    </row>
    <row r="910" spans="1:3" ht="18" customHeight="1" x14ac:dyDescent="0.2">
      <c r="A910" s="3"/>
      <c r="B910" s="6" t="str">
        <f t="shared" si="14"/>
        <v xml:space="preserve"> </v>
      </c>
      <c r="C910" s="20" t="s">
        <v>174</v>
      </c>
    </row>
    <row r="911" spans="1:3" ht="18" customHeight="1" x14ac:dyDescent="0.2">
      <c r="A911" s="3"/>
      <c r="B911" s="6" t="str">
        <f t="shared" si="14"/>
        <v xml:space="preserve"> </v>
      </c>
      <c r="C911" s="20" t="s">
        <v>174</v>
      </c>
    </row>
    <row r="912" spans="1:3" ht="18" customHeight="1" x14ac:dyDescent="0.2">
      <c r="A912" s="3"/>
      <c r="B912" s="6" t="str">
        <f t="shared" si="14"/>
        <v xml:space="preserve"> </v>
      </c>
      <c r="C912" s="20" t="s">
        <v>174</v>
      </c>
    </row>
    <row r="913" spans="1:3" ht="18" customHeight="1" x14ac:dyDescent="0.2">
      <c r="A913" s="3"/>
      <c r="B913" s="6" t="str">
        <f t="shared" si="14"/>
        <v xml:space="preserve"> </v>
      </c>
      <c r="C913" s="20" t="s">
        <v>174</v>
      </c>
    </row>
    <row r="914" spans="1:3" ht="18" customHeight="1" x14ac:dyDescent="0.2">
      <c r="A914" s="3"/>
      <c r="B914" s="6" t="str">
        <f t="shared" si="14"/>
        <v xml:space="preserve"> </v>
      </c>
      <c r="C914" s="20" t="s">
        <v>174</v>
      </c>
    </row>
    <row r="915" spans="1:3" ht="18" customHeight="1" x14ac:dyDescent="0.2">
      <c r="A915" s="3"/>
      <c r="B915" s="6" t="str">
        <f t="shared" si="14"/>
        <v xml:space="preserve"> </v>
      </c>
      <c r="C915" s="20" t="s">
        <v>174</v>
      </c>
    </row>
    <row r="916" spans="1:3" ht="18" customHeight="1" x14ac:dyDescent="0.2">
      <c r="A916" s="3"/>
      <c r="B916" s="6" t="str">
        <f t="shared" si="14"/>
        <v xml:space="preserve"> </v>
      </c>
      <c r="C916" s="20" t="s">
        <v>174</v>
      </c>
    </row>
    <row r="917" spans="1:3" ht="18" customHeight="1" x14ac:dyDescent="0.2">
      <c r="A917" s="3"/>
      <c r="B917" s="6" t="str">
        <f t="shared" si="14"/>
        <v xml:space="preserve"> </v>
      </c>
      <c r="C917" s="20" t="s">
        <v>174</v>
      </c>
    </row>
    <row r="918" spans="1:3" ht="18" customHeight="1" x14ac:dyDescent="0.2">
      <c r="A918" s="3"/>
      <c r="B918" s="6" t="str">
        <f t="shared" si="14"/>
        <v xml:space="preserve"> </v>
      </c>
      <c r="C918" s="20" t="s">
        <v>174</v>
      </c>
    </row>
    <row r="919" spans="1:3" ht="18" customHeight="1" x14ac:dyDescent="0.2">
      <c r="A919" s="3"/>
      <c r="B919" s="6" t="str">
        <f t="shared" si="14"/>
        <v xml:space="preserve"> </v>
      </c>
      <c r="C919" s="20" t="s">
        <v>174</v>
      </c>
    </row>
    <row r="920" spans="1:3" ht="18" customHeight="1" x14ac:dyDescent="0.2">
      <c r="A920" s="3"/>
      <c r="B920" s="6" t="str">
        <f t="shared" si="14"/>
        <v xml:space="preserve"> </v>
      </c>
      <c r="C920" s="20" t="s">
        <v>174</v>
      </c>
    </row>
    <row r="921" spans="1:3" ht="18" customHeight="1" x14ac:dyDescent="0.2">
      <c r="A921" s="3"/>
      <c r="B921" s="6" t="str">
        <f t="shared" si="14"/>
        <v xml:space="preserve"> </v>
      </c>
      <c r="C921" s="20" t="s">
        <v>174</v>
      </c>
    </row>
    <row r="922" spans="1:3" ht="18" customHeight="1" x14ac:dyDescent="0.2">
      <c r="A922" s="3"/>
      <c r="B922" s="6" t="str">
        <f t="shared" si="14"/>
        <v xml:space="preserve"> </v>
      </c>
      <c r="C922" s="20" t="s">
        <v>174</v>
      </c>
    </row>
    <row r="923" spans="1:3" ht="18" customHeight="1" x14ac:dyDescent="0.2">
      <c r="A923" s="3"/>
      <c r="B923" s="6" t="str">
        <f t="shared" si="14"/>
        <v xml:space="preserve"> </v>
      </c>
      <c r="C923" s="20" t="s">
        <v>174</v>
      </c>
    </row>
    <row r="924" spans="1:3" ht="18" customHeight="1" x14ac:dyDescent="0.2">
      <c r="A924" s="3"/>
      <c r="B924" s="6" t="str">
        <f t="shared" si="14"/>
        <v xml:space="preserve"> </v>
      </c>
      <c r="C924" s="20" t="s">
        <v>174</v>
      </c>
    </row>
    <row r="925" spans="1:3" ht="18" customHeight="1" x14ac:dyDescent="0.2">
      <c r="A925" s="3"/>
      <c r="B925" s="6" t="str">
        <f t="shared" si="14"/>
        <v xml:space="preserve"> </v>
      </c>
      <c r="C925" s="20" t="s">
        <v>174</v>
      </c>
    </row>
    <row r="926" spans="1:3" ht="18" customHeight="1" x14ac:dyDescent="0.2">
      <c r="A926" s="3"/>
      <c r="B926" s="6" t="str">
        <f t="shared" si="14"/>
        <v xml:space="preserve"> </v>
      </c>
      <c r="C926" s="20" t="s">
        <v>174</v>
      </c>
    </row>
    <row r="927" spans="1:3" ht="18" customHeight="1" x14ac:dyDescent="0.2">
      <c r="A927" s="3"/>
      <c r="B927" s="6" t="str">
        <f t="shared" si="14"/>
        <v xml:space="preserve"> </v>
      </c>
      <c r="C927" s="20" t="s">
        <v>174</v>
      </c>
    </row>
    <row r="928" spans="1:3" ht="18" customHeight="1" x14ac:dyDescent="0.2">
      <c r="A928" s="3"/>
      <c r="B928" s="6" t="str">
        <f t="shared" si="14"/>
        <v xml:space="preserve"> </v>
      </c>
      <c r="C928" s="20" t="s">
        <v>174</v>
      </c>
    </row>
    <row r="929" spans="1:3" ht="18" customHeight="1" x14ac:dyDescent="0.2">
      <c r="A929" s="3"/>
      <c r="B929" s="6" t="str">
        <f t="shared" si="14"/>
        <v xml:space="preserve"> </v>
      </c>
      <c r="C929" s="20" t="s">
        <v>174</v>
      </c>
    </row>
    <row r="930" spans="1:3" ht="18" customHeight="1" x14ac:dyDescent="0.2">
      <c r="A930" s="3"/>
      <c r="B930" s="6" t="str">
        <f t="shared" si="14"/>
        <v xml:space="preserve"> </v>
      </c>
      <c r="C930" s="20" t="s">
        <v>174</v>
      </c>
    </row>
    <row r="931" spans="1:3" ht="18" customHeight="1" x14ac:dyDescent="0.2">
      <c r="A931" s="3"/>
      <c r="B931" s="6" t="str">
        <f t="shared" si="14"/>
        <v xml:space="preserve"> </v>
      </c>
      <c r="C931" s="20" t="s">
        <v>174</v>
      </c>
    </row>
    <row r="932" spans="1:3" ht="18" customHeight="1" x14ac:dyDescent="0.2">
      <c r="A932" s="3"/>
      <c r="B932" s="6" t="str">
        <f t="shared" si="14"/>
        <v xml:space="preserve"> </v>
      </c>
      <c r="C932" s="20" t="s">
        <v>174</v>
      </c>
    </row>
    <row r="933" spans="1:3" ht="18" customHeight="1" x14ac:dyDescent="0.2">
      <c r="A933" s="3"/>
      <c r="B933" s="6" t="str">
        <f t="shared" si="14"/>
        <v xml:space="preserve"> </v>
      </c>
      <c r="C933" s="20" t="s">
        <v>174</v>
      </c>
    </row>
    <row r="934" spans="1:3" ht="18" customHeight="1" x14ac:dyDescent="0.2">
      <c r="A934" s="3"/>
      <c r="B934" s="6" t="str">
        <f t="shared" si="14"/>
        <v xml:space="preserve"> </v>
      </c>
      <c r="C934" s="20" t="s">
        <v>174</v>
      </c>
    </row>
    <row r="935" spans="1:3" ht="18" customHeight="1" x14ac:dyDescent="0.2">
      <c r="A935" s="3"/>
      <c r="B935" s="6" t="str">
        <f t="shared" si="14"/>
        <v xml:space="preserve"> </v>
      </c>
      <c r="C935" s="20" t="s">
        <v>174</v>
      </c>
    </row>
    <row r="936" spans="1:3" ht="18" customHeight="1" x14ac:dyDescent="0.2">
      <c r="A936" s="3"/>
      <c r="B936" s="6" t="str">
        <f t="shared" si="14"/>
        <v xml:space="preserve"> </v>
      </c>
      <c r="C936" s="20" t="s">
        <v>174</v>
      </c>
    </row>
    <row r="937" spans="1:3" ht="18" customHeight="1" x14ac:dyDescent="0.2">
      <c r="A937" s="3"/>
      <c r="B937" s="6" t="str">
        <f t="shared" si="14"/>
        <v xml:space="preserve"> </v>
      </c>
      <c r="C937" s="20" t="s">
        <v>174</v>
      </c>
    </row>
    <row r="938" spans="1:3" ht="18" customHeight="1" x14ac:dyDescent="0.2">
      <c r="A938" s="3"/>
      <c r="B938" s="6" t="str">
        <f t="shared" si="14"/>
        <v xml:space="preserve"> </v>
      </c>
      <c r="C938" s="20" t="s">
        <v>174</v>
      </c>
    </row>
    <row r="939" spans="1:3" ht="18" customHeight="1" x14ac:dyDescent="0.2">
      <c r="A939" s="3"/>
      <c r="B939" s="6" t="str">
        <f t="shared" si="14"/>
        <v xml:space="preserve"> </v>
      </c>
      <c r="C939" s="20" t="s">
        <v>174</v>
      </c>
    </row>
    <row r="940" spans="1:3" ht="18" customHeight="1" x14ac:dyDescent="0.2">
      <c r="A940" s="3"/>
      <c r="B940" s="6" t="str">
        <f t="shared" si="14"/>
        <v xml:space="preserve"> </v>
      </c>
      <c r="C940" s="20" t="s">
        <v>174</v>
      </c>
    </row>
    <row r="941" spans="1:3" ht="18" customHeight="1" x14ac:dyDescent="0.2">
      <c r="A941" s="3"/>
      <c r="B941" s="6" t="str">
        <f t="shared" si="14"/>
        <v xml:space="preserve"> </v>
      </c>
      <c r="C941" s="20" t="s">
        <v>174</v>
      </c>
    </row>
    <row r="942" spans="1:3" ht="18" customHeight="1" x14ac:dyDescent="0.2">
      <c r="A942" s="3"/>
      <c r="B942" s="6" t="str">
        <f t="shared" si="14"/>
        <v xml:space="preserve"> </v>
      </c>
      <c r="C942" s="20" t="s">
        <v>174</v>
      </c>
    </row>
    <row r="943" spans="1:3" ht="18" customHeight="1" x14ac:dyDescent="0.2">
      <c r="A943" s="3"/>
      <c r="B943" s="6" t="str">
        <f t="shared" si="14"/>
        <v xml:space="preserve"> </v>
      </c>
      <c r="C943" s="20" t="s">
        <v>174</v>
      </c>
    </row>
    <row r="944" spans="1:3" ht="18" customHeight="1" x14ac:dyDescent="0.2">
      <c r="A944" s="3"/>
      <c r="B944" s="6" t="str">
        <f t="shared" si="14"/>
        <v xml:space="preserve"> </v>
      </c>
      <c r="C944" s="20" t="s">
        <v>174</v>
      </c>
    </row>
    <row r="945" spans="1:3" ht="18" customHeight="1" x14ac:dyDescent="0.2">
      <c r="A945" s="3"/>
      <c r="B945" s="6" t="str">
        <f t="shared" si="14"/>
        <v xml:space="preserve"> </v>
      </c>
      <c r="C945" s="20" t="s">
        <v>174</v>
      </c>
    </row>
    <row r="946" spans="1:3" ht="18" customHeight="1" x14ac:dyDescent="0.2">
      <c r="A946" s="3"/>
      <c r="B946" s="6" t="str">
        <f t="shared" si="14"/>
        <v xml:space="preserve"> </v>
      </c>
      <c r="C946" s="20" t="s">
        <v>174</v>
      </c>
    </row>
    <row r="947" spans="1:3" ht="18" customHeight="1" x14ac:dyDescent="0.2">
      <c r="A947" s="3"/>
      <c r="B947" s="6" t="str">
        <f t="shared" si="14"/>
        <v xml:space="preserve"> </v>
      </c>
      <c r="C947" s="20" t="s">
        <v>174</v>
      </c>
    </row>
    <row r="948" spans="1:3" ht="18" customHeight="1" x14ac:dyDescent="0.2">
      <c r="A948" s="3"/>
      <c r="B948" s="6" t="str">
        <f t="shared" si="14"/>
        <v xml:space="preserve"> </v>
      </c>
      <c r="C948" s="20" t="s">
        <v>174</v>
      </c>
    </row>
    <row r="949" spans="1:3" ht="18" customHeight="1" x14ac:dyDescent="0.2">
      <c r="A949" s="3"/>
      <c r="B949" s="6" t="str">
        <f t="shared" si="14"/>
        <v xml:space="preserve"> </v>
      </c>
      <c r="C949" s="20" t="s">
        <v>174</v>
      </c>
    </row>
    <row r="950" spans="1:3" ht="18" customHeight="1" x14ac:dyDescent="0.2">
      <c r="A950" s="3"/>
      <c r="B950" s="6" t="str">
        <f t="shared" si="14"/>
        <v xml:space="preserve"> </v>
      </c>
      <c r="C950" s="20" t="s">
        <v>174</v>
      </c>
    </row>
    <row r="951" spans="1:3" ht="18" customHeight="1" x14ac:dyDescent="0.2">
      <c r="A951" s="3"/>
      <c r="B951" s="6" t="str">
        <f t="shared" si="14"/>
        <v xml:space="preserve"> </v>
      </c>
      <c r="C951" s="20" t="s">
        <v>174</v>
      </c>
    </row>
    <row r="952" spans="1:3" ht="18" customHeight="1" x14ac:dyDescent="0.2">
      <c r="A952" s="3"/>
      <c r="B952" s="6" t="str">
        <f t="shared" si="14"/>
        <v xml:space="preserve"> </v>
      </c>
      <c r="C952" s="20" t="s">
        <v>174</v>
      </c>
    </row>
    <row r="953" spans="1:3" ht="18" customHeight="1" x14ac:dyDescent="0.2">
      <c r="A953" s="3"/>
      <c r="B953" s="6" t="str">
        <f t="shared" si="14"/>
        <v xml:space="preserve"> </v>
      </c>
      <c r="C953" s="20" t="s">
        <v>174</v>
      </c>
    </row>
    <row r="954" spans="1:3" ht="18" customHeight="1" x14ac:dyDescent="0.2">
      <c r="A954" s="3"/>
      <c r="B954" s="6" t="str">
        <f t="shared" si="14"/>
        <v xml:space="preserve"> </v>
      </c>
      <c r="C954" s="20" t="s">
        <v>174</v>
      </c>
    </row>
    <row r="955" spans="1:3" ht="18" customHeight="1" x14ac:dyDescent="0.2">
      <c r="A955" s="3"/>
      <c r="B955" s="6" t="str">
        <f t="shared" si="14"/>
        <v xml:space="preserve"> </v>
      </c>
      <c r="C955" s="20" t="s">
        <v>174</v>
      </c>
    </row>
    <row r="956" spans="1:3" ht="18" customHeight="1" x14ac:dyDescent="0.2">
      <c r="A956" s="3"/>
      <c r="B956" s="6" t="str">
        <f t="shared" si="14"/>
        <v xml:space="preserve"> </v>
      </c>
      <c r="C956" s="20" t="s">
        <v>174</v>
      </c>
    </row>
    <row r="957" spans="1:3" ht="18" customHeight="1" x14ac:dyDescent="0.2">
      <c r="A957" s="3"/>
      <c r="B957" s="6" t="str">
        <f t="shared" si="14"/>
        <v xml:space="preserve"> </v>
      </c>
      <c r="C957" s="20" t="s">
        <v>174</v>
      </c>
    </row>
    <row r="958" spans="1:3" ht="18" customHeight="1" x14ac:dyDescent="0.2">
      <c r="A958" s="3"/>
      <c r="B958" s="6" t="str">
        <f t="shared" si="14"/>
        <v xml:space="preserve"> </v>
      </c>
      <c r="C958" s="20" t="s">
        <v>174</v>
      </c>
    </row>
    <row r="959" spans="1:3" ht="18" customHeight="1" x14ac:dyDescent="0.2">
      <c r="A959" s="3"/>
      <c r="B959" s="6" t="str">
        <f t="shared" si="14"/>
        <v xml:space="preserve"> </v>
      </c>
      <c r="C959" s="20" t="s">
        <v>174</v>
      </c>
    </row>
    <row r="960" spans="1:3" ht="18" customHeight="1" x14ac:dyDescent="0.2">
      <c r="A960" s="3"/>
      <c r="B960" s="6" t="str">
        <f t="shared" si="14"/>
        <v xml:space="preserve"> </v>
      </c>
      <c r="C960" s="20" t="s">
        <v>174</v>
      </c>
    </row>
    <row r="961" spans="1:3" ht="18" customHeight="1" x14ac:dyDescent="0.2">
      <c r="A961" s="3"/>
      <c r="B961" s="6" t="str">
        <f t="shared" si="14"/>
        <v xml:space="preserve"> </v>
      </c>
      <c r="C961" s="20" t="s">
        <v>174</v>
      </c>
    </row>
    <row r="962" spans="1:3" ht="18" customHeight="1" x14ac:dyDescent="0.2">
      <c r="A962" s="3"/>
      <c r="B962" s="6" t="str">
        <f t="shared" si="14"/>
        <v xml:space="preserve"> </v>
      </c>
      <c r="C962" s="20" t="s">
        <v>174</v>
      </c>
    </row>
    <row r="963" spans="1:3" ht="18" customHeight="1" x14ac:dyDescent="0.2">
      <c r="A963" s="3"/>
      <c r="B963" s="6" t="str">
        <f t="shared" ref="B963:B1000" si="15">IF(ISBLANK(A963)=TRUE,B962,B962&amp;","&amp;A963)</f>
        <v xml:space="preserve"> </v>
      </c>
      <c r="C963" s="20" t="s">
        <v>174</v>
      </c>
    </row>
    <row r="964" spans="1:3" ht="18" customHeight="1" x14ac:dyDescent="0.2">
      <c r="A964" s="3"/>
      <c r="B964" s="6" t="str">
        <f t="shared" si="15"/>
        <v xml:space="preserve"> </v>
      </c>
      <c r="C964" s="20" t="s">
        <v>174</v>
      </c>
    </row>
    <row r="965" spans="1:3" ht="18" customHeight="1" x14ac:dyDescent="0.2">
      <c r="A965" s="3"/>
      <c r="B965" s="6" t="str">
        <f t="shared" si="15"/>
        <v xml:space="preserve"> </v>
      </c>
      <c r="C965" s="20" t="s">
        <v>174</v>
      </c>
    </row>
    <row r="966" spans="1:3" ht="18" customHeight="1" x14ac:dyDescent="0.2">
      <c r="A966" s="3"/>
      <c r="B966" s="6" t="str">
        <f t="shared" si="15"/>
        <v xml:space="preserve"> </v>
      </c>
      <c r="C966" s="20" t="s">
        <v>174</v>
      </c>
    </row>
    <row r="967" spans="1:3" ht="18" customHeight="1" x14ac:dyDescent="0.2">
      <c r="A967" s="3"/>
      <c r="B967" s="6" t="str">
        <f t="shared" si="15"/>
        <v xml:space="preserve"> </v>
      </c>
      <c r="C967" s="20" t="s">
        <v>174</v>
      </c>
    </row>
    <row r="968" spans="1:3" ht="18" customHeight="1" x14ac:dyDescent="0.2">
      <c r="A968" s="3"/>
      <c r="B968" s="6" t="str">
        <f t="shared" si="15"/>
        <v xml:space="preserve"> </v>
      </c>
      <c r="C968" s="20" t="s">
        <v>174</v>
      </c>
    </row>
    <row r="969" spans="1:3" ht="18" customHeight="1" x14ac:dyDescent="0.2">
      <c r="A969" s="3"/>
      <c r="B969" s="6" t="str">
        <f t="shared" si="15"/>
        <v xml:space="preserve"> </v>
      </c>
      <c r="C969" s="20" t="s">
        <v>174</v>
      </c>
    </row>
    <row r="970" spans="1:3" ht="18" customHeight="1" x14ac:dyDescent="0.2">
      <c r="A970" s="3"/>
      <c r="B970" s="6" t="str">
        <f t="shared" si="15"/>
        <v xml:space="preserve"> </v>
      </c>
      <c r="C970" s="20" t="s">
        <v>174</v>
      </c>
    </row>
    <row r="971" spans="1:3" ht="18" customHeight="1" x14ac:dyDescent="0.2">
      <c r="A971" s="3"/>
      <c r="B971" s="6" t="str">
        <f t="shared" si="15"/>
        <v xml:space="preserve"> </v>
      </c>
      <c r="C971" s="20" t="s">
        <v>174</v>
      </c>
    </row>
    <row r="972" spans="1:3" ht="18" customHeight="1" x14ac:dyDescent="0.2">
      <c r="A972" s="3"/>
      <c r="B972" s="6" t="str">
        <f t="shared" si="15"/>
        <v xml:space="preserve"> </v>
      </c>
      <c r="C972" s="20" t="s">
        <v>174</v>
      </c>
    </row>
    <row r="973" spans="1:3" ht="18" customHeight="1" x14ac:dyDescent="0.2">
      <c r="A973" s="3"/>
      <c r="B973" s="6" t="str">
        <f t="shared" si="15"/>
        <v xml:space="preserve"> </v>
      </c>
      <c r="C973" s="20" t="s">
        <v>174</v>
      </c>
    </row>
    <row r="974" spans="1:3" ht="18" customHeight="1" x14ac:dyDescent="0.2">
      <c r="A974" s="3"/>
      <c r="B974" s="6" t="str">
        <f t="shared" si="15"/>
        <v xml:space="preserve"> </v>
      </c>
      <c r="C974" s="20" t="s">
        <v>174</v>
      </c>
    </row>
    <row r="975" spans="1:3" ht="18" customHeight="1" x14ac:dyDescent="0.2">
      <c r="A975" s="3"/>
      <c r="B975" s="6" t="str">
        <f t="shared" si="15"/>
        <v xml:space="preserve"> </v>
      </c>
      <c r="C975" s="20" t="s">
        <v>174</v>
      </c>
    </row>
    <row r="976" spans="1:3" ht="18" customHeight="1" x14ac:dyDescent="0.2">
      <c r="A976" s="3"/>
      <c r="B976" s="6" t="str">
        <f t="shared" si="15"/>
        <v xml:space="preserve"> </v>
      </c>
      <c r="C976" s="20" t="s">
        <v>174</v>
      </c>
    </row>
    <row r="977" spans="1:3" ht="18" customHeight="1" x14ac:dyDescent="0.2">
      <c r="A977" s="3"/>
      <c r="B977" s="6" t="str">
        <f t="shared" si="15"/>
        <v xml:space="preserve"> </v>
      </c>
      <c r="C977" s="20" t="s">
        <v>174</v>
      </c>
    </row>
    <row r="978" spans="1:3" ht="18" customHeight="1" x14ac:dyDescent="0.2">
      <c r="A978" s="3"/>
      <c r="B978" s="6" t="str">
        <f t="shared" si="15"/>
        <v xml:space="preserve"> </v>
      </c>
      <c r="C978" s="20" t="s">
        <v>174</v>
      </c>
    </row>
    <row r="979" spans="1:3" ht="18" customHeight="1" x14ac:dyDescent="0.2">
      <c r="A979" s="3"/>
      <c r="B979" s="6" t="str">
        <f t="shared" si="15"/>
        <v xml:space="preserve"> </v>
      </c>
      <c r="C979" s="20" t="s">
        <v>174</v>
      </c>
    </row>
    <row r="980" spans="1:3" ht="18" customHeight="1" x14ac:dyDescent="0.2">
      <c r="A980" s="3"/>
      <c r="B980" s="6" t="str">
        <f t="shared" si="15"/>
        <v xml:space="preserve"> </v>
      </c>
      <c r="C980" s="20" t="s">
        <v>174</v>
      </c>
    </row>
    <row r="981" spans="1:3" ht="18" customHeight="1" x14ac:dyDescent="0.2">
      <c r="A981" s="3"/>
      <c r="B981" s="6" t="str">
        <f t="shared" si="15"/>
        <v xml:space="preserve"> </v>
      </c>
      <c r="C981" s="20" t="s">
        <v>174</v>
      </c>
    </row>
    <row r="982" spans="1:3" ht="18" customHeight="1" x14ac:dyDescent="0.2">
      <c r="A982" s="3"/>
      <c r="B982" s="6" t="str">
        <f t="shared" si="15"/>
        <v xml:space="preserve"> </v>
      </c>
      <c r="C982" s="20" t="s">
        <v>174</v>
      </c>
    </row>
    <row r="983" spans="1:3" ht="18" customHeight="1" x14ac:dyDescent="0.2">
      <c r="A983" s="3"/>
      <c r="B983" s="6" t="str">
        <f t="shared" si="15"/>
        <v xml:space="preserve"> </v>
      </c>
      <c r="C983" s="20" t="s">
        <v>174</v>
      </c>
    </row>
    <row r="984" spans="1:3" ht="18" customHeight="1" x14ac:dyDescent="0.2">
      <c r="A984" s="3"/>
      <c r="B984" s="6" t="str">
        <f t="shared" si="15"/>
        <v xml:space="preserve"> </v>
      </c>
      <c r="C984" s="20" t="s">
        <v>174</v>
      </c>
    </row>
    <row r="985" spans="1:3" ht="18" customHeight="1" x14ac:dyDescent="0.2">
      <c r="A985" s="3"/>
      <c r="B985" s="6" t="str">
        <f t="shared" si="15"/>
        <v xml:space="preserve"> </v>
      </c>
      <c r="C985" s="20" t="s">
        <v>174</v>
      </c>
    </row>
    <row r="986" spans="1:3" ht="18" customHeight="1" x14ac:dyDescent="0.2">
      <c r="A986" s="3"/>
      <c r="B986" s="6" t="str">
        <f t="shared" si="15"/>
        <v xml:space="preserve"> </v>
      </c>
      <c r="C986" s="20" t="s">
        <v>174</v>
      </c>
    </row>
    <row r="987" spans="1:3" ht="18" customHeight="1" x14ac:dyDescent="0.2">
      <c r="A987" s="3"/>
      <c r="B987" s="6" t="str">
        <f t="shared" si="15"/>
        <v xml:space="preserve"> </v>
      </c>
      <c r="C987" s="20" t="s">
        <v>174</v>
      </c>
    </row>
    <row r="988" spans="1:3" ht="18" customHeight="1" x14ac:dyDescent="0.2">
      <c r="A988" s="3"/>
      <c r="B988" s="6" t="str">
        <f t="shared" si="15"/>
        <v xml:space="preserve"> </v>
      </c>
      <c r="C988" s="20" t="s">
        <v>174</v>
      </c>
    </row>
    <row r="989" spans="1:3" ht="18" customHeight="1" x14ac:dyDescent="0.2">
      <c r="A989" s="3"/>
      <c r="B989" s="6" t="str">
        <f t="shared" si="15"/>
        <v xml:space="preserve"> </v>
      </c>
      <c r="C989" s="20" t="s">
        <v>174</v>
      </c>
    </row>
    <row r="990" spans="1:3" ht="18" customHeight="1" x14ac:dyDescent="0.2">
      <c r="A990" s="3"/>
      <c r="B990" s="6" t="str">
        <f t="shared" si="15"/>
        <v xml:space="preserve"> </v>
      </c>
      <c r="C990" s="20" t="s">
        <v>174</v>
      </c>
    </row>
    <row r="991" spans="1:3" ht="18" customHeight="1" x14ac:dyDescent="0.2">
      <c r="A991" s="3"/>
      <c r="B991" s="6" t="str">
        <f t="shared" si="15"/>
        <v xml:space="preserve"> </v>
      </c>
      <c r="C991" s="20" t="s">
        <v>174</v>
      </c>
    </row>
    <row r="992" spans="1:3" ht="18" customHeight="1" x14ac:dyDescent="0.2">
      <c r="A992" s="3"/>
      <c r="B992" s="6" t="str">
        <f t="shared" si="15"/>
        <v xml:space="preserve"> </v>
      </c>
      <c r="C992" s="20" t="s">
        <v>174</v>
      </c>
    </row>
    <row r="993" spans="1:3" ht="18" customHeight="1" x14ac:dyDescent="0.2">
      <c r="A993" s="3"/>
      <c r="B993" s="6" t="str">
        <f t="shared" si="15"/>
        <v xml:space="preserve"> </v>
      </c>
      <c r="C993" s="20" t="s">
        <v>174</v>
      </c>
    </row>
    <row r="994" spans="1:3" ht="18" customHeight="1" x14ac:dyDescent="0.2">
      <c r="A994" s="3"/>
      <c r="B994" s="6" t="str">
        <f t="shared" si="15"/>
        <v xml:space="preserve"> </v>
      </c>
      <c r="C994" s="20" t="s">
        <v>174</v>
      </c>
    </row>
    <row r="995" spans="1:3" ht="18" customHeight="1" x14ac:dyDescent="0.2">
      <c r="A995" s="3"/>
      <c r="B995" s="6" t="str">
        <f t="shared" si="15"/>
        <v xml:space="preserve"> </v>
      </c>
      <c r="C995" s="20" t="s">
        <v>174</v>
      </c>
    </row>
    <row r="996" spans="1:3" ht="18" customHeight="1" x14ac:dyDescent="0.2">
      <c r="A996" s="3"/>
      <c r="B996" s="6" t="str">
        <f t="shared" si="15"/>
        <v xml:space="preserve"> </v>
      </c>
      <c r="C996" s="20" t="s">
        <v>174</v>
      </c>
    </row>
    <row r="997" spans="1:3" ht="18" customHeight="1" x14ac:dyDescent="0.2">
      <c r="A997" s="3"/>
      <c r="B997" s="6" t="str">
        <f t="shared" si="15"/>
        <v xml:space="preserve"> </v>
      </c>
      <c r="C997" s="20" t="s">
        <v>174</v>
      </c>
    </row>
    <row r="998" spans="1:3" ht="18" customHeight="1" x14ac:dyDescent="0.2">
      <c r="A998" s="3"/>
      <c r="B998" s="6" t="str">
        <f t="shared" si="15"/>
        <v xml:space="preserve"> </v>
      </c>
      <c r="C998" s="20" t="s">
        <v>174</v>
      </c>
    </row>
    <row r="999" spans="1:3" ht="18" customHeight="1" x14ac:dyDescent="0.2">
      <c r="A999" s="3"/>
      <c r="B999" s="6" t="str">
        <f t="shared" si="15"/>
        <v xml:space="preserve"> </v>
      </c>
      <c r="C999" s="20" t="s">
        <v>174</v>
      </c>
    </row>
    <row r="1000" spans="1:3" ht="18" customHeight="1" x14ac:dyDescent="0.2">
      <c r="A1000" s="3"/>
      <c r="B1000" s="6" t="str">
        <f t="shared" si="15"/>
        <v xml:space="preserve"> </v>
      </c>
      <c r="C1000" s="20" t="s">
        <v>174</v>
      </c>
    </row>
    <row r="1001" spans="1:3" ht="18" customHeight="1" x14ac:dyDescent="0.2">
      <c r="B1001" s="6"/>
      <c r="C1001" s="20" t="s">
        <v>174</v>
      </c>
    </row>
    <row r="1002" spans="1:3" ht="18" customHeight="1" x14ac:dyDescent="0.2">
      <c r="B1002" s="6"/>
      <c r="C1002" s="20" t="s">
        <v>174</v>
      </c>
    </row>
    <row r="1003" spans="1:3" ht="18" customHeight="1" x14ac:dyDescent="0.2">
      <c r="B1003" s="6"/>
      <c r="C1003" s="20" t="s">
        <v>174</v>
      </c>
    </row>
    <row r="1004" spans="1:3" ht="18" customHeight="1" x14ac:dyDescent="0.2">
      <c r="B1004" s="6"/>
      <c r="C1004" s="20" t="s">
        <v>174</v>
      </c>
    </row>
    <row r="1005" spans="1:3" ht="18" customHeight="1" x14ac:dyDescent="0.2">
      <c r="B1005" s="6"/>
    </row>
    <row r="1006" spans="1:3" ht="18" customHeight="1" x14ac:dyDescent="0.2">
      <c r="B1006" s="6"/>
    </row>
    <row r="1007" spans="1:3" ht="18" customHeight="1" x14ac:dyDescent="0.2">
      <c r="B1007" s="6"/>
    </row>
    <row r="1008" spans="1:3" ht="18" customHeight="1" x14ac:dyDescent="0.2">
      <c r="B1008" s="6"/>
    </row>
    <row r="1009" spans="2:2" ht="18" customHeight="1" x14ac:dyDescent="0.2">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242</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0" t="s">
        <v>174</v>
      </c>
      <c r="C2" s="41"/>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0" t="s">
        <v>174</v>
      </c>
      <c r="C3" s="39"/>
      <c r="D3" s="37"/>
      <c r="E3" s="37"/>
      <c r="F3" s="37"/>
      <c r="G3" s="37"/>
      <c r="H3" s="37"/>
      <c r="I3" s="37"/>
      <c r="J3" s="37"/>
      <c r="K3" s="37"/>
      <c r="L3" s="37"/>
      <c r="M3" s="37"/>
      <c r="N3" s="37"/>
      <c r="O3" s="37"/>
      <c r="P3" s="37"/>
      <c r="Q3" s="37"/>
      <c r="R3" s="37"/>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0" t="s">
        <v>174</v>
      </c>
      <c r="C4" s="39"/>
      <c r="D4" s="37"/>
      <c r="E4" s="37"/>
      <c r="F4" s="43"/>
      <c r="G4" s="43"/>
      <c r="H4" s="43"/>
      <c r="I4" s="43"/>
      <c r="J4" s="39"/>
      <c r="K4" s="43"/>
      <c r="L4" s="39"/>
      <c r="M4" s="39"/>
      <c r="N4" s="39"/>
      <c r="O4" s="44"/>
      <c r="P4" s="39"/>
      <c r="Q4" s="39"/>
      <c r="R4" s="39"/>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0" t="s">
        <v>174</v>
      </c>
      <c r="C5" s="39"/>
      <c r="D5" s="39"/>
      <c r="E5" s="39"/>
      <c r="F5" s="39"/>
      <c r="G5" s="39"/>
      <c r="H5" s="39"/>
      <c r="I5" s="39"/>
      <c r="J5" s="39"/>
      <c r="K5" s="39"/>
      <c r="L5" s="39"/>
      <c r="M5" s="39"/>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18" customHeight="1" x14ac:dyDescent="0.2">
      <c r="A6" s="3" t="str">
        <f t="shared" si="0"/>
        <v xml:space="preserve">                                                  </v>
      </c>
      <c r="B6" s="20" t="s">
        <v>174</v>
      </c>
      <c r="C6" s="39"/>
      <c r="D6" s="39"/>
      <c r="E6" s="39"/>
      <c r="F6" s="39"/>
      <c r="G6" s="39"/>
      <c r="H6" s="39"/>
      <c r="I6" s="39"/>
      <c r="J6" s="39"/>
      <c r="K6" s="39"/>
      <c r="L6" s="39"/>
      <c r="M6" s="39"/>
      <c r="N6" s="39"/>
      <c r="O6" s="39"/>
      <c r="P6" s="39"/>
      <c r="Q6" s="39"/>
      <c r="R6" s="39"/>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0" t="s">
        <v>174</v>
      </c>
      <c r="C7" s="39"/>
      <c r="D7" s="39"/>
      <c r="E7" s="39"/>
      <c r="F7" s="39"/>
      <c r="G7" s="39"/>
      <c r="H7" s="39"/>
      <c r="I7" s="39"/>
      <c r="J7" s="39"/>
      <c r="K7" s="39"/>
      <c r="L7" s="39"/>
      <c r="M7" s="39"/>
      <c r="N7" s="39"/>
      <c r="O7" s="39"/>
      <c r="P7" s="39"/>
      <c r="Q7" s="39"/>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0" t="s">
        <v>174</v>
      </c>
      <c r="C8" s="39"/>
      <c r="D8" s="39"/>
      <c r="E8" s="39"/>
      <c r="F8" s="39"/>
      <c r="G8" s="39"/>
      <c r="H8" s="39"/>
      <c r="I8" s="39"/>
      <c r="J8" s="39"/>
      <c r="K8" s="39"/>
      <c r="L8" s="39"/>
      <c r="M8" s="39"/>
      <c r="N8" s="39"/>
      <c r="O8" s="39"/>
      <c r="P8" s="39"/>
      <c r="Q8" s="39"/>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0" t="s">
        <v>174</v>
      </c>
      <c r="C9" s="39"/>
      <c r="D9" s="39"/>
      <c r="E9" s="39"/>
      <c r="F9" s="41"/>
      <c r="G9" s="41"/>
      <c r="H9" s="41"/>
      <c r="I9" s="41"/>
      <c r="J9" s="41"/>
      <c r="K9" s="41"/>
      <c r="L9" s="41"/>
      <c r="M9" s="41"/>
      <c r="N9" s="41"/>
      <c r="O9" s="41"/>
      <c r="P9" s="41"/>
      <c r="Q9" s="41"/>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0" t="s">
        <v>174</v>
      </c>
      <c r="C10" s="39"/>
      <c r="D10" s="39"/>
      <c r="E10" s="39"/>
      <c r="F10" s="39"/>
      <c r="G10" s="39"/>
      <c r="H10" s="39"/>
      <c r="I10" s="39"/>
      <c r="J10" s="39"/>
      <c r="K10" s="39"/>
      <c r="L10" s="39"/>
      <c r="M10" s="39"/>
      <c r="N10" s="39"/>
      <c r="O10" s="39"/>
      <c r="P10" s="39"/>
      <c r="Q10" s="39"/>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0" t="s">
        <v>174</v>
      </c>
      <c r="C11" s="39"/>
      <c r="D11" s="39"/>
      <c r="E11" s="39"/>
      <c r="F11" s="37"/>
      <c r="G11" s="37"/>
      <c r="H11" s="37"/>
      <c r="I11" s="37"/>
      <c r="J11" s="37"/>
      <c r="K11" s="37"/>
      <c r="L11" s="37"/>
      <c r="M11" s="37"/>
      <c r="N11" s="37"/>
      <c r="O11" s="37"/>
      <c r="P11" s="37"/>
      <c r="Q11" s="37"/>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0" t="s">
        <v>174</v>
      </c>
      <c r="C12" s="39"/>
      <c r="D12" s="39"/>
      <c r="E12" s="39"/>
      <c r="F12" s="38"/>
      <c r="G12" s="39"/>
      <c r="H12" s="40"/>
      <c r="I12" s="39"/>
      <c r="J12" s="40"/>
      <c r="K12" s="40"/>
      <c r="L12" s="40"/>
      <c r="M12" s="39"/>
      <c r="N12" s="39"/>
      <c r="O12" s="39"/>
      <c r="P12" s="39"/>
      <c r="Q12" s="39"/>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0" t="s">
        <v>174</v>
      </c>
      <c r="C13" s="39"/>
      <c r="D13" s="39"/>
      <c r="E13" s="39"/>
      <c r="F13" s="38"/>
      <c r="G13" s="39"/>
      <c r="H13" s="40"/>
      <c r="I13" s="39"/>
      <c r="J13" s="40"/>
      <c r="K13" s="40"/>
      <c r="L13" s="40"/>
      <c r="M13" s="39"/>
      <c r="N13" s="39"/>
      <c r="O13" s="39"/>
      <c r="P13" s="39"/>
      <c r="Q13" s="39"/>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0" t="s">
        <v>174</v>
      </c>
      <c r="C14" s="39"/>
      <c r="D14" s="39"/>
      <c r="E14" s="39"/>
      <c r="F14" s="38"/>
      <c r="G14" s="39"/>
      <c r="H14" s="40"/>
      <c r="I14" s="39"/>
      <c r="J14" s="40"/>
      <c r="K14" s="40"/>
      <c r="L14" s="40"/>
      <c r="M14" s="39"/>
      <c r="N14" s="39"/>
      <c r="O14" s="39"/>
      <c r="P14" s="39"/>
      <c r="Q14" s="39"/>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0" t="s">
        <v>174</v>
      </c>
      <c r="C15" s="39"/>
      <c r="D15" s="39"/>
      <c r="E15" s="39"/>
      <c r="F15" s="38"/>
      <c r="G15" s="39"/>
      <c r="H15" s="40"/>
      <c r="I15" s="39"/>
      <c r="J15" s="40"/>
      <c r="K15" s="40"/>
      <c r="L15" s="40"/>
      <c r="M15" s="39"/>
      <c r="N15" s="39"/>
      <c r="O15" s="39"/>
      <c r="P15" s="39"/>
      <c r="Q15" s="39"/>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0" t="s">
        <v>174</v>
      </c>
      <c r="C16" s="39"/>
      <c r="D16" s="39"/>
      <c r="E16" s="39"/>
      <c r="F16" s="38"/>
      <c r="G16" s="39"/>
      <c r="H16" s="40"/>
      <c r="I16" s="39"/>
      <c r="J16" s="40"/>
      <c r="K16" s="40"/>
      <c r="L16" s="40"/>
      <c r="M16" s="39"/>
      <c r="N16" s="39"/>
      <c r="O16" s="39"/>
      <c r="P16" s="39"/>
      <c r="Q16" s="39"/>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0" t="s">
        <v>174</v>
      </c>
      <c r="C17" s="39"/>
      <c r="D17" s="39"/>
      <c r="E17" s="39"/>
      <c r="F17" s="39"/>
      <c r="G17" s="39"/>
      <c r="H17" s="39"/>
      <c r="I17" s="39"/>
      <c r="J17" s="39"/>
      <c r="K17" s="39"/>
      <c r="L17" s="39"/>
      <c r="M17" s="39"/>
      <c r="N17" s="39"/>
      <c r="O17" s="39"/>
      <c r="P17" s="39"/>
      <c r="Q17" s="39"/>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0" t="s">
        <v>174</v>
      </c>
      <c r="C18" s="39"/>
      <c r="D18" s="39"/>
      <c r="E18" s="39"/>
      <c r="F18" s="39"/>
      <c r="G18" s="39"/>
      <c r="H18" s="39"/>
      <c r="I18" s="39"/>
      <c r="J18" s="39"/>
      <c r="K18" s="39"/>
      <c r="L18" s="39"/>
      <c r="M18" s="39"/>
      <c r="N18" s="39"/>
      <c r="O18" s="39"/>
      <c r="P18" s="39"/>
      <c r="Q18" s="39"/>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0" t="s">
        <v>174</v>
      </c>
      <c r="C19" s="39"/>
      <c r="D19" s="39"/>
      <c r="E19" s="39"/>
      <c r="F19" s="39"/>
      <c r="G19" s="39"/>
      <c r="H19" s="39"/>
      <c r="I19" s="39"/>
      <c r="J19" s="39"/>
      <c r="K19" s="39"/>
      <c r="L19" s="39"/>
      <c r="M19" s="39"/>
      <c r="N19" s="39"/>
      <c r="O19" s="39"/>
      <c r="P19" s="39"/>
      <c r="Q19" s="39"/>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0" t="s">
        <v>174</v>
      </c>
      <c r="C20" s="39"/>
      <c r="D20" s="39"/>
      <c r="E20" s="39"/>
      <c r="F20" s="41"/>
      <c r="G20" s="41"/>
      <c r="H20" s="41"/>
      <c r="I20" s="41"/>
      <c r="J20" s="41"/>
      <c r="K20" s="41"/>
      <c r="L20" s="41"/>
      <c r="M20" s="41"/>
      <c r="N20" s="41"/>
      <c r="O20" s="41"/>
      <c r="P20" s="41"/>
      <c r="Q20" s="41"/>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0" t="s">
        <v>174</v>
      </c>
      <c r="C21" s="39"/>
      <c r="D21" s="39"/>
      <c r="E21" s="39"/>
      <c r="F21" s="39"/>
      <c r="G21" s="39"/>
      <c r="H21" s="39"/>
      <c r="I21" s="39"/>
      <c r="J21" s="39"/>
      <c r="K21" s="39"/>
      <c r="L21" s="39"/>
      <c r="M21" s="39"/>
      <c r="N21" s="39"/>
      <c r="O21" s="39"/>
      <c r="P21" s="39"/>
      <c r="Q21" s="39"/>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0" t="s">
        <v>174</v>
      </c>
      <c r="C22" s="39"/>
      <c r="D22" s="39"/>
      <c r="E22" s="39"/>
      <c r="F22" s="37"/>
      <c r="G22" s="37"/>
      <c r="H22" s="37"/>
      <c r="I22" s="37"/>
      <c r="J22" s="37"/>
      <c r="K22" s="37"/>
      <c r="L22" s="37"/>
      <c r="M22" s="37"/>
      <c r="N22" s="37"/>
      <c r="O22" s="37"/>
      <c r="P22" s="37"/>
      <c r="Q22" s="37"/>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0" t="s">
        <v>174</v>
      </c>
      <c r="C23" s="39"/>
      <c r="D23" s="39"/>
      <c r="E23" s="39"/>
      <c r="F23" s="38"/>
      <c r="G23" s="39"/>
      <c r="H23" s="40"/>
      <c r="I23" s="39"/>
      <c r="J23" s="40"/>
      <c r="K23" s="40"/>
      <c r="L23" s="40"/>
      <c r="M23" s="39"/>
      <c r="N23" s="39"/>
      <c r="O23" s="39"/>
      <c r="P23" s="39"/>
      <c r="Q23" s="39"/>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0" t="s">
        <v>174</v>
      </c>
      <c r="C24" s="39"/>
      <c r="D24" s="39"/>
      <c r="E24" s="39"/>
      <c r="F24" s="38"/>
      <c r="G24" s="39"/>
      <c r="H24" s="40"/>
      <c r="I24" s="39"/>
      <c r="J24" s="40"/>
      <c r="K24" s="40"/>
      <c r="L24" s="40"/>
      <c r="M24" s="39"/>
      <c r="N24" s="39"/>
      <c r="O24" s="39"/>
      <c r="P24" s="39"/>
      <c r="Q24" s="39"/>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0" t="s">
        <v>174</v>
      </c>
      <c r="C25" s="39"/>
      <c r="D25" s="39"/>
      <c r="E25" s="39"/>
      <c r="F25" s="38"/>
      <c r="G25" s="39"/>
      <c r="H25" s="40"/>
      <c r="I25" s="39"/>
      <c r="J25" s="40"/>
      <c r="K25" s="40"/>
      <c r="L25" s="40"/>
      <c r="M25" s="39"/>
      <c r="N25" s="39"/>
      <c r="O25" s="39"/>
      <c r="P25" s="39"/>
      <c r="Q25" s="39"/>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0" t="s">
        <v>174</v>
      </c>
      <c r="C26" s="39"/>
      <c r="D26" s="39"/>
      <c r="E26" s="39"/>
      <c r="F26" s="38"/>
      <c r="G26" s="39"/>
      <c r="H26" s="40"/>
      <c r="I26" s="39"/>
      <c r="J26" s="40"/>
      <c r="K26" s="40"/>
      <c r="L26" s="40"/>
      <c r="M26" s="39"/>
      <c r="N26" s="39"/>
      <c r="O26" s="39"/>
      <c r="P26" s="39"/>
      <c r="Q26" s="39"/>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0" t="s">
        <v>174</v>
      </c>
      <c r="C27" s="39"/>
      <c r="D27" s="39"/>
      <c r="E27" s="39"/>
      <c r="F27" s="38"/>
      <c r="G27" s="39"/>
      <c r="H27" s="40"/>
      <c r="I27" s="39"/>
      <c r="J27" s="40"/>
      <c r="K27" s="40"/>
      <c r="L27" s="40"/>
      <c r="M27" s="39"/>
      <c r="N27" s="39"/>
      <c r="O27" s="39"/>
      <c r="P27" s="39"/>
      <c r="Q27" s="39"/>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0" t="s">
        <v>174</v>
      </c>
      <c r="C28" s="39"/>
      <c r="D28" s="39"/>
      <c r="E28" s="39"/>
      <c r="F28" s="38"/>
      <c r="G28" s="39"/>
      <c r="H28" s="40"/>
      <c r="I28" s="39"/>
      <c r="J28" s="40"/>
      <c r="K28" s="40"/>
      <c r="L28" s="40"/>
      <c r="M28" s="39"/>
      <c r="N28" s="39"/>
      <c r="O28" s="39"/>
      <c r="P28" s="39"/>
      <c r="Q28" s="39"/>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0" t="s">
        <v>174</v>
      </c>
      <c r="C29" s="39"/>
      <c r="D29" s="39"/>
      <c r="E29" s="39"/>
      <c r="F29" s="38"/>
      <c r="G29" s="39"/>
      <c r="H29" s="40"/>
      <c r="I29" s="39"/>
      <c r="J29" s="40"/>
      <c r="K29" s="40"/>
      <c r="L29" s="40"/>
      <c r="M29" s="39"/>
      <c r="N29" s="39"/>
      <c r="O29" s="39"/>
      <c r="P29" s="39"/>
      <c r="Q29" s="39"/>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0" t="s">
        <v>174</v>
      </c>
      <c r="C30" s="39"/>
      <c r="D30" s="39"/>
      <c r="E30" s="39"/>
      <c r="F30" s="38"/>
      <c r="G30" s="39"/>
      <c r="H30" s="40"/>
      <c r="I30" s="39"/>
      <c r="J30" s="40"/>
      <c r="K30" s="40"/>
      <c r="L30" s="40"/>
      <c r="M30" s="39"/>
      <c r="N30" s="39"/>
      <c r="O30" s="39"/>
      <c r="P30" s="39"/>
      <c r="Q30" s="39"/>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0" t="s">
        <v>174</v>
      </c>
      <c r="C31" s="39"/>
      <c r="D31" s="39"/>
      <c r="E31" s="39"/>
      <c r="F31" s="38"/>
      <c r="G31" s="39"/>
      <c r="H31" s="40"/>
      <c r="I31" s="39"/>
      <c r="J31" s="40"/>
      <c r="K31" s="40"/>
      <c r="L31" s="40"/>
      <c r="M31" s="39"/>
      <c r="N31" s="39"/>
      <c r="O31" s="39"/>
      <c r="P31" s="39"/>
      <c r="Q31" s="39"/>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0" t="s">
        <v>174</v>
      </c>
      <c r="C32" s="39"/>
      <c r="D32" s="39"/>
      <c r="E32" s="39"/>
      <c r="F32" s="38"/>
      <c r="G32" s="39"/>
      <c r="H32" s="40"/>
      <c r="I32" s="39"/>
      <c r="J32" s="40"/>
      <c r="K32" s="40"/>
      <c r="L32" s="40"/>
      <c r="M32" s="39"/>
      <c r="N32" s="39"/>
      <c r="O32" s="39"/>
      <c r="P32" s="39"/>
      <c r="Q32" s="39"/>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0" t="s">
        <v>174</v>
      </c>
      <c r="C33" s="39"/>
      <c r="D33" s="39"/>
      <c r="E33" s="39"/>
      <c r="F33" s="39"/>
      <c r="G33" s="39"/>
      <c r="H33" s="39"/>
      <c r="I33" s="39"/>
      <c r="J33" s="39"/>
      <c r="K33" s="39"/>
      <c r="L33" s="39"/>
      <c r="M33" s="39"/>
      <c r="N33" s="39"/>
      <c r="O33" s="39"/>
      <c r="P33" s="39"/>
      <c r="Q33" s="39"/>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0" t="s">
        <v>174</v>
      </c>
      <c r="C34" s="39"/>
      <c r="D34" s="39"/>
      <c r="E34" s="39"/>
      <c r="F34" s="39"/>
      <c r="G34" s="39"/>
      <c r="H34" s="39"/>
      <c r="I34" s="39"/>
      <c r="J34" s="39"/>
      <c r="K34" s="39"/>
      <c r="L34" s="39"/>
      <c r="M34" s="39"/>
      <c r="N34" s="39"/>
      <c r="O34" s="39"/>
      <c r="P34" s="39"/>
      <c r="Q34" s="39"/>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0" t="s">
        <v>174</v>
      </c>
      <c r="C35" s="39"/>
      <c r="D35" s="39"/>
      <c r="E35" s="39"/>
      <c r="F35" s="39"/>
      <c r="G35" s="39"/>
      <c r="H35" s="39"/>
      <c r="I35" s="39"/>
      <c r="J35" s="39"/>
      <c r="K35" s="39"/>
      <c r="L35" s="39"/>
      <c r="M35" s="39"/>
      <c r="N35" s="39"/>
      <c r="O35" s="39"/>
      <c r="P35" s="39"/>
      <c r="Q35" s="39"/>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0" t="s">
        <v>174</v>
      </c>
      <c r="C36" s="39"/>
      <c r="D36" s="39"/>
      <c r="E36" s="39"/>
      <c r="F36" s="41"/>
      <c r="G36" s="41"/>
      <c r="H36" s="41"/>
      <c r="I36" s="41"/>
      <c r="J36" s="41"/>
      <c r="K36" s="41"/>
      <c r="L36" s="41"/>
      <c r="M36" s="41"/>
      <c r="N36" s="41"/>
      <c r="O36" s="41"/>
      <c r="P36" s="41"/>
      <c r="Q36" s="41"/>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0" t="s">
        <v>174</v>
      </c>
      <c r="C37" s="39"/>
      <c r="D37" s="39"/>
      <c r="E37" s="39"/>
      <c r="F37" s="39"/>
      <c r="G37" s="39"/>
      <c r="H37" s="39"/>
      <c r="I37" s="39"/>
      <c r="J37" s="39"/>
      <c r="K37" s="39"/>
      <c r="L37" s="39"/>
      <c r="M37" s="39"/>
      <c r="N37" s="39"/>
      <c r="O37" s="39"/>
      <c r="P37" s="39"/>
      <c r="Q37" s="39"/>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0" t="s">
        <v>174</v>
      </c>
      <c r="C38" s="39"/>
      <c r="D38" s="39"/>
      <c r="E38" s="39"/>
      <c r="F38" s="37"/>
      <c r="G38" s="37"/>
      <c r="H38" s="37"/>
      <c r="I38" s="37"/>
      <c r="J38" s="37"/>
      <c r="K38" s="37"/>
      <c r="L38" s="37"/>
      <c r="M38" s="37"/>
      <c r="N38" s="37"/>
      <c r="O38" s="37"/>
      <c r="P38" s="37"/>
      <c r="Q38" s="37"/>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0" t="s">
        <v>174</v>
      </c>
      <c r="C39" s="39"/>
      <c r="D39" s="39"/>
      <c r="E39" s="39"/>
      <c r="F39" s="38"/>
      <c r="G39" s="39"/>
      <c r="H39" s="40"/>
      <c r="I39" s="39"/>
      <c r="J39" s="40"/>
      <c r="K39" s="40"/>
      <c r="L39" s="40"/>
      <c r="M39" s="39"/>
      <c r="N39" s="39"/>
      <c r="O39" s="39"/>
      <c r="P39" s="39"/>
      <c r="Q39" s="39"/>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0" t="s">
        <v>174</v>
      </c>
      <c r="C40" s="39"/>
      <c r="D40" s="39"/>
      <c r="E40" s="39"/>
      <c r="F40" s="38"/>
      <c r="G40" s="39"/>
      <c r="H40" s="40"/>
      <c r="I40" s="39"/>
      <c r="J40" s="40"/>
      <c r="K40" s="40"/>
      <c r="L40" s="40"/>
      <c r="M40" s="39"/>
      <c r="N40" s="39"/>
      <c r="O40" s="39"/>
      <c r="P40" s="39"/>
      <c r="Q40" s="39"/>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0" t="s">
        <v>174</v>
      </c>
      <c r="C41" s="39"/>
      <c r="D41" s="39"/>
      <c r="E41" s="39"/>
      <c r="F41" s="38"/>
      <c r="G41" s="39"/>
      <c r="H41" s="40"/>
      <c r="I41" s="39"/>
      <c r="J41" s="40"/>
      <c r="K41" s="40"/>
      <c r="L41" s="40"/>
      <c r="M41" s="39"/>
      <c r="N41" s="39"/>
      <c r="O41" s="39"/>
      <c r="P41" s="39"/>
      <c r="Q41" s="39"/>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0" t="s">
        <v>174</v>
      </c>
      <c r="C42" s="39"/>
      <c r="D42" s="39"/>
      <c r="E42" s="39"/>
      <c r="F42" s="38"/>
      <c r="G42" s="39"/>
      <c r="H42" s="40"/>
      <c r="I42" s="39"/>
      <c r="J42" s="40"/>
      <c r="K42" s="40"/>
      <c r="L42" s="40"/>
      <c r="M42" s="39"/>
      <c r="N42" s="39"/>
      <c r="O42" s="39"/>
      <c r="P42" s="39"/>
      <c r="Q42" s="39"/>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0" t="s">
        <v>174</v>
      </c>
      <c r="C43" s="39"/>
      <c r="D43" s="39"/>
      <c r="E43" s="39"/>
      <c r="F43" s="38"/>
      <c r="G43" s="39"/>
      <c r="H43" s="40"/>
      <c r="I43" s="39"/>
      <c r="J43" s="40"/>
      <c r="K43" s="40"/>
      <c r="L43" s="40"/>
      <c r="M43" s="39"/>
      <c r="N43" s="39"/>
      <c r="O43" s="39"/>
      <c r="P43" s="39"/>
      <c r="Q43" s="39"/>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0" t="s">
        <v>174</v>
      </c>
      <c r="C44" s="39"/>
      <c r="D44" s="39"/>
      <c r="E44" s="39"/>
      <c r="F44" s="38"/>
      <c r="G44" s="39"/>
      <c r="H44" s="40"/>
      <c r="I44" s="39"/>
      <c r="J44" s="40"/>
      <c r="K44" s="40"/>
      <c r="L44" s="40"/>
      <c r="M44" s="39"/>
      <c r="N44" s="39"/>
      <c r="O44" s="39"/>
      <c r="P44" s="39"/>
      <c r="Q44" s="39"/>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0" t="s">
        <v>174</v>
      </c>
      <c r="C45" s="39"/>
      <c r="D45" s="39"/>
      <c r="E45" s="39"/>
      <c r="F45" s="38"/>
      <c r="G45" s="39"/>
      <c r="H45" s="40"/>
      <c r="I45" s="39"/>
      <c r="J45" s="40"/>
      <c r="K45" s="40"/>
      <c r="L45" s="40"/>
      <c r="M45" s="39"/>
      <c r="N45" s="39"/>
      <c r="O45" s="39"/>
      <c r="P45" s="39"/>
      <c r="Q45" s="39"/>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0" t="s">
        <v>174</v>
      </c>
      <c r="C46" s="39"/>
      <c r="D46" s="39"/>
      <c r="E46" s="39"/>
      <c r="F46" s="39"/>
      <c r="G46" s="39"/>
      <c r="H46" s="39"/>
      <c r="I46" s="39"/>
      <c r="J46" s="39"/>
      <c r="K46" s="39"/>
      <c r="L46" s="39"/>
      <c r="M46" s="39"/>
      <c r="N46" s="39"/>
      <c r="O46" s="39"/>
      <c r="P46" s="39"/>
      <c r="Q46" s="39"/>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0" t="s">
        <v>174</v>
      </c>
      <c r="C47" s="39"/>
      <c r="D47" s="39"/>
      <c r="E47" s="39"/>
      <c r="F47" s="39"/>
      <c r="G47" s="39"/>
      <c r="H47" s="39"/>
      <c r="I47" s="39"/>
      <c r="J47" s="39"/>
      <c r="K47" s="39"/>
      <c r="L47" s="39"/>
      <c r="M47" s="39"/>
      <c r="N47" s="39"/>
      <c r="O47" s="39"/>
      <c r="P47" s="39"/>
      <c r="Q47" s="39"/>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0" t="s">
        <v>174</v>
      </c>
      <c r="C48" s="39"/>
      <c r="D48" s="39"/>
      <c r="E48" s="39"/>
      <c r="F48" s="39"/>
      <c r="G48" s="39"/>
      <c r="H48" s="39"/>
      <c r="I48" s="39"/>
      <c r="J48" s="39"/>
      <c r="K48" s="39"/>
      <c r="L48" s="39"/>
      <c r="M48" s="39"/>
      <c r="N48" s="39"/>
      <c r="O48" s="39"/>
      <c r="P48" s="39"/>
      <c r="Q48" s="39"/>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0" t="s">
        <v>174</v>
      </c>
      <c r="C49" s="39"/>
      <c r="D49" s="39"/>
      <c r="E49" s="39"/>
      <c r="F49" s="41"/>
      <c r="G49" s="41"/>
      <c r="H49" s="41"/>
      <c r="I49" s="41"/>
      <c r="J49" s="41"/>
      <c r="K49" s="41"/>
      <c r="L49" s="41"/>
      <c r="M49" s="41"/>
      <c r="N49" s="41"/>
      <c r="O49" s="41"/>
      <c r="P49" s="41"/>
      <c r="Q49" s="41"/>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0" t="s">
        <v>174</v>
      </c>
      <c r="C50" s="39"/>
      <c r="D50" s="39"/>
      <c r="E50" s="39"/>
      <c r="F50" s="39"/>
      <c r="G50" s="39"/>
      <c r="H50" s="39"/>
      <c r="I50" s="39"/>
      <c r="J50" s="39"/>
      <c r="K50" s="39"/>
      <c r="L50" s="39"/>
      <c r="M50" s="39"/>
      <c r="N50" s="39"/>
      <c r="O50" s="39"/>
      <c r="P50" s="39"/>
      <c r="Q50" s="39"/>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0" t="s">
        <v>174</v>
      </c>
      <c r="C51" s="39"/>
      <c r="D51" s="39"/>
      <c r="E51" s="39"/>
      <c r="F51" s="37"/>
      <c r="G51" s="37"/>
      <c r="H51" s="37"/>
      <c r="I51" s="37"/>
      <c r="J51" s="37"/>
      <c r="K51" s="37"/>
      <c r="L51" s="37"/>
      <c r="M51" s="37"/>
      <c r="N51" s="37"/>
      <c r="O51" s="37"/>
      <c r="P51" s="37"/>
      <c r="Q51" s="37"/>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0" t="s">
        <v>174</v>
      </c>
      <c r="C52" s="39"/>
      <c r="D52" s="39"/>
      <c r="E52" s="39"/>
      <c r="F52" s="38"/>
      <c r="G52" s="39"/>
      <c r="H52" s="40"/>
      <c r="I52" s="39"/>
      <c r="J52" s="40"/>
      <c r="K52" s="40"/>
      <c r="L52" s="40"/>
      <c r="M52" s="39"/>
      <c r="N52" s="39"/>
      <c r="O52" s="39"/>
      <c r="P52" s="39"/>
      <c r="Q52" s="39"/>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0" t="s">
        <v>174</v>
      </c>
      <c r="C53" s="39"/>
      <c r="D53" s="39"/>
      <c r="E53" s="39"/>
      <c r="F53" s="38"/>
      <c r="G53" s="39"/>
      <c r="H53" s="40"/>
      <c r="I53" s="39"/>
      <c r="J53" s="40"/>
      <c r="K53" s="40"/>
      <c r="L53" s="40"/>
      <c r="M53" s="39"/>
      <c r="N53" s="39"/>
      <c r="O53" s="39"/>
      <c r="P53" s="39"/>
      <c r="Q53" s="39"/>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0" t="s">
        <v>174</v>
      </c>
      <c r="C54" s="39"/>
      <c r="D54" s="39"/>
      <c r="E54" s="39"/>
      <c r="F54" s="38"/>
      <c r="G54" s="39"/>
      <c r="H54" s="40"/>
      <c r="I54" s="39"/>
      <c r="J54" s="40"/>
      <c r="K54" s="40"/>
      <c r="L54" s="40"/>
      <c r="M54" s="39"/>
      <c r="N54" s="39"/>
      <c r="O54" s="39"/>
      <c r="P54" s="39"/>
      <c r="Q54" s="39"/>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0" t="s">
        <v>174</v>
      </c>
      <c r="C55" s="39"/>
      <c r="D55" s="39"/>
      <c r="E55" s="39"/>
      <c r="F55" s="38"/>
      <c r="G55" s="39"/>
      <c r="H55" s="40"/>
      <c r="I55" s="39"/>
      <c r="J55" s="40"/>
      <c r="K55" s="40"/>
      <c r="L55" s="40"/>
      <c r="M55" s="39"/>
      <c r="N55" s="39"/>
      <c r="O55" s="39"/>
      <c r="P55" s="39"/>
      <c r="Q55" s="39"/>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0" t="s">
        <v>174</v>
      </c>
      <c r="C56" s="39"/>
      <c r="D56" s="39"/>
      <c r="E56" s="39"/>
      <c r="F56" s="38"/>
      <c r="G56" s="39"/>
      <c r="H56" s="40"/>
      <c r="I56" s="39"/>
      <c r="J56" s="40"/>
      <c r="K56" s="40"/>
      <c r="L56" s="40"/>
      <c r="M56" s="39"/>
      <c r="N56" s="39"/>
      <c r="O56" s="39"/>
      <c r="P56" s="39"/>
      <c r="Q56" s="39"/>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0" t="s">
        <v>174</v>
      </c>
      <c r="C57" s="39"/>
      <c r="D57" s="39"/>
      <c r="E57" s="39"/>
      <c r="F57" s="38"/>
      <c r="G57" s="39"/>
      <c r="H57" s="40"/>
      <c r="I57" s="39"/>
      <c r="J57" s="40"/>
      <c r="K57" s="40"/>
      <c r="L57" s="40"/>
      <c r="M57" s="39"/>
      <c r="N57" s="39"/>
      <c r="O57" s="39"/>
      <c r="P57" s="39"/>
      <c r="Q57" s="39"/>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0" t="s">
        <v>174</v>
      </c>
      <c r="C58" s="39"/>
      <c r="D58" s="39"/>
      <c r="E58" s="39"/>
      <c r="F58" s="38"/>
      <c r="G58" s="39"/>
      <c r="H58" s="40"/>
      <c r="I58" s="39"/>
      <c r="J58" s="40"/>
      <c r="K58" s="40"/>
      <c r="L58" s="40"/>
      <c r="M58" s="39"/>
      <c r="N58" s="39"/>
      <c r="O58" s="39"/>
      <c r="P58" s="39"/>
      <c r="Q58" s="39"/>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0" t="s">
        <v>174</v>
      </c>
      <c r="C59" s="39"/>
      <c r="D59" s="39"/>
      <c r="E59" s="39"/>
      <c r="F59" s="38"/>
      <c r="G59" s="39"/>
      <c r="H59" s="40"/>
      <c r="I59" s="39"/>
      <c r="J59" s="40"/>
      <c r="K59" s="40"/>
      <c r="L59" s="40"/>
      <c r="M59" s="39"/>
      <c r="N59" s="39"/>
      <c r="O59" s="39"/>
      <c r="P59" s="39"/>
      <c r="Q59" s="39"/>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0" t="s">
        <v>174</v>
      </c>
      <c r="C60" s="39"/>
      <c r="D60" s="39"/>
      <c r="E60" s="39"/>
      <c r="F60" s="38"/>
      <c r="G60" s="39"/>
      <c r="H60" s="40"/>
      <c r="I60" s="39"/>
      <c r="J60" s="40"/>
      <c r="K60" s="40"/>
      <c r="L60" s="40"/>
      <c r="M60" s="39"/>
      <c r="N60" s="39"/>
      <c r="O60" s="39"/>
      <c r="P60" s="39"/>
      <c r="Q60" s="39"/>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0" t="s">
        <v>174</v>
      </c>
      <c r="C61" s="39"/>
      <c r="D61" s="39"/>
      <c r="E61" s="39"/>
      <c r="F61" s="38"/>
      <c r="G61" s="39"/>
      <c r="H61" s="40"/>
      <c r="I61" s="39"/>
      <c r="J61" s="40"/>
      <c r="K61" s="40"/>
      <c r="L61" s="40"/>
      <c r="M61" s="39"/>
      <c r="N61" s="39"/>
      <c r="O61" s="39"/>
      <c r="P61" s="39"/>
      <c r="Q61" s="39"/>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0" t="s">
        <v>174</v>
      </c>
      <c r="C62" s="39"/>
      <c r="D62" s="39"/>
      <c r="E62" s="39"/>
      <c r="F62" s="38"/>
      <c r="G62" s="39"/>
      <c r="H62" s="40"/>
      <c r="I62" s="39"/>
      <c r="J62" s="40"/>
      <c r="K62" s="40"/>
      <c r="L62" s="40"/>
      <c r="M62" s="39"/>
      <c r="N62" s="39"/>
      <c r="O62" s="39"/>
      <c r="P62" s="39"/>
      <c r="Q62" s="39"/>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0" t="s">
        <v>174</v>
      </c>
      <c r="C63" s="39"/>
      <c r="D63" s="39"/>
      <c r="E63" s="39"/>
      <c r="F63" s="38"/>
      <c r="G63" s="39"/>
      <c r="H63" s="40"/>
      <c r="I63" s="39"/>
      <c r="J63" s="40"/>
      <c r="K63" s="40"/>
      <c r="L63" s="40"/>
      <c r="M63" s="39"/>
      <c r="N63" s="39"/>
      <c r="O63" s="39"/>
      <c r="P63" s="39"/>
      <c r="Q63" s="39"/>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0" t="s">
        <v>174</v>
      </c>
      <c r="C64" s="39"/>
      <c r="D64" s="39"/>
      <c r="E64" s="39"/>
      <c r="F64" s="38"/>
      <c r="G64" s="39"/>
      <c r="H64" s="40"/>
      <c r="I64" s="39"/>
      <c r="J64" s="40"/>
      <c r="K64" s="40"/>
      <c r="L64" s="40"/>
      <c r="M64" s="39"/>
      <c r="N64" s="39"/>
      <c r="O64" s="39"/>
      <c r="P64" s="39"/>
      <c r="Q64" s="39"/>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0" t="s">
        <v>174</v>
      </c>
      <c r="C65" s="39"/>
      <c r="D65" s="39"/>
      <c r="E65" s="39"/>
      <c r="F65" s="38"/>
      <c r="G65" s="39"/>
      <c r="H65" s="40"/>
      <c r="I65" s="39"/>
      <c r="J65" s="40"/>
      <c r="K65" s="40"/>
      <c r="L65" s="40"/>
      <c r="M65" s="39"/>
      <c r="N65" s="39"/>
      <c r="O65" s="39"/>
      <c r="P65" s="39"/>
      <c r="Q65" s="39"/>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0" t="s">
        <v>174</v>
      </c>
      <c r="C66" s="39"/>
      <c r="D66" s="39"/>
      <c r="E66" s="39"/>
      <c r="F66" s="38"/>
      <c r="G66" s="39"/>
      <c r="H66" s="40"/>
      <c r="I66" s="39"/>
      <c r="J66" s="40"/>
      <c r="K66" s="40"/>
      <c r="L66" s="40"/>
      <c r="M66" s="39"/>
      <c r="N66" s="39"/>
      <c r="O66" s="39"/>
      <c r="P66" s="39"/>
      <c r="Q66" s="39"/>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0" t="s">
        <v>174</v>
      </c>
      <c r="C67" s="39"/>
      <c r="D67" s="39"/>
      <c r="E67" s="39"/>
      <c r="F67" s="38"/>
      <c r="G67" s="39"/>
      <c r="H67" s="40"/>
      <c r="I67" s="39"/>
      <c r="J67" s="40"/>
      <c r="K67" s="40"/>
      <c r="L67" s="40"/>
      <c r="M67" s="39"/>
      <c r="N67" s="39"/>
      <c r="O67" s="39"/>
      <c r="P67" s="39"/>
      <c r="Q67" s="39"/>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0" t="s">
        <v>174</v>
      </c>
      <c r="C68" s="39"/>
      <c r="D68" s="39"/>
      <c r="E68" s="39"/>
      <c r="F68" s="38"/>
      <c r="G68" s="39"/>
      <c r="H68" s="40"/>
      <c r="I68" s="39"/>
      <c r="J68" s="40"/>
      <c r="K68" s="40"/>
      <c r="L68" s="40"/>
      <c r="M68" s="39"/>
      <c r="N68" s="39"/>
      <c r="O68" s="39"/>
      <c r="P68" s="39"/>
      <c r="Q68" s="39"/>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0" t="s">
        <v>174</v>
      </c>
      <c r="C69" s="39"/>
      <c r="D69" s="39"/>
      <c r="E69" s="39"/>
      <c r="F69" s="38"/>
      <c r="G69" s="39"/>
      <c r="H69" s="40"/>
      <c r="I69" s="39"/>
      <c r="J69" s="40"/>
      <c r="K69" s="40"/>
      <c r="L69" s="40"/>
      <c r="M69" s="39"/>
      <c r="N69" s="39"/>
      <c r="O69" s="39"/>
      <c r="P69" s="39"/>
      <c r="Q69" s="39"/>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0" t="s">
        <v>174</v>
      </c>
      <c r="C70" s="39"/>
      <c r="D70" s="39"/>
      <c r="E70" s="39"/>
      <c r="F70" s="38"/>
      <c r="G70" s="39"/>
      <c r="H70" s="40"/>
      <c r="I70" s="39"/>
      <c r="J70" s="40"/>
      <c r="K70" s="40"/>
      <c r="L70" s="40"/>
      <c r="M70" s="39"/>
      <c r="N70" s="39"/>
      <c r="O70" s="39"/>
      <c r="P70" s="39"/>
      <c r="Q70" s="39"/>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0" t="s">
        <v>174</v>
      </c>
      <c r="C71" s="39"/>
      <c r="D71" s="39"/>
      <c r="E71" s="39"/>
      <c r="F71" s="38"/>
      <c r="G71" s="39"/>
      <c r="H71" s="40"/>
      <c r="I71" s="39"/>
      <c r="J71" s="40"/>
      <c r="K71" s="40"/>
      <c r="L71" s="40"/>
      <c r="M71" s="39"/>
      <c r="N71" s="39"/>
      <c r="O71" s="39"/>
      <c r="P71" s="39"/>
      <c r="Q71" s="39"/>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0" t="s">
        <v>174</v>
      </c>
      <c r="C72" s="39"/>
      <c r="D72" s="39"/>
      <c r="E72" s="39"/>
      <c r="F72" s="38"/>
      <c r="G72" s="39"/>
      <c r="H72" s="40"/>
      <c r="I72" s="39"/>
      <c r="J72" s="40"/>
      <c r="K72" s="40"/>
      <c r="L72" s="40"/>
      <c r="M72" s="39"/>
      <c r="N72" s="39"/>
      <c r="O72" s="39"/>
      <c r="P72" s="39"/>
      <c r="Q72" s="39"/>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0" t="s">
        <v>174</v>
      </c>
      <c r="C73" s="39"/>
      <c r="D73" s="39"/>
      <c r="E73" s="39"/>
      <c r="F73" s="38"/>
      <c r="G73" s="39"/>
      <c r="H73" s="40"/>
      <c r="I73" s="39"/>
      <c r="J73" s="40"/>
      <c r="K73" s="40"/>
      <c r="L73" s="40"/>
      <c r="M73" s="39"/>
      <c r="N73" s="39"/>
      <c r="O73" s="39"/>
      <c r="P73" s="39"/>
      <c r="Q73" s="39"/>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0" t="s">
        <v>174</v>
      </c>
      <c r="C74" s="39"/>
      <c r="D74" s="39"/>
      <c r="E74" s="39"/>
      <c r="F74" s="38"/>
      <c r="G74" s="39"/>
      <c r="H74" s="40"/>
      <c r="I74" s="39"/>
      <c r="J74" s="40"/>
      <c r="K74" s="40"/>
      <c r="L74" s="40"/>
      <c r="M74" s="39"/>
      <c r="N74" s="39"/>
      <c r="O74" s="39"/>
      <c r="P74" s="39"/>
      <c r="Q74" s="39"/>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0" t="s">
        <v>174</v>
      </c>
      <c r="C75" s="39"/>
      <c r="D75" s="39"/>
      <c r="E75" s="39"/>
      <c r="F75" s="38"/>
      <c r="G75" s="39"/>
      <c r="H75" s="40"/>
      <c r="I75" s="39"/>
      <c r="J75" s="40"/>
      <c r="K75" s="40"/>
      <c r="L75" s="40"/>
      <c r="M75" s="39"/>
      <c r="N75" s="39"/>
      <c r="O75" s="39"/>
      <c r="P75" s="39"/>
      <c r="Q75" s="39"/>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0" t="s">
        <v>174</v>
      </c>
      <c r="C76" s="39"/>
      <c r="D76" s="39"/>
      <c r="E76" s="39"/>
      <c r="F76" s="38"/>
      <c r="G76" s="39"/>
      <c r="H76" s="40"/>
      <c r="I76" s="39"/>
      <c r="J76" s="40"/>
      <c r="K76" s="40"/>
      <c r="L76" s="40"/>
      <c r="M76" s="39"/>
      <c r="N76" s="39"/>
      <c r="O76" s="39"/>
      <c r="P76" s="39"/>
      <c r="Q76" s="39"/>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0" t="s">
        <v>174</v>
      </c>
      <c r="C77" s="39"/>
      <c r="D77" s="39"/>
      <c r="E77" s="39"/>
      <c r="F77" s="38"/>
      <c r="G77" s="39"/>
      <c r="H77" s="40"/>
      <c r="I77" s="39"/>
      <c r="J77" s="40"/>
      <c r="K77" s="40"/>
      <c r="L77" s="40"/>
      <c r="M77" s="39"/>
      <c r="N77" s="39"/>
      <c r="O77" s="39"/>
      <c r="P77" s="39"/>
      <c r="Q77" s="39"/>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0" t="s">
        <v>174</v>
      </c>
      <c r="C78" s="39"/>
      <c r="D78" s="39"/>
      <c r="E78" s="39"/>
      <c r="F78" s="38"/>
      <c r="G78" s="39"/>
      <c r="H78" s="40"/>
      <c r="I78" s="39"/>
      <c r="J78" s="40"/>
      <c r="K78" s="40"/>
      <c r="L78" s="40"/>
      <c r="M78" s="39"/>
      <c r="N78" s="39"/>
      <c r="O78" s="39"/>
      <c r="P78" s="39"/>
      <c r="Q78" s="39"/>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0" t="s">
        <v>174</v>
      </c>
      <c r="C79" s="39"/>
      <c r="D79" s="39"/>
      <c r="E79" s="39"/>
      <c r="F79" s="39"/>
      <c r="G79" s="39"/>
      <c r="H79" s="39"/>
      <c r="I79" s="39"/>
      <c r="J79" s="39"/>
      <c r="K79" s="39"/>
      <c r="L79" s="39"/>
      <c r="M79" s="39"/>
      <c r="N79" s="39"/>
      <c r="O79" s="39"/>
      <c r="P79" s="39"/>
      <c r="Q79" s="39"/>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0" t="s">
        <v>174</v>
      </c>
      <c r="C80" s="39"/>
      <c r="D80" s="39"/>
      <c r="E80" s="39"/>
      <c r="F80" s="39"/>
      <c r="G80" s="39"/>
      <c r="H80" s="39"/>
      <c r="I80" s="39"/>
      <c r="J80" s="39"/>
      <c r="K80" s="39"/>
      <c r="L80" s="39"/>
      <c r="M80" s="39"/>
      <c r="N80" s="39"/>
      <c r="O80" s="39"/>
      <c r="P80" s="39"/>
      <c r="Q80" s="39"/>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0" t="s">
        <v>174</v>
      </c>
      <c r="C81" s="39"/>
      <c r="D81" s="39"/>
      <c r="E81" s="39"/>
      <c r="F81" s="39"/>
      <c r="G81" s="39"/>
      <c r="H81" s="39"/>
      <c r="I81" s="39"/>
      <c r="J81" s="39"/>
      <c r="K81" s="39"/>
      <c r="L81" s="39"/>
      <c r="M81" s="39"/>
      <c r="N81" s="39"/>
      <c r="O81" s="39"/>
      <c r="P81" s="39"/>
      <c r="Q81" s="39"/>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0" t="s">
        <v>174</v>
      </c>
      <c r="C82" s="39"/>
      <c r="D82" s="39"/>
      <c r="E82" s="39"/>
      <c r="F82" s="41"/>
      <c r="G82" s="41"/>
      <c r="H82" s="41"/>
      <c r="I82" s="41"/>
      <c r="J82" s="41"/>
      <c r="K82" s="41"/>
      <c r="L82" s="41"/>
      <c r="M82" s="41"/>
      <c r="N82" s="41"/>
      <c r="O82" s="41"/>
      <c r="P82" s="41"/>
      <c r="Q82" s="41"/>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0" t="s">
        <v>174</v>
      </c>
      <c r="C83" s="39"/>
      <c r="D83" s="39"/>
      <c r="E83" s="39"/>
      <c r="F83" s="39"/>
      <c r="G83" s="39"/>
      <c r="H83" s="39"/>
      <c r="I83" s="39"/>
      <c r="J83" s="39"/>
      <c r="K83" s="39"/>
      <c r="L83" s="39"/>
      <c r="M83" s="39"/>
      <c r="N83" s="39"/>
      <c r="O83" s="39"/>
      <c r="P83" s="39"/>
      <c r="Q83" s="39"/>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0" t="s">
        <v>174</v>
      </c>
      <c r="C84" s="39"/>
      <c r="D84" s="39"/>
      <c r="E84" s="39"/>
      <c r="F84" s="37"/>
      <c r="G84" s="37"/>
      <c r="H84" s="37"/>
      <c r="I84" s="37"/>
      <c r="J84" s="37"/>
      <c r="K84" s="37"/>
      <c r="L84" s="37"/>
      <c r="M84" s="37"/>
      <c r="N84" s="37"/>
      <c r="O84" s="37"/>
      <c r="P84" s="37"/>
      <c r="Q84" s="37"/>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0" t="s">
        <v>174</v>
      </c>
      <c r="C85" s="39"/>
      <c r="D85" s="39"/>
      <c r="E85" s="39"/>
      <c r="F85" s="38"/>
      <c r="G85" s="39"/>
      <c r="H85" s="40"/>
      <c r="I85" s="39"/>
      <c r="J85" s="40"/>
      <c r="K85" s="40"/>
      <c r="L85" s="40"/>
      <c r="M85" s="39"/>
      <c r="N85" s="39"/>
      <c r="O85" s="39"/>
      <c r="P85" s="39"/>
      <c r="Q85" s="39"/>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0" t="s">
        <v>174</v>
      </c>
      <c r="C86" s="39"/>
      <c r="D86" s="39"/>
      <c r="E86" s="39"/>
      <c r="F86" s="38"/>
      <c r="G86" s="39"/>
      <c r="H86" s="40"/>
      <c r="I86" s="39"/>
      <c r="J86" s="40"/>
      <c r="K86" s="40"/>
      <c r="L86" s="40"/>
      <c r="M86" s="39"/>
      <c r="N86" s="39"/>
      <c r="O86" s="39"/>
      <c r="P86" s="39"/>
      <c r="Q86" s="39"/>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0" t="s">
        <v>174</v>
      </c>
      <c r="C87" s="39"/>
      <c r="D87" s="39"/>
      <c r="E87" s="39"/>
      <c r="F87" s="38"/>
      <c r="G87" s="39"/>
      <c r="H87" s="40"/>
      <c r="I87" s="39"/>
      <c r="J87" s="40"/>
      <c r="K87" s="40"/>
      <c r="L87" s="40"/>
      <c r="M87" s="39"/>
      <c r="N87" s="39"/>
      <c r="O87" s="39"/>
      <c r="P87" s="39"/>
      <c r="Q87" s="39"/>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0" t="s">
        <v>174</v>
      </c>
      <c r="C88" s="39"/>
      <c r="D88" s="39"/>
      <c r="E88" s="39"/>
      <c r="F88" s="38"/>
      <c r="G88" s="39"/>
      <c r="H88" s="40"/>
      <c r="I88" s="39"/>
      <c r="J88" s="40"/>
      <c r="K88" s="40"/>
      <c r="L88" s="40"/>
      <c r="M88" s="39"/>
      <c r="N88" s="39"/>
      <c r="O88" s="39"/>
      <c r="P88" s="39"/>
      <c r="Q88" s="39"/>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0" t="s">
        <v>174</v>
      </c>
      <c r="C89" s="39"/>
      <c r="D89" s="39"/>
      <c r="E89" s="39"/>
      <c r="F89" s="38"/>
      <c r="G89" s="39"/>
      <c r="H89" s="40"/>
      <c r="I89" s="39"/>
      <c r="J89" s="40"/>
      <c r="K89" s="40"/>
      <c r="L89" s="40"/>
      <c r="M89" s="39"/>
      <c r="N89" s="39"/>
      <c r="O89" s="39"/>
      <c r="P89" s="39"/>
      <c r="Q89" s="39"/>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0" t="s">
        <v>174</v>
      </c>
      <c r="C90" s="39"/>
      <c r="D90" s="39"/>
      <c r="E90" s="39"/>
      <c r="F90" s="38"/>
      <c r="G90" s="39"/>
      <c r="H90" s="40"/>
      <c r="I90" s="39"/>
      <c r="J90" s="40"/>
      <c r="K90" s="40"/>
      <c r="L90" s="40"/>
      <c r="M90" s="39"/>
      <c r="N90" s="39"/>
      <c r="O90" s="39"/>
      <c r="P90" s="39"/>
      <c r="Q90" s="39"/>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0" t="s">
        <v>174</v>
      </c>
      <c r="C91" s="39"/>
      <c r="D91" s="39"/>
      <c r="E91" s="39"/>
      <c r="F91" s="38"/>
      <c r="G91" s="39"/>
      <c r="H91" s="40"/>
      <c r="I91" s="39"/>
      <c r="J91" s="40"/>
      <c r="K91" s="40"/>
      <c r="L91" s="40"/>
      <c r="M91" s="39"/>
      <c r="N91" s="39"/>
      <c r="O91" s="39"/>
      <c r="P91" s="39"/>
      <c r="Q91" s="39"/>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0" t="s">
        <v>174</v>
      </c>
      <c r="C92" s="39"/>
      <c r="D92" s="39"/>
      <c r="E92" s="39"/>
      <c r="F92" s="38"/>
      <c r="G92" s="39"/>
      <c r="H92" s="40"/>
      <c r="I92" s="39"/>
      <c r="J92" s="40"/>
      <c r="K92" s="40"/>
      <c r="L92" s="40"/>
      <c r="M92" s="39"/>
      <c r="N92" s="39"/>
      <c r="O92" s="39"/>
      <c r="P92" s="39"/>
      <c r="Q92" s="39"/>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0" t="s">
        <v>174</v>
      </c>
      <c r="C93" s="39"/>
      <c r="D93" s="39"/>
      <c r="E93" s="39"/>
      <c r="F93" s="38"/>
      <c r="G93" s="39"/>
      <c r="H93" s="40"/>
      <c r="I93" s="39"/>
      <c r="J93" s="40"/>
      <c r="K93" s="40"/>
      <c r="L93" s="40"/>
      <c r="M93" s="39"/>
      <c r="N93" s="39"/>
      <c r="O93" s="39"/>
      <c r="P93" s="39"/>
      <c r="Q93" s="39"/>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0" t="s">
        <v>174</v>
      </c>
      <c r="C94" s="39"/>
      <c r="D94" s="39"/>
      <c r="E94" s="39"/>
      <c r="F94" s="38"/>
      <c r="G94" s="39"/>
      <c r="H94" s="40"/>
      <c r="I94" s="39"/>
      <c r="J94" s="40"/>
      <c r="K94" s="40"/>
      <c r="L94" s="40"/>
      <c r="M94" s="39"/>
      <c r="N94" s="39"/>
      <c r="O94" s="39"/>
      <c r="P94" s="39"/>
      <c r="Q94" s="39"/>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0" t="s">
        <v>174</v>
      </c>
      <c r="C95" s="39"/>
      <c r="D95" s="39"/>
      <c r="E95" s="39"/>
      <c r="F95" s="38"/>
      <c r="G95" s="39"/>
      <c r="H95" s="40"/>
      <c r="I95" s="39"/>
      <c r="J95" s="40"/>
      <c r="K95" s="40"/>
      <c r="L95" s="40"/>
      <c r="M95" s="39"/>
      <c r="N95" s="39"/>
      <c r="O95" s="39"/>
      <c r="P95" s="39"/>
      <c r="Q95" s="39"/>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0" t="s">
        <v>174</v>
      </c>
      <c r="C96" s="39"/>
      <c r="D96" s="39"/>
      <c r="E96" s="39"/>
      <c r="F96" s="38"/>
      <c r="G96" s="39"/>
      <c r="H96" s="40"/>
      <c r="I96" s="39"/>
      <c r="J96" s="40"/>
      <c r="K96" s="40"/>
      <c r="L96" s="40"/>
      <c r="M96" s="39"/>
      <c r="N96" s="39"/>
      <c r="O96" s="39"/>
      <c r="P96" s="39"/>
      <c r="Q96" s="39"/>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0" t="s">
        <v>174</v>
      </c>
      <c r="C97" s="39"/>
      <c r="D97" s="39"/>
      <c r="E97" s="39"/>
      <c r="F97" s="38"/>
      <c r="G97" s="39"/>
      <c r="H97" s="40"/>
      <c r="I97" s="39"/>
      <c r="J97" s="40"/>
      <c r="K97" s="40"/>
      <c r="L97" s="40"/>
      <c r="M97" s="39"/>
      <c r="N97" s="39"/>
      <c r="O97" s="39"/>
      <c r="P97" s="39"/>
      <c r="Q97" s="39"/>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0" t="s">
        <v>174</v>
      </c>
      <c r="C98" s="39"/>
      <c r="D98" s="39"/>
      <c r="E98" s="39"/>
      <c r="F98" s="38"/>
      <c r="G98" s="39"/>
      <c r="H98" s="40"/>
      <c r="I98" s="39"/>
      <c r="J98" s="40"/>
      <c r="K98" s="40"/>
      <c r="L98" s="40"/>
      <c r="M98" s="39"/>
      <c r="N98" s="39"/>
      <c r="O98" s="39"/>
      <c r="P98" s="39"/>
      <c r="Q98" s="39"/>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0" t="s">
        <v>174</v>
      </c>
      <c r="C99" s="39"/>
      <c r="D99" s="39"/>
      <c r="E99" s="39"/>
      <c r="F99" s="38"/>
      <c r="G99" s="39"/>
      <c r="H99" s="40"/>
      <c r="I99" s="39"/>
      <c r="J99" s="40"/>
      <c r="K99" s="40"/>
      <c r="L99" s="40"/>
      <c r="M99" s="39"/>
      <c r="N99" s="39"/>
      <c r="O99" s="39"/>
      <c r="P99" s="39"/>
      <c r="Q99" s="39"/>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0" t="s">
        <v>174</v>
      </c>
      <c r="C100" s="39"/>
      <c r="D100" s="39"/>
      <c r="E100" s="39"/>
      <c r="F100" s="38"/>
      <c r="G100" s="39"/>
      <c r="H100" s="40"/>
      <c r="I100" s="39"/>
      <c r="J100" s="40"/>
      <c r="K100" s="40"/>
      <c r="L100" s="40"/>
      <c r="M100" s="39"/>
      <c r="N100" s="39"/>
      <c r="O100" s="39"/>
      <c r="P100" s="39"/>
      <c r="Q100" s="39"/>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0" t="s">
        <v>174</v>
      </c>
      <c r="C101" s="39"/>
      <c r="D101" s="39"/>
      <c r="E101" s="39"/>
      <c r="F101" s="38"/>
      <c r="G101" s="39"/>
      <c r="H101" s="40"/>
      <c r="I101" s="39"/>
      <c r="J101" s="40"/>
      <c r="K101" s="40"/>
      <c r="L101" s="40"/>
      <c r="M101" s="39"/>
      <c r="N101" s="39"/>
      <c r="O101" s="39"/>
      <c r="P101" s="39"/>
      <c r="Q101" s="39"/>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0" t="s">
        <v>174</v>
      </c>
      <c r="C102" s="39"/>
      <c r="D102" s="39"/>
      <c r="E102" s="39"/>
      <c r="F102" s="38"/>
      <c r="G102" s="39"/>
      <c r="H102" s="40"/>
      <c r="I102" s="39"/>
      <c r="J102" s="40"/>
      <c r="K102" s="40"/>
      <c r="L102" s="40"/>
      <c r="M102" s="39"/>
      <c r="N102" s="39"/>
      <c r="O102" s="39"/>
      <c r="P102" s="39"/>
      <c r="Q102" s="39"/>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0" t="s">
        <v>174</v>
      </c>
      <c r="C103" s="39"/>
      <c r="D103" s="39"/>
      <c r="E103" s="39"/>
      <c r="F103" s="38"/>
      <c r="G103" s="39"/>
      <c r="H103" s="40"/>
      <c r="I103" s="39"/>
      <c r="J103" s="40"/>
      <c r="K103" s="40"/>
      <c r="L103" s="40"/>
      <c r="M103" s="39"/>
      <c r="N103" s="39"/>
      <c r="O103" s="39"/>
      <c r="P103" s="39"/>
      <c r="Q103" s="39"/>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0" t="s">
        <v>174</v>
      </c>
      <c r="C104" s="39"/>
      <c r="D104" s="39"/>
      <c r="E104" s="39"/>
      <c r="F104" s="38"/>
      <c r="G104" s="39"/>
      <c r="H104" s="40"/>
      <c r="I104" s="39"/>
      <c r="J104" s="40"/>
      <c r="K104" s="40"/>
      <c r="L104" s="40"/>
      <c r="M104" s="39"/>
      <c r="N104" s="39"/>
      <c r="O104" s="39"/>
      <c r="P104" s="39"/>
      <c r="Q104" s="39"/>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0" t="s">
        <v>174</v>
      </c>
      <c r="C105" s="39"/>
      <c r="D105" s="39"/>
      <c r="E105" s="39"/>
      <c r="F105" s="38"/>
      <c r="G105" s="39"/>
      <c r="H105" s="40"/>
      <c r="I105" s="39"/>
      <c r="J105" s="40"/>
      <c r="K105" s="40"/>
      <c r="L105" s="40"/>
      <c r="M105" s="39"/>
      <c r="N105" s="39"/>
      <c r="O105" s="39"/>
      <c r="P105" s="39"/>
      <c r="Q105" s="39"/>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0" t="s">
        <v>174</v>
      </c>
      <c r="C106" s="39"/>
      <c r="D106" s="39"/>
      <c r="E106" s="39"/>
      <c r="F106" s="38"/>
      <c r="G106" s="39"/>
      <c r="H106" s="40"/>
      <c r="I106" s="39"/>
      <c r="J106" s="40"/>
      <c r="K106" s="40"/>
      <c r="L106" s="40"/>
      <c r="M106" s="39"/>
      <c r="N106" s="39"/>
      <c r="O106" s="39"/>
      <c r="P106" s="39"/>
      <c r="Q106" s="39"/>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0" t="s">
        <v>174</v>
      </c>
      <c r="C107" s="39"/>
      <c r="D107" s="39"/>
      <c r="E107" s="39"/>
      <c r="F107" s="38"/>
      <c r="G107" s="39"/>
      <c r="H107" s="40"/>
      <c r="I107" s="39"/>
      <c r="J107" s="40"/>
      <c r="K107" s="40"/>
      <c r="L107" s="40"/>
      <c r="M107" s="39"/>
      <c r="N107" s="39"/>
      <c r="O107" s="39"/>
      <c r="P107" s="39"/>
      <c r="Q107" s="39"/>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0" t="s">
        <v>174</v>
      </c>
      <c r="C108" s="39"/>
      <c r="D108" s="39"/>
      <c r="E108" s="39"/>
      <c r="F108" s="38"/>
      <c r="G108" s="39"/>
      <c r="H108" s="40"/>
      <c r="I108" s="39"/>
      <c r="J108" s="40"/>
      <c r="K108" s="40"/>
      <c r="L108" s="40"/>
      <c r="M108" s="39"/>
      <c r="N108" s="39"/>
      <c r="O108" s="39"/>
      <c r="P108" s="39"/>
      <c r="Q108" s="39"/>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0" t="s">
        <v>174</v>
      </c>
      <c r="C109" s="39"/>
      <c r="D109" s="39"/>
      <c r="E109" s="39"/>
      <c r="F109" s="38"/>
      <c r="G109" s="39"/>
      <c r="H109" s="40"/>
      <c r="I109" s="39"/>
      <c r="J109" s="40"/>
      <c r="K109" s="40"/>
      <c r="L109" s="40"/>
      <c r="M109" s="39"/>
      <c r="N109" s="39"/>
      <c r="O109" s="39"/>
      <c r="P109" s="39"/>
      <c r="Q109" s="39"/>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0" t="s">
        <v>174</v>
      </c>
      <c r="C110" s="39"/>
      <c r="D110" s="39"/>
      <c r="E110" s="39"/>
      <c r="F110" s="38"/>
      <c r="G110" s="39"/>
      <c r="H110" s="40"/>
      <c r="I110" s="39"/>
      <c r="J110" s="40"/>
      <c r="K110" s="40"/>
      <c r="L110" s="40"/>
      <c r="M110" s="39"/>
      <c r="N110" s="39"/>
      <c r="O110" s="39"/>
      <c r="P110" s="39"/>
      <c r="Q110" s="39"/>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0" t="s">
        <v>174</v>
      </c>
      <c r="C111" s="39"/>
      <c r="D111" s="39"/>
      <c r="E111" s="39"/>
      <c r="F111" s="38"/>
      <c r="G111" s="39"/>
      <c r="H111" s="40"/>
      <c r="I111" s="39"/>
      <c r="J111" s="40"/>
      <c r="K111" s="40"/>
      <c r="L111" s="40"/>
      <c r="M111" s="39"/>
      <c r="N111" s="39"/>
      <c r="O111" s="39"/>
      <c r="P111" s="39"/>
      <c r="Q111" s="39"/>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0" t="s">
        <v>174</v>
      </c>
      <c r="C112" s="39"/>
      <c r="D112" s="39"/>
      <c r="E112" s="39"/>
      <c r="F112" s="38"/>
      <c r="G112" s="39"/>
      <c r="H112" s="40"/>
      <c r="I112" s="39"/>
      <c r="J112" s="40"/>
      <c r="K112" s="40"/>
      <c r="L112" s="40"/>
      <c r="M112" s="39"/>
      <c r="N112" s="39"/>
      <c r="O112" s="39"/>
      <c r="P112" s="39"/>
      <c r="Q112" s="39"/>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0" t="s">
        <v>174</v>
      </c>
      <c r="C113" s="39"/>
      <c r="D113" s="39"/>
      <c r="E113" s="39"/>
      <c r="F113" s="38"/>
      <c r="G113" s="39"/>
      <c r="H113" s="40"/>
      <c r="I113" s="39"/>
      <c r="J113" s="40"/>
      <c r="K113" s="40"/>
      <c r="L113" s="40"/>
      <c r="M113" s="39"/>
      <c r="N113" s="39"/>
      <c r="O113" s="39"/>
      <c r="P113" s="39"/>
      <c r="Q113" s="39"/>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0" t="s">
        <v>174</v>
      </c>
      <c r="C114" s="39"/>
      <c r="D114" s="39"/>
      <c r="E114" s="39"/>
      <c r="F114" s="38"/>
      <c r="G114" s="39"/>
      <c r="H114" s="40"/>
      <c r="I114" s="39"/>
      <c r="J114" s="40"/>
      <c r="K114" s="40"/>
      <c r="L114" s="40"/>
      <c r="M114" s="39"/>
      <c r="N114" s="39"/>
      <c r="O114" s="39"/>
      <c r="P114" s="39"/>
      <c r="Q114" s="39"/>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0" t="s">
        <v>174</v>
      </c>
      <c r="C115" s="39"/>
      <c r="D115" s="39"/>
      <c r="E115" s="39"/>
      <c r="F115" s="38"/>
      <c r="G115" s="39"/>
      <c r="H115" s="40"/>
      <c r="I115" s="39"/>
      <c r="J115" s="40"/>
      <c r="K115" s="40"/>
      <c r="L115" s="40"/>
      <c r="M115" s="39"/>
      <c r="N115" s="39"/>
      <c r="O115" s="39"/>
      <c r="P115" s="39"/>
      <c r="Q115" s="39"/>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0" t="s">
        <v>174</v>
      </c>
      <c r="C116" s="39"/>
      <c r="D116" s="39"/>
      <c r="E116" s="39"/>
      <c r="F116" s="38"/>
      <c r="G116" s="39"/>
      <c r="H116" s="40"/>
      <c r="I116" s="39"/>
      <c r="J116" s="40"/>
      <c r="K116" s="40"/>
      <c r="L116" s="40"/>
      <c r="M116" s="39"/>
      <c r="N116" s="39"/>
      <c r="O116" s="39"/>
      <c r="P116" s="39"/>
      <c r="Q116" s="39"/>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0" t="s">
        <v>174</v>
      </c>
      <c r="C117" s="39"/>
      <c r="D117" s="39"/>
      <c r="E117" s="39"/>
      <c r="F117" s="38"/>
      <c r="G117" s="39"/>
      <c r="H117" s="40"/>
      <c r="I117" s="39"/>
      <c r="J117" s="40"/>
      <c r="K117" s="40"/>
      <c r="L117" s="40"/>
      <c r="M117" s="39"/>
      <c r="N117" s="39"/>
      <c r="O117" s="39"/>
      <c r="P117" s="39"/>
      <c r="Q117" s="39"/>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0" t="s">
        <v>174</v>
      </c>
      <c r="C118" s="39"/>
      <c r="D118" s="39"/>
      <c r="E118" s="39"/>
      <c r="F118" s="38"/>
      <c r="G118" s="39"/>
      <c r="H118" s="40"/>
      <c r="I118" s="39"/>
      <c r="J118" s="40"/>
      <c r="K118" s="40"/>
      <c r="L118" s="40"/>
      <c r="M118" s="39"/>
      <c r="N118" s="39"/>
      <c r="O118" s="39"/>
      <c r="P118" s="39"/>
      <c r="Q118" s="39"/>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0" t="s">
        <v>174</v>
      </c>
      <c r="C119" s="39"/>
      <c r="D119" s="39"/>
      <c r="E119" s="39"/>
      <c r="F119" s="38"/>
      <c r="G119" s="39"/>
      <c r="H119" s="40"/>
      <c r="I119" s="39"/>
      <c r="J119" s="40"/>
      <c r="K119" s="40"/>
      <c r="L119" s="40"/>
      <c r="M119" s="39"/>
      <c r="N119" s="39"/>
      <c r="O119" s="39"/>
      <c r="P119" s="39"/>
      <c r="Q119" s="39"/>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0" t="s">
        <v>174</v>
      </c>
      <c r="C120" s="39"/>
      <c r="D120" s="39"/>
      <c r="E120" s="39"/>
      <c r="F120" s="38"/>
      <c r="G120" s="39"/>
      <c r="H120" s="40"/>
      <c r="I120" s="39"/>
      <c r="J120" s="40"/>
      <c r="K120" s="40"/>
      <c r="L120" s="40"/>
      <c r="M120" s="39"/>
      <c r="N120" s="39"/>
      <c r="O120" s="39"/>
      <c r="P120" s="39"/>
      <c r="Q120" s="39"/>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0" t="s">
        <v>174</v>
      </c>
      <c r="C121" s="39"/>
      <c r="D121" s="39"/>
      <c r="E121" s="39"/>
      <c r="F121" s="38"/>
      <c r="G121" s="39"/>
      <c r="H121" s="40"/>
      <c r="I121" s="39"/>
      <c r="J121" s="40"/>
      <c r="K121" s="40"/>
      <c r="L121" s="40"/>
      <c r="M121" s="39"/>
      <c r="N121" s="39"/>
      <c r="O121" s="39"/>
      <c r="P121" s="39"/>
      <c r="Q121" s="39"/>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0" t="s">
        <v>174</v>
      </c>
      <c r="C122" s="39"/>
      <c r="D122" s="39"/>
      <c r="E122" s="39"/>
      <c r="F122" s="38"/>
      <c r="G122" s="39"/>
      <c r="H122" s="40"/>
      <c r="I122" s="39"/>
      <c r="J122" s="40"/>
      <c r="K122" s="40"/>
      <c r="L122" s="40"/>
      <c r="M122" s="39"/>
      <c r="N122" s="39"/>
      <c r="O122" s="39"/>
      <c r="P122" s="39"/>
      <c r="Q122" s="39"/>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0" t="s">
        <v>174</v>
      </c>
      <c r="C123" s="39"/>
      <c r="D123" s="39"/>
      <c r="E123" s="39"/>
      <c r="F123" s="38"/>
      <c r="G123" s="39"/>
      <c r="H123" s="40"/>
      <c r="I123" s="39"/>
      <c r="J123" s="40"/>
      <c r="K123" s="40"/>
      <c r="L123" s="40"/>
      <c r="M123" s="39"/>
      <c r="N123" s="39"/>
      <c r="O123" s="39"/>
      <c r="P123" s="39"/>
      <c r="Q123" s="39"/>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0" t="s">
        <v>174</v>
      </c>
      <c r="C124" s="39"/>
      <c r="D124" s="39"/>
      <c r="E124" s="39"/>
      <c r="F124" s="38"/>
      <c r="G124" s="39"/>
      <c r="H124" s="40"/>
      <c r="I124" s="39"/>
      <c r="J124" s="40"/>
      <c r="K124" s="40"/>
      <c r="L124" s="40"/>
      <c r="M124" s="39"/>
      <c r="N124" s="39"/>
      <c r="O124" s="39"/>
      <c r="P124" s="39"/>
      <c r="Q124" s="39"/>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0" t="s">
        <v>174</v>
      </c>
      <c r="C125" s="39"/>
      <c r="D125" s="39"/>
      <c r="E125" s="39"/>
      <c r="F125" s="38"/>
      <c r="G125" s="39"/>
      <c r="H125" s="40"/>
      <c r="I125" s="39"/>
      <c r="J125" s="40"/>
      <c r="K125" s="40"/>
      <c r="L125" s="40"/>
      <c r="M125" s="39"/>
      <c r="N125" s="39"/>
      <c r="O125" s="39"/>
      <c r="P125" s="39"/>
      <c r="Q125" s="39"/>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0" t="s">
        <v>174</v>
      </c>
      <c r="C126" s="39"/>
      <c r="D126" s="39"/>
      <c r="E126" s="39"/>
      <c r="F126" s="38"/>
      <c r="G126" s="39"/>
      <c r="H126" s="40"/>
      <c r="I126" s="39"/>
      <c r="J126" s="40"/>
      <c r="K126" s="40"/>
      <c r="L126" s="40"/>
      <c r="M126" s="39"/>
      <c r="N126" s="39"/>
      <c r="O126" s="39"/>
      <c r="P126" s="39"/>
      <c r="Q126" s="39"/>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0" t="s">
        <v>174</v>
      </c>
      <c r="C127" s="39"/>
      <c r="D127" s="39"/>
      <c r="E127" s="39"/>
      <c r="F127" s="39"/>
      <c r="G127" s="39"/>
      <c r="H127" s="39"/>
      <c r="I127" s="39"/>
      <c r="J127" s="39"/>
      <c r="K127" s="39"/>
      <c r="L127" s="39"/>
      <c r="M127" s="39"/>
      <c r="N127" s="39"/>
      <c r="O127" s="39"/>
      <c r="P127" s="39"/>
      <c r="Q127" s="39"/>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0" t="s">
        <v>174</v>
      </c>
      <c r="C128" s="39"/>
      <c r="D128" s="39"/>
      <c r="E128" s="39"/>
      <c r="F128" s="39"/>
      <c r="G128" s="39"/>
      <c r="H128" s="39"/>
      <c r="I128" s="39"/>
      <c r="J128" s="39"/>
      <c r="K128" s="39"/>
      <c r="L128" s="39"/>
      <c r="M128" s="39"/>
      <c r="N128" s="39"/>
      <c r="O128" s="39"/>
      <c r="P128" s="39"/>
      <c r="Q128" s="39"/>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0" t="s">
        <v>174</v>
      </c>
      <c r="C129" s="39"/>
      <c r="D129" s="39"/>
      <c r="E129" s="39"/>
      <c r="F129" s="39"/>
      <c r="G129" s="39"/>
      <c r="H129" s="39"/>
      <c r="I129" s="39"/>
      <c r="J129" s="39"/>
      <c r="K129" s="39"/>
      <c r="L129" s="39"/>
      <c r="M129" s="39"/>
      <c r="N129" s="39"/>
      <c r="O129" s="39"/>
      <c r="P129" s="39"/>
      <c r="Q129" s="39"/>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0" t="s">
        <v>174</v>
      </c>
      <c r="C130" s="39"/>
      <c r="D130" s="39"/>
      <c r="E130" s="39"/>
      <c r="F130" s="41"/>
      <c r="G130" s="41"/>
      <c r="H130" s="41"/>
      <c r="I130" s="41"/>
      <c r="J130" s="41"/>
      <c r="K130" s="41"/>
      <c r="L130" s="41"/>
      <c r="M130" s="41"/>
      <c r="N130" s="41"/>
      <c r="O130" s="41"/>
      <c r="P130" s="41"/>
      <c r="Q130" s="41"/>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0" t="s">
        <v>174</v>
      </c>
      <c r="C131" s="39"/>
      <c r="D131" s="39"/>
      <c r="E131" s="39"/>
      <c r="F131" s="39"/>
      <c r="G131" s="39"/>
      <c r="H131" s="39"/>
      <c r="I131" s="39"/>
      <c r="J131" s="39"/>
      <c r="K131" s="39"/>
      <c r="L131" s="39"/>
      <c r="M131" s="39"/>
      <c r="N131" s="39"/>
      <c r="O131" s="39"/>
      <c r="P131" s="39"/>
      <c r="Q131" s="39"/>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0" t="s">
        <v>174</v>
      </c>
      <c r="C132" s="39"/>
      <c r="D132" s="39"/>
      <c r="E132" s="39"/>
      <c r="F132" s="37"/>
      <c r="G132" s="37"/>
      <c r="H132" s="37"/>
      <c r="I132" s="37"/>
      <c r="J132" s="37"/>
      <c r="K132" s="37"/>
      <c r="L132" s="37"/>
      <c r="M132" s="37"/>
      <c r="N132" s="37"/>
      <c r="O132" s="37"/>
      <c r="P132" s="37"/>
      <c r="Q132" s="37"/>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0" t="s">
        <v>174</v>
      </c>
      <c r="C133" s="39"/>
      <c r="D133" s="39"/>
      <c r="E133" s="39"/>
      <c r="F133" s="38"/>
      <c r="G133" s="39"/>
      <c r="H133" s="40"/>
      <c r="I133" s="39"/>
      <c r="J133" s="40"/>
      <c r="K133" s="40"/>
      <c r="L133" s="40"/>
      <c r="M133" s="39"/>
      <c r="N133" s="39"/>
      <c r="O133" s="39"/>
      <c r="P133" s="39"/>
      <c r="Q133" s="39"/>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0" t="s">
        <v>174</v>
      </c>
      <c r="C134" s="39"/>
      <c r="D134" s="39"/>
      <c r="E134" s="39"/>
      <c r="F134" s="38"/>
      <c r="G134" s="39"/>
      <c r="H134" s="40"/>
      <c r="I134" s="39"/>
      <c r="J134" s="40"/>
      <c r="K134" s="40"/>
      <c r="L134" s="40"/>
      <c r="M134" s="39"/>
      <c r="N134" s="39"/>
      <c r="O134" s="39"/>
      <c r="P134" s="39"/>
      <c r="Q134" s="39"/>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0" t="s">
        <v>174</v>
      </c>
      <c r="C135" s="39"/>
      <c r="D135" s="39"/>
      <c r="E135" s="39"/>
      <c r="F135" s="38"/>
      <c r="G135" s="39"/>
      <c r="H135" s="40"/>
      <c r="I135" s="39"/>
      <c r="J135" s="40"/>
      <c r="K135" s="40"/>
      <c r="L135" s="40"/>
      <c r="M135" s="39"/>
      <c r="N135" s="39"/>
      <c r="O135" s="39"/>
      <c r="P135" s="39"/>
      <c r="Q135" s="39"/>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0" t="s">
        <v>174</v>
      </c>
      <c r="C136" s="39"/>
      <c r="D136" s="39"/>
      <c r="E136" s="39"/>
      <c r="F136" s="38"/>
      <c r="G136" s="39"/>
      <c r="H136" s="40"/>
      <c r="I136" s="39"/>
      <c r="J136" s="40"/>
      <c r="K136" s="40"/>
      <c r="L136" s="40"/>
      <c r="M136" s="39"/>
      <c r="N136" s="39"/>
      <c r="O136" s="39"/>
      <c r="P136" s="39"/>
      <c r="Q136" s="39"/>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0" t="s">
        <v>174</v>
      </c>
      <c r="C137" s="39"/>
      <c r="D137" s="39"/>
      <c r="E137" s="39"/>
      <c r="F137" s="39"/>
      <c r="G137" s="39"/>
      <c r="H137" s="39"/>
      <c r="I137" s="39"/>
      <c r="J137" s="39"/>
      <c r="K137" s="39"/>
      <c r="L137" s="39"/>
      <c r="M137" s="39"/>
      <c r="N137" s="39"/>
      <c r="O137" s="39"/>
      <c r="P137" s="39"/>
      <c r="Q137" s="39"/>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0" t="s">
        <v>174</v>
      </c>
      <c r="C138" s="39"/>
      <c r="D138" s="39"/>
      <c r="E138" s="39"/>
      <c r="F138" s="39"/>
      <c r="G138" s="39"/>
      <c r="H138" s="39"/>
      <c r="I138" s="39"/>
      <c r="J138" s="39"/>
      <c r="K138" s="39"/>
      <c r="L138" s="39"/>
      <c r="M138" s="39"/>
      <c r="N138" s="39"/>
      <c r="O138" s="39"/>
      <c r="P138" s="39"/>
      <c r="Q138" s="39"/>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0" t="s">
        <v>174</v>
      </c>
      <c r="C139" s="39"/>
      <c r="D139" s="39"/>
      <c r="E139" s="39"/>
      <c r="F139" s="39"/>
      <c r="G139" s="39"/>
      <c r="H139" s="39"/>
      <c r="I139" s="39"/>
      <c r="J139" s="39"/>
      <c r="K139" s="39"/>
      <c r="L139" s="39"/>
      <c r="M139" s="39"/>
      <c r="N139" s="39"/>
      <c r="O139" s="39"/>
      <c r="P139" s="39"/>
      <c r="Q139" s="39"/>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0" t="s">
        <v>174</v>
      </c>
      <c r="C140" s="39"/>
      <c r="D140" s="39"/>
      <c r="E140" s="39"/>
      <c r="F140" s="41"/>
      <c r="G140" s="41"/>
      <c r="H140" s="41"/>
      <c r="I140" s="41"/>
      <c r="J140" s="41"/>
      <c r="K140" s="41"/>
      <c r="L140" s="41"/>
      <c r="M140" s="41"/>
      <c r="N140" s="41"/>
      <c r="O140" s="41"/>
      <c r="P140" s="41"/>
      <c r="Q140" s="41"/>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0" t="s">
        <v>174</v>
      </c>
      <c r="C141" s="39"/>
      <c r="D141" s="39"/>
      <c r="E141" s="39"/>
      <c r="F141" s="39"/>
      <c r="G141" s="39"/>
      <c r="H141" s="39"/>
      <c r="I141" s="39"/>
      <c r="J141" s="39"/>
      <c r="K141" s="39"/>
      <c r="L141" s="39"/>
      <c r="M141" s="39"/>
      <c r="N141" s="39"/>
      <c r="O141" s="39"/>
      <c r="P141" s="39"/>
      <c r="Q141" s="39"/>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0" t="s">
        <v>174</v>
      </c>
      <c r="C142" s="39"/>
      <c r="D142" s="39"/>
      <c r="E142" s="39"/>
      <c r="F142" s="37"/>
      <c r="G142" s="37"/>
      <c r="H142" s="37"/>
      <c r="I142" s="37"/>
      <c r="J142" s="37"/>
      <c r="K142" s="37"/>
      <c r="L142" s="37"/>
      <c r="M142" s="37"/>
      <c r="N142" s="37"/>
      <c r="O142" s="37"/>
      <c r="P142" s="37"/>
      <c r="Q142" s="37"/>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0" t="s">
        <v>174</v>
      </c>
      <c r="C143" s="39"/>
      <c r="D143" s="39"/>
      <c r="E143" s="39"/>
      <c r="F143" s="38"/>
      <c r="G143" s="39"/>
      <c r="H143" s="40"/>
      <c r="I143" s="39"/>
      <c r="J143" s="40"/>
      <c r="K143" s="40"/>
      <c r="L143" s="40"/>
      <c r="M143" s="39"/>
      <c r="N143" s="39"/>
      <c r="O143" s="39"/>
      <c r="P143" s="39"/>
      <c r="Q143" s="39"/>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0" t="s">
        <v>174</v>
      </c>
      <c r="C144" s="39"/>
      <c r="D144" s="39"/>
      <c r="E144" s="39"/>
      <c r="F144" s="38"/>
      <c r="G144" s="39"/>
      <c r="H144" s="40"/>
      <c r="I144" s="39"/>
      <c r="J144" s="40"/>
      <c r="K144" s="40"/>
      <c r="L144" s="40"/>
      <c r="M144" s="39"/>
      <c r="N144" s="39"/>
      <c r="O144" s="39"/>
      <c r="P144" s="39"/>
      <c r="Q144" s="39"/>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0" t="s">
        <v>174</v>
      </c>
      <c r="C145" s="39"/>
      <c r="D145" s="39"/>
      <c r="E145" s="39"/>
      <c r="F145" s="39"/>
      <c r="G145" s="39"/>
      <c r="H145" s="39"/>
      <c r="I145" s="39"/>
      <c r="J145" s="39"/>
      <c r="K145" s="39"/>
      <c r="L145" s="39"/>
      <c r="M145" s="39"/>
      <c r="N145" s="39"/>
      <c r="O145" s="39"/>
      <c r="P145" s="39"/>
      <c r="Q145" s="39"/>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0" t="s">
        <v>174</v>
      </c>
      <c r="C146" s="39"/>
      <c r="D146" s="39"/>
      <c r="E146" s="39"/>
      <c r="F146" s="39"/>
      <c r="G146" s="39"/>
      <c r="H146" s="39"/>
      <c r="I146" s="39"/>
      <c r="J146" s="39"/>
      <c r="K146" s="39"/>
      <c r="L146" s="39"/>
      <c r="M146" s="39"/>
      <c r="N146" s="39"/>
      <c r="O146" s="39"/>
      <c r="P146" s="39"/>
      <c r="Q146" s="39"/>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0" t="s">
        <v>174</v>
      </c>
      <c r="C147" s="39"/>
      <c r="D147" s="39"/>
      <c r="E147" s="39"/>
      <c r="F147" s="39"/>
      <c r="G147" s="39"/>
      <c r="H147" s="39"/>
      <c r="I147" s="39"/>
      <c r="J147" s="39"/>
      <c r="K147" s="39"/>
      <c r="L147" s="39"/>
      <c r="M147" s="39"/>
      <c r="N147" s="39"/>
      <c r="O147" s="39"/>
      <c r="P147" s="39"/>
      <c r="Q147" s="39"/>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0" t="s">
        <v>174</v>
      </c>
      <c r="C148" s="39"/>
      <c r="D148" s="39"/>
      <c r="E148" s="39"/>
      <c r="F148" s="41"/>
      <c r="G148" s="41"/>
      <c r="H148" s="41"/>
      <c r="I148" s="41"/>
      <c r="J148" s="41"/>
      <c r="K148" s="41"/>
      <c r="L148" s="41"/>
      <c r="M148" s="41"/>
      <c r="N148" s="41"/>
      <c r="O148" s="41"/>
      <c r="P148" s="41"/>
      <c r="Q148" s="41"/>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0" t="s">
        <v>174</v>
      </c>
      <c r="C149" s="39"/>
      <c r="D149" s="39"/>
      <c r="E149" s="39"/>
      <c r="F149" s="39"/>
      <c r="G149" s="39"/>
      <c r="H149" s="39"/>
      <c r="I149" s="39"/>
      <c r="J149" s="39"/>
      <c r="K149" s="39"/>
      <c r="L149" s="39"/>
      <c r="M149" s="39"/>
      <c r="N149" s="39"/>
      <c r="O149" s="39"/>
      <c r="P149" s="39"/>
      <c r="Q149" s="39"/>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0" t="s">
        <v>174</v>
      </c>
      <c r="C150" s="39"/>
      <c r="D150" s="39"/>
      <c r="E150" s="39"/>
      <c r="F150" s="37"/>
      <c r="G150" s="37"/>
      <c r="H150" s="37"/>
      <c r="I150" s="37"/>
      <c r="J150" s="37"/>
      <c r="K150" s="37"/>
      <c r="L150" s="37"/>
      <c r="M150" s="37"/>
      <c r="N150" s="37"/>
      <c r="O150" s="37"/>
      <c r="P150" s="37"/>
      <c r="Q150" s="37"/>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0" t="s">
        <v>174</v>
      </c>
      <c r="C151" s="39"/>
      <c r="D151" s="39"/>
      <c r="E151" s="39"/>
      <c r="F151" s="38"/>
      <c r="G151" s="39"/>
      <c r="H151" s="40"/>
      <c r="I151" s="39"/>
      <c r="J151" s="40"/>
      <c r="K151" s="40"/>
      <c r="L151" s="40"/>
      <c r="M151" s="39"/>
      <c r="N151" s="39"/>
      <c r="O151" s="39"/>
      <c r="P151" s="39"/>
      <c r="Q151" s="39"/>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0" t="s">
        <v>174</v>
      </c>
      <c r="C152" s="39"/>
      <c r="D152" s="39"/>
      <c r="E152" s="39"/>
      <c r="F152" s="39"/>
      <c r="G152" s="39"/>
      <c r="H152" s="39"/>
      <c r="I152" s="39"/>
      <c r="J152" s="39"/>
      <c r="K152" s="39"/>
      <c r="L152" s="39"/>
      <c r="M152" s="39"/>
      <c r="N152" s="39"/>
      <c r="O152" s="39"/>
      <c r="P152" s="39"/>
      <c r="Q152" s="39"/>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0" t="s">
        <v>174</v>
      </c>
      <c r="C153" s="39"/>
      <c r="D153" s="39"/>
      <c r="E153" s="39"/>
      <c r="F153" s="39"/>
      <c r="G153" s="39"/>
      <c r="H153" s="39"/>
      <c r="I153" s="39"/>
      <c r="J153" s="39"/>
      <c r="K153" s="39"/>
      <c r="L153" s="39"/>
      <c r="M153" s="39"/>
      <c r="N153" s="39"/>
      <c r="O153" s="39"/>
      <c r="P153" s="39"/>
      <c r="Q153" s="39"/>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0" t="s">
        <v>174</v>
      </c>
      <c r="C154" s="39"/>
      <c r="D154" s="39"/>
      <c r="E154" s="39"/>
      <c r="F154" s="39"/>
      <c r="G154" s="39"/>
      <c r="H154" s="39"/>
      <c r="I154" s="39"/>
      <c r="J154" s="39"/>
      <c r="K154" s="39"/>
      <c r="L154" s="39"/>
      <c r="M154" s="39"/>
      <c r="N154" s="39"/>
      <c r="O154" s="39"/>
      <c r="P154" s="39"/>
      <c r="Q154" s="39"/>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0" t="s">
        <v>174</v>
      </c>
      <c r="C155" s="39"/>
      <c r="D155" s="39"/>
      <c r="E155" s="39"/>
      <c r="F155" s="41"/>
      <c r="G155" s="41"/>
      <c r="H155" s="41"/>
      <c r="I155" s="41"/>
      <c r="J155" s="41"/>
      <c r="K155" s="41"/>
      <c r="L155" s="41"/>
      <c r="M155" s="41"/>
      <c r="N155" s="41"/>
      <c r="O155" s="41"/>
      <c r="P155" s="41"/>
      <c r="Q155" s="41"/>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0" t="s">
        <v>174</v>
      </c>
      <c r="C156" s="39"/>
      <c r="D156" s="39"/>
      <c r="E156" s="39"/>
      <c r="F156" s="39"/>
      <c r="G156" s="39"/>
      <c r="H156" s="39"/>
      <c r="I156" s="39"/>
      <c r="J156" s="39"/>
      <c r="K156" s="39"/>
      <c r="L156" s="39"/>
      <c r="M156" s="39"/>
      <c r="N156" s="39"/>
      <c r="O156" s="39"/>
      <c r="P156" s="39"/>
      <c r="Q156" s="39"/>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0" t="s">
        <v>174</v>
      </c>
      <c r="C157" s="39"/>
      <c r="D157" s="39"/>
      <c r="E157" s="39"/>
      <c r="F157" s="37"/>
      <c r="G157" s="37"/>
      <c r="H157" s="37"/>
      <c r="I157" s="37"/>
      <c r="J157" s="37"/>
      <c r="K157" s="37"/>
      <c r="L157" s="37"/>
      <c r="M157" s="37"/>
      <c r="N157" s="37"/>
      <c r="O157" s="37"/>
      <c r="P157" s="37"/>
      <c r="Q157" s="37"/>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0" t="s">
        <v>174</v>
      </c>
      <c r="C158" s="39"/>
      <c r="D158" s="39"/>
      <c r="E158" s="39"/>
      <c r="F158" s="38"/>
      <c r="G158" s="39"/>
      <c r="H158" s="40"/>
      <c r="I158" s="39"/>
      <c r="J158" s="40"/>
      <c r="K158" s="40"/>
      <c r="L158" s="40"/>
      <c r="M158" s="39"/>
      <c r="N158" s="39"/>
      <c r="O158" s="39"/>
      <c r="P158" s="39"/>
      <c r="Q158" s="39"/>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0" t="s">
        <v>174</v>
      </c>
      <c r="C159" s="39"/>
      <c r="D159" s="39"/>
      <c r="E159" s="39"/>
      <c r="F159" s="38"/>
      <c r="G159" s="39"/>
      <c r="H159" s="40"/>
      <c r="I159" s="39"/>
      <c r="J159" s="40"/>
      <c r="K159" s="40"/>
      <c r="L159" s="40"/>
      <c r="M159" s="39"/>
      <c r="N159" s="39"/>
      <c r="O159" s="39"/>
      <c r="P159" s="39"/>
      <c r="Q159" s="39"/>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0" t="s">
        <v>174</v>
      </c>
      <c r="C160" s="39"/>
      <c r="D160" s="39"/>
      <c r="E160" s="39"/>
      <c r="F160" s="38"/>
      <c r="G160" s="39"/>
      <c r="H160" s="40"/>
      <c r="I160" s="39"/>
      <c r="J160" s="40"/>
      <c r="K160" s="40"/>
      <c r="L160" s="40"/>
      <c r="M160" s="39"/>
      <c r="N160" s="39"/>
      <c r="O160" s="39"/>
      <c r="P160" s="39"/>
      <c r="Q160" s="39"/>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0" t="s">
        <v>174</v>
      </c>
      <c r="C161" s="39"/>
      <c r="D161" s="39"/>
      <c r="E161" s="39"/>
      <c r="F161" s="38"/>
      <c r="G161" s="39"/>
      <c r="H161" s="40"/>
      <c r="I161" s="39"/>
      <c r="J161" s="40"/>
      <c r="K161" s="40"/>
      <c r="L161" s="40"/>
      <c r="M161" s="39"/>
      <c r="N161" s="39"/>
      <c r="O161" s="39"/>
      <c r="P161" s="39"/>
      <c r="Q161" s="39"/>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0" t="s">
        <v>174</v>
      </c>
      <c r="C162" s="39"/>
      <c r="D162" s="39"/>
      <c r="E162" s="39"/>
      <c r="F162" s="38"/>
      <c r="G162" s="39"/>
      <c r="H162" s="40"/>
      <c r="I162" s="39"/>
      <c r="J162" s="40"/>
      <c r="K162" s="40"/>
      <c r="L162" s="40"/>
      <c r="M162" s="39"/>
      <c r="N162" s="39"/>
      <c r="O162" s="39"/>
      <c r="P162" s="39"/>
      <c r="Q162" s="39"/>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0" t="s">
        <v>174</v>
      </c>
      <c r="C163" s="39"/>
      <c r="D163" s="39"/>
      <c r="E163" s="39"/>
      <c r="F163" s="39"/>
      <c r="G163" s="39"/>
      <c r="H163" s="39"/>
      <c r="I163" s="39"/>
      <c r="J163" s="39"/>
      <c r="K163" s="39"/>
      <c r="L163" s="39"/>
      <c r="M163" s="39"/>
      <c r="N163" s="39"/>
      <c r="O163" s="39"/>
      <c r="P163" s="39"/>
      <c r="Q163" s="39"/>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0" t="s">
        <v>174</v>
      </c>
      <c r="C164" s="39"/>
      <c r="D164" s="39"/>
      <c r="E164" s="39"/>
      <c r="F164" s="39"/>
      <c r="G164" s="39"/>
      <c r="H164" s="39"/>
      <c r="I164" s="39"/>
      <c r="J164" s="39"/>
      <c r="K164" s="39"/>
      <c r="L164" s="39"/>
      <c r="M164" s="39"/>
      <c r="N164" s="39"/>
      <c r="O164" s="39"/>
      <c r="P164" s="39"/>
      <c r="Q164" s="39"/>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0" t="s">
        <v>174</v>
      </c>
      <c r="C165" s="39"/>
      <c r="D165" s="39"/>
      <c r="E165" s="39"/>
      <c r="F165" s="39"/>
      <c r="G165" s="39"/>
      <c r="H165" s="39"/>
      <c r="I165" s="39"/>
      <c r="J165" s="39"/>
      <c r="K165" s="39"/>
      <c r="L165" s="39"/>
      <c r="M165" s="39"/>
      <c r="N165" s="39"/>
      <c r="O165" s="39"/>
      <c r="P165" s="39"/>
      <c r="Q165" s="39"/>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0" t="s">
        <v>174</v>
      </c>
      <c r="C166" s="39"/>
      <c r="D166" s="39"/>
      <c r="E166" s="39"/>
      <c r="F166" s="41"/>
      <c r="G166" s="41"/>
      <c r="H166" s="41"/>
      <c r="I166" s="41"/>
      <c r="J166" s="41"/>
      <c r="K166" s="41"/>
      <c r="L166" s="41"/>
      <c r="M166" s="41"/>
      <c r="N166" s="41"/>
      <c r="O166" s="41"/>
      <c r="P166" s="41"/>
      <c r="Q166" s="41"/>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0" t="s">
        <v>174</v>
      </c>
      <c r="C167" s="39"/>
      <c r="D167" s="39"/>
      <c r="E167" s="39"/>
      <c r="F167" s="39"/>
      <c r="G167" s="39"/>
      <c r="H167" s="39"/>
      <c r="I167" s="39"/>
      <c r="J167" s="39"/>
      <c r="K167" s="39"/>
      <c r="L167" s="39"/>
      <c r="M167" s="39"/>
      <c r="N167" s="39"/>
      <c r="O167" s="39"/>
      <c r="P167" s="39"/>
      <c r="Q167" s="39"/>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0" t="s">
        <v>174</v>
      </c>
      <c r="C168" s="39"/>
      <c r="D168" s="39"/>
      <c r="E168" s="39"/>
      <c r="F168" s="37"/>
      <c r="G168" s="37"/>
      <c r="H168" s="37"/>
      <c r="I168" s="37"/>
      <c r="J168" s="37"/>
      <c r="K168" s="37"/>
      <c r="L168" s="37"/>
      <c r="M168" s="37"/>
      <c r="N168" s="37"/>
      <c r="O168" s="37"/>
      <c r="P168" s="37"/>
      <c r="Q168" s="37"/>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0" t="s">
        <v>174</v>
      </c>
      <c r="C169" s="39"/>
      <c r="D169" s="39"/>
      <c r="E169" s="39"/>
      <c r="F169" s="38"/>
      <c r="G169" s="39"/>
      <c r="H169" s="40"/>
      <c r="I169" s="39"/>
      <c r="J169" s="40"/>
      <c r="K169" s="40"/>
      <c r="L169" s="40"/>
      <c r="M169" s="39"/>
      <c r="N169" s="39"/>
      <c r="O169" s="39"/>
      <c r="P169" s="39"/>
      <c r="Q169" s="39"/>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0" t="s">
        <v>174</v>
      </c>
      <c r="C170" s="39"/>
      <c r="D170" s="39"/>
      <c r="E170" s="39"/>
      <c r="F170" s="38"/>
      <c r="G170" s="39"/>
      <c r="H170" s="40"/>
      <c r="I170" s="39"/>
      <c r="J170" s="40"/>
      <c r="K170" s="40"/>
      <c r="L170" s="40"/>
      <c r="M170" s="39"/>
      <c r="N170" s="39"/>
      <c r="O170" s="39"/>
      <c r="P170" s="39"/>
      <c r="Q170" s="39"/>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0" t="s">
        <v>174</v>
      </c>
      <c r="C171" s="39"/>
      <c r="D171" s="39"/>
      <c r="E171" s="39"/>
      <c r="F171" s="38"/>
      <c r="G171" s="39"/>
      <c r="H171" s="40"/>
      <c r="I171" s="39"/>
      <c r="J171" s="40"/>
      <c r="K171" s="40"/>
      <c r="L171" s="40"/>
      <c r="M171" s="39"/>
      <c r="N171" s="39"/>
      <c r="O171" s="39"/>
      <c r="P171" s="39"/>
      <c r="Q171" s="39"/>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0" t="s">
        <v>174</v>
      </c>
      <c r="C172" s="39"/>
      <c r="D172" s="39"/>
      <c r="E172" s="39"/>
      <c r="F172" s="38"/>
      <c r="G172" s="39"/>
      <c r="H172" s="40"/>
      <c r="I172" s="39"/>
      <c r="J172" s="40"/>
      <c r="K172" s="40"/>
      <c r="L172" s="40"/>
      <c r="M172" s="39"/>
      <c r="N172" s="39"/>
      <c r="O172" s="39"/>
      <c r="P172" s="39"/>
      <c r="Q172" s="39"/>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0" t="s">
        <v>174</v>
      </c>
      <c r="C173" s="39"/>
      <c r="D173" s="39"/>
      <c r="E173" s="39"/>
      <c r="F173" s="39"/>
      <c r="G173" s="39"/>
      <c r="H173" s="39"/>
      <c r="I173" s="39"/>
      <c r="J173" s="39"/>
      <c r="K173" s="39"/>
      <c r="L173" s="39"/>
      <c r="M173" s="39"/>
      <c r="N173" s="39"/>
      <c r="O173" s="39"/>
      <c r="P173" s="39"/>
      <c r="Q173" s="39"/>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0" t="s">
        <v>174</v>
      </c>
      <c r="C174" s="39"/>
      <c r="D174" s="39"/>
      <c r="E174" s="39"/>
      <c r="F174" s="39"/>
      <c r="G174" s="39"/>
      <c r="H174" s="39"/>
      <c r="I174" s="39"/>
      <c r="J174" s="39"/>
      <c r="K174" s="39"/>
      <c r="L174" s="39"/>
      <c r="M174" s="39"/>
      <c r="N174" s="39"/>
      <c r="O174" s="39"/>
      <c r="P174" s="39"/>
      <c r="Q174" s="39"/>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0" t="s">
        <v>174</v>
      </c>
      <c r="C175" s="39"/>
      <c r="D175" s="39"/>
      <c r="E175" s="39"/>
      <c r="F175" s="39"/>
      <c r="G175" s="39"/>
      <c r="H175" s="39"/>
      <c r="I175" s="39"/>
      <c r="J175" s="39"/>
      <c r="K175" s="39"/>
      <c r="L175" s="39"/>
      <c r="M175" s="39"/>
      <c r="N175" s="39"/>
      <c r="O175" s="39"/>
      <c r="P175" s="39"/>
      <c r="Q175" s="39"/>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0" t="s">
        <v>174</v>
      </c>
      <c r="C176" s="39"/>
      <c r="D176" s="39"/>
      <c r="E176" s="39"/>
      <c r="F176" s="41"/>
      <c r="G176" s="41"/>
      <c r="H176" s="41"/>
      <c r="I176" s="41"/>
      <c r="J176" s="41"/>
      <c r="K176" s="41"/>
      <c r="L176" s="41"/>
      <c r="M176" s="41"/>
      <c r="N176" s="41"/>
      <c r="O176" s="41"/>
      <c r="P176" s="41"/>
      <c r="Q176" s="41"/>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0" t="s">
        <v>174</v>
      </c>
      <c r="C177" s="39"/>
      <c r="D177" s="39"/>
      <c r="E177" s="39"/>
      <c r="F177" s="39"/>
      <c r="G177" s="39"/>
      <c r="H177" s="39"/>
      <c r="I177" s="39"/>
      <c r="J177" s="39"/>
      <c r="K177" s="39"/>
      <c r="L177" s="39"/>
      <c r="M177" s="39"/>
      <c r="N177" s="39"/>
      <c r="O177" s="39"/>
      <c r="P177" s="39"/>
      <c r="Q177" s="39"/>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0" t="s">
        <v>174</v>
      </c>
      <c r="C178" s="39"/>
      <c r="D178" s="39"/>
      <c r="E178" s="39"/>
      <c r="F178" s="37"/>
      <c r="G178" s="37"/>
      <c r="H178" s="37"/>
      <c r="I178" s="37"/>
      <c r="J178" s="37"/>
      <c r="K178" s="37"/>
      <c r="L178" s="37"/>
      <c r="M178" s="37"/>
      <c r="N178" s="37"/>
      <c r="O178" s="37"/>
      <c r="P178" s="37"/>
      <c r="Q178" s="37"/>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0" t="s">
        <v>174</v>
      </c>
      <c r="C179" s="39"/>
      <c r="D179" s="39"/>
      <c r="E179" s="39"/>
      <c r="F179" s="38"/>
      <c r="G179" s="39"/>
      <c r="H179" s="40"/>
      <c r="I179" s="39"/>
      <c r="J179" s="40"/>
      <c r="K179" s="40"/>
      <c r="L179" s="40"/>
      <c r="M179" s="39"/>
      <c r="N179" s="39"/>
      <c r="O179" s="39"/>
      <c r="P179" s="39"/>
      <c r="Q179" s="39"/>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0" t="s">
        <v>174</v>
      </c>
      <c r="C180" s="39"/>
      <c r="D180" s="39"/>
      <c r="E180" s="39"/>
      <c r="F180" s="38"/>
      <c r="G180" s="39"/>
      <c r="H180" s="40"/>
      <c r="I180" s="39"/>
      <c r="J180" s="40"/>
      <c r="K180" s="40"/>
      <c r="L180" s="40"/>
      <c r="M180" s="39"/>
      <c r="N180" s="39"/>
      <c r="O180" s="39"/>
      <c r="P180" s="39"/>
      <c r="Q180" s="39"/>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0" t="s">
        <v>174</v>
      </c>
      <c r="C181" s="39"/>
      <c r="D181" s="39"/>
      <c r="E181" s="39"/>
      <c r="F181" s="38"/>
      <c r="G181" s="39"/>
      <c r="H181" s="40"/>
      <c r="I181" s="39"/>
      <c r="J181" s="40"/>
      <c r="K181" s="40"/>
      <c r="L181" s="40"/>
      <c r="M181" s="39"/>
      <c r="N181" s="39"/>
      <c r="O181" s="39"/>
      <c r="P181" s="39"/>
      <c r="Q181" s="39"/>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0" t="s">
        <v>174</v>
      </c>
      <c r="C182" s="39"/>
      <c r="D182" s="39"/>
      <c r="E182" s="39"/>
      <c r="F182" s="38"/>
      <c r="G182" s="39"/>
      <c r="H182" s="40"/>
      <c r="I182" s="39"/>
      <c r="J182" s="40"/>
      <c r="K182" s="40"/>
      <c r="L182" s="40"/>
      <c r="M182" s="39"/>
      <c r="N182" s="39"/>
      <c r="O182" s="39"/>
      <c r="P182" s="39"/>
      <c r="Q182" s="39"/>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0" t="s">
        <v>174</v>
      </c>
      <c r="C183" s="39"/>
      <c r="D183" s="39"/>
      <c r="E183" s="39"/>
      <c r="F183" s="38"/>
      <c r="G183" s="39"/>
      <c r="H183" s="40"/>
      <c r="I183" s="39"/>
      <c r="J183" s="40"/>
      <c r="K183" s="40"/>
      <c r="L183" s="40"/>
      <c r="M183" s="39"/>
      <c r="N183" s="39"/>
      <c r="O183" s="39"/>
      <c r="P183" s="39"/>
      <c r="Q183" s="39"/>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0" t="s">
        <v>174</v>
      </c>
      <c r="C184" s="39"/>
      <c r="D184" s="39"/>
      <c r="E184" s="39"/>
      <c r="F184" s="39"/>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0"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0"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0"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0"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0"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0"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0"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0"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0"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0"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0"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0"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0"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0"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0"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0"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0"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0"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0"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0"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0"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0"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0"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0"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0"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0"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0"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0"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0"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0"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0"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0"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0"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0"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0"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0"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0"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0"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0"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0"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0"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0"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0"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0"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0"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0"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0"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0"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0"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0"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0"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0"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0"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0"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0"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0"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0"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0"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0"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0"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0"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0"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0"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0"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0"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0"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0"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0"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0"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0"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0"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0"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0"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0"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0"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0"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0"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0"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0"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0"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0"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0"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0"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0"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0"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0"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0"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0"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0"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0"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0"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0"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0"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0"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0"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0"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0"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0"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0"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0"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0"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0"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0"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0"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0"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0"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0"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0"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0"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0"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0"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0"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0"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0"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0"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0"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0"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0"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0"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0"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0"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0"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0"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0"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0"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0"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0"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0"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0"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0"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0"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0"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0"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0"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0"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0"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0"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0"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0"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0"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0"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0"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0"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0"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0"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0"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0"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0"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0"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0"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0"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0"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0"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0"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0"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0"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0"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0"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0"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0"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0"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0"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0"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0"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0"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0"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0"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0"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0"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0"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0"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0"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0"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0"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0"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0"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0"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0"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0"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0"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0"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0"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0"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0"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0"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0"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0"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0"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0"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0"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0"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0"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0"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0"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0"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0"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0"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0"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0"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0"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0"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0"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0"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0"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0"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0"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0"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0"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0"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0"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0"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0"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0"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0"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0"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0"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0"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0"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0"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0"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0"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0"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0"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0"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0"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0"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0"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0"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0"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0"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0"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0"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0"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0"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0"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0"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0"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0"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0"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0"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0"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0"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0"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0"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0"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0"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0"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0"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0"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0"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0"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0"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0"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0"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0"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0"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0"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0"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0"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0"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0"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0"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0"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0"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0"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0"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0"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0"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0"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0"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0"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0"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0"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0"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0"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0"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0"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0"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0"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0"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0"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0"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0"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0"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0"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0"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0"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0"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0"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0"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0"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0"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0"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0"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0"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0"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0"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0"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0"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0"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0"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0"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0"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0"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0"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0"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0"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0"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0"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0"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0"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0"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0"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0"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0"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0"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0"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0"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0"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0"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0"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0"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0"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0"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0"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0"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0"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0"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0"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0"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0"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0"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0"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0"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0"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0"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0"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0"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0"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0"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0"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0"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0"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0"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0"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0"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0"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0"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0"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0"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0"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0"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0"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0"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0"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0"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0"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0"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0"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0"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0"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0"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0"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0"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0"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0"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0"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0"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0"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0"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0"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0"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0"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0"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0"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0"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0"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0"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0"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0"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0"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0"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0"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0"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0"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0"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0"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0"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0"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0"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0"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0"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0"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0"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0"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0"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0"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0"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0"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0"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0"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0"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0"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0"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0"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0"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0"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0"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0"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0"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0"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0"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0"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0"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0"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0"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0"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0"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0"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0"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0"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0"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0"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0"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0"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0"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0"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0"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0"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0"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0"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0"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0"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0"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0"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0"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0"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0"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0"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0"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0"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0"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0"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0"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0"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0"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0"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0"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0"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0"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0"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0"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0"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0"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0"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0"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0"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0"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0"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0"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0"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0"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0"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0"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0"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0"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0"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0"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0"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0"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0"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0"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0"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0"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0"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0"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0"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0"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0"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0"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0"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0"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0"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0"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0"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0"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0"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0"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0"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0"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0"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0"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0"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0"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0"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0"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0"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0"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0"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0"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0"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0"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0"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0"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0"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0"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0"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0"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0"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0"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0"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0"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0"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0"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0"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0"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0"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0"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0"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0"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0"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0"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0"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0"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0"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0"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0"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0"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0"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0"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0"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0"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0"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0"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0"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0"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0"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0"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0"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0"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0"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0"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0"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0"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0"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0"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0"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0"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0"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0"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0"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0"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0"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0"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0"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0"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0"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0"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0"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0"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0"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0"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0"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0"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0"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0"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0"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0"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0"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0"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0"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0"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0"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0"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0"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0"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0"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0"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0"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0"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0"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0"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0"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0"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0"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0"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0"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0"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0"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0"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0"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0"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0"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0"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0"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0"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0"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0"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0"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0"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0"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0"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0"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0"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0"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0"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0"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0"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0"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0"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0"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0"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0"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0"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0"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0"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0"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0"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0"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0"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0"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0"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0"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0"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0"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0"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0"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0"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0"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0"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0"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0"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0"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0"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0"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0"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0"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0"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0"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0"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0"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0"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0"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0"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0"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0"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0"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0"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0"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0"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0"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0"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0"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0"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0"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0"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0"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0"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0"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0"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0"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0"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0"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0"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0"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0"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0"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0"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0"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0"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0"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0"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0"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0"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0"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0"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0"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0"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0"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0"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0"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0"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0"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0"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0"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0"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0"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0"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0"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0"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0"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0"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0"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0"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0"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0"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0"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0"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0"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0"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0"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0"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0"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0"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0"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0"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0"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0"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0"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0"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0"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0"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0"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0"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0"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0"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0"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0"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0"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0"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0"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0"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0"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0"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0"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0"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0"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0"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0"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0"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0"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0"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0"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0"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0"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0"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0"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0"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0"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0"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0"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0"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0"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0"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0"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0"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0"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0"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0"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0"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0"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0"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0"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0"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0"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0"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0"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0"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0"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0"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0"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0"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0"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0"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0"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0"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0"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0"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0"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0"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0"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0"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0"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0"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0"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0"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0"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0"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0"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0"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0"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0"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0"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0"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0"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0"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0"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0"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0"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0"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0"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0"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0"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0"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0"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0"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0"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0"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0"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0"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0"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0"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0"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0"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0"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0"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0"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0"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0"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0"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0"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0"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0"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0"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0"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0"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2019-02-21T17:03:34Z</dcterms:modified>
</cp:coreProperties>
</file>